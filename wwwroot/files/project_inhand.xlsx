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OME\WEB\WebENG\WebENG\wwwroot\files\"/>
    </mc:Choice>
  </mc:AlternateContent>
  <bookViews>
    <workbookView xWindow="-28920" yWindow="-1965" windowWidth="29040" windowHeight="17520" tabRatio="783" firstSheet="3" activeTab="3"/>
  </bookViews>
  <sheets>
    <sheet name="Project Team" sheetId="29" state="hidden" r:id="rId1"/>
    <sheet name="JoB Backlog2013-2017" sheetId="24" state="hidden" r:id="rId2"/>
    <sheet name="JobBacklog2013-2016" sheetId="25" state="hidden" r:id="rId3"/>
    <sheet name="Job In Hand" sheetId="63" r:id="rId4"/>
  </sheets>
  <definedNames>
    <definedName name="_xlnm._FilterDatabase" localSheetId="1" hidden="1">'JoB Backlog2013-2017'!$A$2:$AL$39</definedName>
    <definedName name="_xlnm._FilterDatabase" localSheetId="3" hidden="1">'Job In Hand'!$A$2:$AG$2</definedName>
    <definedName name="_xlnm._FilterDatabase" localSheetId="2" hidden="1">'JobBacklog2013-2016'!$A$1:$AR$44</definedName>
    <definedName name="B">#N/A</definedName>
    <definedName name="PeriodInPlan" localSheetId="3">#REF!=MEDIAN(#REF!,#REF!,#REF!+#REF!-1)</definedName>
    <definedName name="PeriodInPlan">#REF!=MEDIAN(#REF!,#REF!,#REF!+#REF!-1)</definedName>
    <definedName name="_xlnm.Print_Area" localSheetId="1">'JoB Backlog2013-2017'!$A$1:$AD$31</definedName>
    <definedName name="_xlnm.Print_Area" localSheetId="3">'Job In Hand'!$A$1:$AF$1809</definedName>
    <definedName name="_xlnm.Print_Area" localSheetId="2">'JobBacklog2013-2016'!$A$1:$AD$44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63" l="1"/>
  <c r="K5" i="63"/>
  <c r="K6" i="63"/>
  <c r="K7" i="63"/>
  <c r="K8" i="63"/>
  <c r="K9" i="63"/>
  <c r="K10" i="63"/>
  <c r="K11" i="63"/>
  <c r="K12" i="63"/>
  <c r="K13" i="63"/>
  <c r="K14" i="63"/>
  <c r="K15" i="63"/>
  <c r="K16" i="63"/>
  <c r="K17" i="63"/>
  <c r="K18" i="63"/>
  <c r="K19" i="63"/>
  <c r="K20" i="63"/>
  <c r="K21" i="63"/>
  <c r="K22" i="63"/>
  <c r="K23" i="63"/>
  <c r="K24" i="63"/>
  <c r="K25" i="63"/>
  <c r="K26" i="63"/>
  <c r="K27" i="63"/>
  <c r="K28" i="63"/>
  <c r="K29" i="63"/>
  <c r="K30" i="63"/>
  <c r="K31" i="63"/>
  <c r="K32" i="63"/>
  <c r="K33" i="63"/>
  <c r="K34" i="63"/>
  <c r="K35" i="63"/>
  <c r="K36" i="63"/>
  <c r="K37" i="63"/>
  <c r="K38" i="63"/>
  <c r="K39" i="63"/>
  <c r="K40" i="63"/>
  <c r="K41" i="63"/>
  <c r="K42" i="63"/>
  <c r="K43" i="63"/>
  <c r="K44" i="63"/>
  <c r="K45" i="63"/>
  <c r="K46" i="63"/>
  <c r="K47" i="63"/>
  <c r="K48" i="63"/>
  <c r="K49" i="63"/>
  <c r="K50" i="63"/>
  <c r="K51" i="63"/>
  <c r="K52" i="63"/>
  <c r="K53" i="63"/>
  <c r="K54" i="63"/>
  <c r="K55" i="63"/>
  <c r="K56" i="63"/>
  <c r="K57" i="63"/>
  <c r="K58" i="63"/>
  <c r="K59" i="63"/>
  <c r="K60" i="63"/>
  <c r="K61" i="63"/>
  <c r="K62" i="63"/>
  <c r="K63" i="63"/>
  <c r="K64" i="63"/>
  <c r="K65" i="63"/>
  <c r="K66" i="63"/>
  <c r="K67" i="63"/>
  <c r="K68" i="63"/>
  <c r="K69" i="63"/>
  <c r="K70" i="63"/>
  <c r="K71" i="63"/>
  <c r="K72" i="63"/>
  <c r="K73" i="63"/>
  <c r="K74" i="63"/>
  <c r="K75" i="63"/>
  <c r="K76" i="63"/>
  <c r="K77" i="63"/>
  <c r="K78" i="63"/>
  <c r="K79" i="63"/>
  <c r="K80" i="63"/>
  <c r="K81" i="63"/>
  <c r="K82" i="63"/>
  <c r="K83" i="63"/>
  <c r="K84" i="63"/>
  <c r="K85" i="63"/>
  <c r="K86" i="63"/>
  <c r="K87" i="63"/>
  <c r="K88" i="63"/>
  <c r="K89" i="63"/>
  <c r="K90" i="63"/>
  <c r="K91" i="63"/>
  <c r="K92" i="63"/>
  <c r="K93" i="63"/>
  <c r="K94" i="63"/>
  <c r="K95" i="63"/>
  <c r="K96" i="63"/>
  <c r="K97" i="63"/>
  <c r="K98" i="63"/>
  <c r="K99" i="63"/>
  <c r="K100" i="63"/>
  <c r="K101" i="63"/>
  <c r="K102" i="63"/>
  <c r="K103" i="63"/>
  <c r="K104" i="63"/>
  <c r="K105" i="63"/>
  <c r="K106" i="63"/>
  <c r="K107" i="63"/>
  <c r="K108" i="63"/>
  <c r="K109" i="63"/>
  <c r="K110" i="63"/>
  <c r="K111" i="63"/>
  <c r="K112" i="63"/>
  <c r="K113" i="63"/>
  <c r="K114" i="63"/>
  <c r="K115" i="63"/>
  <c r="K116" i="63"/>
  <c r="K117" i="63"/>
  <c r="K118" i="63"/>
  <c r="K119" i="63"/>
  <c r="K120" i="63"/>
  <c r="K121" i="63"/>
  <c r="K122" i="63"/>
  <c r="K123" i="63"/>
  <c r="K124" i="63"/>
  <c r="K125" i="63"/>
  <c r="K126" i="63"/>
  <c r="K127" i="63"/>
  <c r="K128" i="63"/>
  <c r="K129" i="63"/>
  <c r="K130" i="63"/>
  <c r="K131" i="63"/>
  <c r="K132" i="63"/>
  <c r="K133" i="63"/>
  <c r="K134" i="63"/>
  <c r="K135" i="63"/>
  <c r="K136" i="63"/>
  <c r="K137" i="63"/>
  <c r="K138" i="63"/>
  <c r="K139" i="63"/>
  <c r="K140" i="63"/>
  <c r="K141" i="63"/>
  <c r="K142" i="63"/>
  <c r="K143" i="63"/>
  <c r="K144" i="63"/>
  <c r="K145" i="63"/>
  <c r="K146" i="63"/>
  <c r="K147" i="63"/>
  <c r="K148" i="63"/>
  <c r="K149" i="63"/>
  <c r="K150" i="63"/>
  <c r="K151" i="63"/>
  <c r="K152" i="63"/>
  <c r="K153" i="63"/>
  <c r="K154" i="63"/>
  <c r="K155" i="63"/>
  <c r="K156" i="63"/>
  <c r="K157" i="63"/>
  <c r="K158" i="63"/>
  <c r="K159" i="63"/>
  <c r="K160" i="63"/>
  <c r="K161" i="63"/>
  <c r="K162" i="63"/>
  <c r="K163" i="63"/>
  <c r="K164" i="63"/>
  <c r="K165" i="63"/>
  <c r="K166" i="63"/>
  <c r="K167" i="63"/>
  <c r="K168" i="63"/>
  <c r="K169" i="63"/>
  <c r="K170" i="63"/>
  <c r="K171" i="63"/>
  <c r="K172" i="63"/>
  <c r="K173" i="63"/>
  <c r="K174" i="63"/>
  <c r="K175" i="63"/>
  <c r="K176" i="63"/>
  <c r="K177" i="63"/>
  <c r="K178" i="63"/>
  <c r="K179" i="63"/>
  <c r="K180" i="63"/>
  <c r="K181" i="63"/>
  <c r="K182" i="63"/>
  <c r="K183" i="63"/>
  <c r="K184" i="63"/>
  <c r="K185" i="63"/>
  <c r="K186" i="63"/>
  <c r="K187" i="63"/>
  <c r="K188" i="63"/>
  <c r="K189" i="63"/>
  <c r="K190" i="63"/>
  <c r="K191" i="63"/>
  <c r="K192" i="63"/>
  <c r="K193" i="63"/>
  <c r="K194" i="63"/>
  <c r="K195" i="63"/>
  <c r="K196" i="63"/>
  <c r="K197" i="63"/>
  <c r="K198" i="63"/>
  <c r="K199" i="63"/>
  <c r="K200" i="63"/>
  <c r="K201" i="63"/>
  <c r="K202" i="63"/>
  <c r="K203" i="63"/>
  <c r="K204" i="63"/>
  <c r="K205" i="63"/>
  <c r="K206" i="63"/>
  <c r="K207" i="63"/>
  <c r="K208" i="63"/>
  <c r="K209" i="63"/>
  <c r="K210" i="63"/>
  <c r="K211" i="63"/>
  <c r="K212" i="63"/>
  <c r="K213" i="63"/>
  <c r="K214" i="63"/>
  <c r="K215" i="63"/>
  <c r="K216" i="63"/>
  <c r="K217" i="63"/>
  <c r="K218" i="63"/>
  <c r="K219" i="63"/>
  <c r="K220" i="63"/>
  <c r="K221" i="63"/>
  <c r="K222" i="63"/>
  <c r="K223" i="63"/>
  <c r="K224" i="63"/>
  <c r="K225" i="63"/>
  <c r="K226" i="63"/>
  <c r="K227" i="63"/>
  <c r="K228" i="63"/>
  <c r="K229" i="63"/>
  <c r="K230" i="63"/>
  <c r="K231" i="63"/>
  <c r="K232" i="63"/>
  <c r="K233" i="63"/>
  <c r="K234" i="63"/>
  <c r="K235" i="63"/>
  <c r="K236" i="63"/>
  <c r="K237" i="63"/>
  <c r="K238" i="63"/>
  <c r="K239" i="63"/>
  <c r="K240" i="63"/>
  <c r="K241" i="63"/>
  <c r="K242" i="63"/>
  <c r="K243" i="63"/>
  <c r="K244" i="63"/>
  <c r="K245" i="63"/>
  <c r="K246" i="63"/>
  <c r="K247" i="63"/>
  <c r="K248" i="63"/>
  <c r="K249" i="63"/>
  <c r="K250" i="63"/>
  <c r="K251" i="63"/>
  <c r="K252" i="63"/>
  <c r="K253" i="63"/>
  <c r="K254" i="63"/>
  <c r="K255" i="63"/>
  <c r="K256" i="63"/>
  <c r="K257" i="63"/>
  <c r="K258" i="63"/>
  <c r="K259" i="63"/>
  <c r="K260" i="63"/>
  <c r="K261" i="63"/>
  <c r="K262" i="63"/>
  <c r="K263" i="63"/>
  <c r="K264" i="63"/>
  <c r="K265" i="63"/>
  <c r="K266" i="63"/>
  <c r="K267" i="63"/>
  <c r="K268" i="63"/>
  <c r="K269" i="63"/>
  <c r="K270" i="63"/>
  <c r="K271" i="63"/>
  <c r="K272" i="63"/>
  <c r="K273" i="63"/>
  <c r="K274" i="63"/>
  <c r="K275" i="63"/>
  <c r="K276" i="63"/>
  <c r="K277" i="63"/>
  <c r="K278" i="63"/>
  <c r="K279" i="63"/>
  <c r="K280" i="63"/>
  <c r="K281" i="63"/>
  <c r="K282" i="63"/>
  <c r="K283" i="63"/>
  <c r="K284" i="63"/>
  <c r="K285" i="63"/>
  <c r="K286" i="63"/>
  <c r="K287" i="63"/>
  <c r="K288" i="63"/>
  <c r="K289" i="63"/>
  <c r="K290" i="63"/>
  <c r="K291" i="63"/>
  <c r="K292" i="63"/>
  <c r="K293" i="63"/>
  <c r="K294" i="63"/>
  <c r="K295" i="63"/>
  <c r="K296" i="63"/>
  <c r="K297" i="63"/>
  <c r="K298" i="63"/>
  <c r="K299" i="63"/>
  <c r="K300" i="63"/>
  <c r="K301" i="63"/>
  <c r="K302" i="63"/>
  <c r="K303" i="63"/>
  <c r="K304" i="63"/>
  <c r="K305" i="63"/>
  <c r="K306" i="63"/>
  <c r="K307" i="63"/>
  <c r="K308" i="63"/>
  <c r="K309" i="63"/>
  <c r="K310" i="63"/>
  <c r="K311" i="63"/>
  <c r="K312" i="63"/>
  <c r="K313" i="63"/>
  <c r="K314" i="63"/>
  <c r="K315" i="63"/>
  <c r="K316" i="63"/>
  <c r="K317" i="63"/>
  <c r="K318" i="63"/>
  <c r="K319" i="63"/>
  <c r="K320" i="63"/>
  <c r="K321" i="63"/>
  <c r="K322" i="63"/>
  <c r="K323" i="63"/>
  <c r="K324" i="63"/>
  <c r="K325" i="63"/>
  <c r="K326" i="63"/>
  <c r="K327" i="63"/>
  <c r="K328" i="63"/>
  <c r="K329" i="63"/>
  <c r="K330" i="63"/>
  <c r="K331" i="63"/>
  <c r="K332" i="63"/>
  <c r="K333" i="63"/>
  <c r="K334" i="63"/>
  <c r="K335" i="63"/>
  <c r="K336" i="63"/>
  <c r="K337" i="63"/>
  <c r="K338" i="63"/>
  <c r="K339" i="63"/>
  <c r="K340" i="63"/>
  <c r="K341" i="63"/>
  <c r="K342" i="63"/>
  <c r="K343" i="63"/>
  <c r="K344" i="63"/>
  <c r="K345" i="63"/>
  <c r="K346" i="63"/>
  <c r="K347" i="63"/>
  <c r="K348" i="63"/>
  <c r="K349" i="63"/>
  <c r="K350" i="63"/>
  <c r="K351" i="63"/>
  <c r="K352" i="63"/>
  <c r="K353" i="63"/>
  <c r="K354" i="63"/>
  <c r="K355" i="63"/>
  <c r="K356" i="63"/>
  <c r="K357" i="63"/>
  <c r="K358" i="63"/>
  <c r="K359" i="63"/>
  <c r="K360" i="63"/>
  <c r="K361" i="63"/>
  <c r="K362" i="63"/>
  <c r="K363" i="63"/>
  <c r="K364" i="63"/>
  <c r="K365" i="63"/>
  <c r="K366" i="63"/>
  <c r="K367" i="63"/>
  <c r="K368" i="63"/>
  <c r="K369" i="63"/>
  <c r="K370" i="63"/>
  <c r="K371" i="63"/>
  <c r="K372" i="63"/>
  <c r="K373" i="63"/>
  <c r="K374" i="63"/>
  <c r="K375" i="63"/>
  <c r="K376" i="63"/>
  <c r="K377" i="63"/>
  <c r="K378" i="63"/>
  <c r="K379" i="63"/>
  <c r="K380" i="63"/>
  <c r="K381" i="63"/>
  <c r="K382" i="63"/>
  <c r="K383" i="63"/>
  <c r="K384" i="63"/>
  <c r="K385" i="63"/>
  <c r="K386" i="63"/>
  <c r="K387" i="63"/>
  <c r="K388" i="63"/>
  <c r="K389" i="63"/>
  <c r="K390" i="63"/>
  <c r="K391" i="63"/>
  <c r="K392" i="63"/>
  <c r="K393" i="63"/>
  <c r="K394" i="63"/>
  <c r="K395" i="63"/>
  <c r="K396" i="63"/>
  <c r="K397" i="63"/>
  <c r="K398" i="63"/>
  <c r="K399" i="63"/>
  <c r="K400" i="63"/>
  <c r="K401" i="63"/>
  <c r="K402" i="63"/>
  <c r="K403" i="63"/>
  <c r="K404" i="63"/>
  <c r="K405" i="63"/>
  <c r="K406" i="63"/>
  <c r="K407" i="63"/>
  <c r="K408" i="63"/>
  <c r="K409" i="63"/>
  <c r="K410" i="63"/>
  <c r="K411" i="63"/>
  <c r="K412" i="63"/>
  <c r="K413" i="63"/>
  <c r="K414" i="63"/>
  <c r="K415" i="63"/>
  <c r="K416" i="63"/>
  <c r="K417" i="63"/>
  <c r="K418" i="63"/>
  <c r="K419" i="63"/>
  <c r="K420" i="63"/>
  <c r="K421" i="63"/>
  <c r="K422" i="63"/>
  <c r="K423" i="63"/>
  <c r="K424" i="63"/>
  <c r="K425" i="63"/>
  <c r="K426" i="63"/>
  <c r="K427" i="63"/>
  <c r="K428" i="63"/>
  <c r="K429" i="63"/>
  <c r="K430" i="63"/>
  <c r="K431" i="63"/>
  <c r="K432" i="63"/>
  <c r="K433" i="63"/>
  <c r="K434" i="63"/>
  <c r="K435" i="63"/>
  <c r="K436" i="63"/>
  <c r="K437" i="63"/>
  <c r="K438" i="63"/>
  <c r="K439" i="63"/>
  <c r="K440" i="63"/>
  <c r="K441" i="63"/>
  <c r="K442" i="63"/>
  <c r="K443" i="63"/>
  <c r="K444" i="63"/>
  <c r="K445" i="63"/>
  <c r="K446" i="63"/>
  <c r="K447" i="63"/>
  <c r="K448" i="63"/>
  <c r="K449" i="63"/>
  <c r="K450" i="63"/>
  <c r="K451" i="63"/>
  <c r="K452" i="63"/>
  <c r="K453" i="63"/>
  <c r="K454" i="63"/>
  <c r="K455" i="63"/>
  <c r="K456" i="63"/>
  <c r="K457" i="63"/>
  <c r="K458" i="63"/>
  <c r="K459" i="63"/>
  <c r="K460" i="63"/>
  <c r="K461" i="63"/>
  <c r="K462" i="63"/>
  <c r="K463" i="63"/>
  <c r="K464" i="63"/>
  <c r="K465" i="63"/>
  <c r="K466" i="63"/>
  <c r="K467" i="63"/>
  <c r="K468" i="63"/>
  <c r="K469" i="63"/>
  <c r="K470" i="63"/>
  <c r="K471" i="63"/>
  <c r="K472" i="63"/>
  <c r="K473" i="63"/>
  <c r="K474" i="63"/>
  <c r="K475" i="63"/>
  <c r="K476" i="63"/>
  <c r="K477" i="63"/>
  <c r="K478" i="63"/>
  <c r="K479" i="63"/>
  <c r="K480" i="63"/>
  <c r="K481" i="63"/>
  <c r="K482" i="63"/>
  <c r="K483" i="63"/>
  <c r="K484" i="63"/>
  <c r="K485" i="63"/>
  <c r="K486" i="63"/>
  <c r="K487" i="63"/>
  <c r="K488" i="63"/>
  <c r="K489" i="63"/>
  <c r="K490" i="63"/>
  <c r="K491" i="63"/>
  <c r="K492" i="63"/>
  <c r="K493" i="63"/>
  <c r="K494" i="63"/>
  <c r="K495" i="63"/>
  <c r="K496" i="63"/>
  <c r="K497" i="63"/>
  <c r="K498" i="63"/>
  <c r="K499" i="63"/>
  <c r="K500" i="63"/>
  <c r="K501" i="63"/>
  <c r="K502" i="63"/>
  <c r="K503" i="63"/>
  <c r="K504" i="63"/>
  <c r="K505" i="63"/>
  <c r="K506" i="63"/>
  <c r="K507" i="63"/>
  <c r="K508" i="63"/>
  <c r="K509" i="63"/>
  <c r="K510" i="63"/>
  <c r="K511" i="63"/>
  <c r="K512" i="63"/>
  <c r="K513" i="63"/>
  <c r="K514" i="63"/>
  <c r="K515" i="63"/>
  <c r="K516" i="63"/>
  <c r="K517" i="63"/>
  <c r="K518" i="63"/>
  <c r="K519" i="63"/>
  <c r="K520" i="63"/>
  <c r="K521" i="63"/>
  <c r="K522" i="63"/>
  <c r="K523" i="63"/>
  <c r="K524" i="63"/>
  <c r="K525" i="63"/>
  <c r="K526" i="63"/>
  <c r="K527" i="63"/>
  <c r="K528" i="63"/>
  <c r="K529" i="63"/>
  <c r="K530" i="63"/>
  <c r="K531" i="63"/>
  <c r="K532" i="63"/>
  <c r="K533" i="63"/>
  <c r="K534" i="63"/>
  <c r="K535" i="63"/>
  <c r="K536" i="63"/>
  <c r="K537" i="63"/>
  <c r="K538" i="63"/>
  <c r="K539" i="63"/>
  <c r="K540" i="63"/>
  <c r="K541" i="63"/>
  <c r="K542" i="63"/>
  <c r="K543" i="63"/>
  <c r="K544" i="63"/>
  <c r="K545" i="63"/>
  <c r="K546" i="63"/>
  <c r="K547" i="63"/>
  <c r="K548" i="63"/>
  <c r="K549" i="63"/>
  <c r="K550" i="63"/>
  <c r="K551" i="63"/>
  <c r="K552" i="63"/>
  <c r="K553" i="63"/>
  <c r="K554" i="63"/>
  <c r="K555" i="63"/>
  <c r="K556" i="63"/>
  <c r="K557" i="63"/>
  <c r="K558" i="63"/>
  <c r="K559" i="63"/>
  <c r="K560" i="63"/>
  <c r="K561" i="63"/>
  <c r="K562" i="63"/>
  <c r="K563" i="63"/>
  <c r="K564" i="63"/>
  <c r="K565" i="63"/>
  <c r="K566" i="63"/>
  <c r="K567" i="63"/>
  <c r="K568" i="63"/>
  <c r="K569" i="63"/>
  <c r="K570" i="63"/>
  <c r="K571" i="63"/>
  <c r="K572" i="63"/>
  <c r="K573" i="63"/>
  <c r="K574" i="63"/>
  <c r="K575" i="63"/>
  <c r="K576" i="63"/>
  <c r="K577" i="63"/>
  <c r="K578" i="63"/>
  <c r="K579" i="63"/>
  <c r="K580" i="63"/>
  <c r="K581" i="63"/>
  <c r="K582" i="63"/>
  <c r="K583" i="63"/>
  <c r="K584" i="63"/>
  <c r="K585" i="63"/>
  <c r="K586" i="63"/>
  <c r="K587" i="63"/>
  <c r="K588" i="63"/>
  <c r="K589" i="63"/>
  <c r="K590" i="63"/>
  <c r="K591" i="63"/>
  <c r="K592" i="63"/>
  <c r="K593" i="63"/>
  <c r="K594" i="63"/>
  <c r="K595" i="63"/>
  <c r="K596" i="63"/>
  <c r="K597" i="63"/>
  <c r="K598" i="63"/>
  <c r="K599" i="63"/>
  <c r="K600" i="63"/>
  <c r="K601" i="63"/>
  <c r="K602" i="63"/>
  <c r="K603" i="63"/>
  <c r="K604" i="63"/>
  <c r="K605" i="63"/>
  <c r="K606" i="63"/>
  <c r="K607" i="63"/>
  <c r="K608" i="63"/>
  <c r="K609" i="63"/>
  <c r="K610" i="63"/>
  <c r="K611" i="63"/>
  <c r="K612" i="63"/>
  <c r="K613" i="63"/>
  <c r="K614" i="63"/>
  <c r="K615" i="63"/>
  <c r="K616" i="63"/>
  <c r="K617" i="63"/>
  <c r="K618" i="63"/>
  <c r="K619" i="63"/>
  <c r="K620" i="63"/>
  <c r="K621" i="63"/>
  <c r="K622" i="63"/>
  <c r="K623" i="63"/>
  <c r="K624" i="63"/>
  <c r="K625" i="63"/>
  <c r="K626" i="63"/>
  <c r="K627" i="63"/>
  <c r="K628" i="63"/>
  <c r="K629" i="63"/>
  <c r="K630" i="63"/>
  <c r="K631" i="63"/>
  <c r="K632" i="63"/>
  <c r="K633" i="63"/>
  <c r="K634" i="63"/>
  <c r="K635" i="63"/>
  <c r="K636" i="63"/>
  <c r="K637" i="63"/>
  <c r="K638" i="63"/>
  <c r="K639" i="63"/>
  <c r="K640" i="63"/>
  <c r="K641" i="63"/>
  <c r="K642" i="63"/>
  <c r="K643" i="63"/>
  <c r="K644" i="63"/>
  <c r="K645" i="63"/>
  <c r="K646" i="63"/>
  <c r="K647" i="63"/>
  <c r="K648" i="63"/>
  <c r="K649" i="63"/>
  <c r="K650" i="63"/>
  <c r="K651" i="63"/>
  <c r="K652" i="63"/>
  <c r="K653" i="63"/>
  <c r="K654" i="63"/>
  <c r="K655" i="63"/>
  <c r="K656" i="63"/>
  <c r="K657" i="63"/>
  <c r="K658" i="63"/>
  <c r="K659" i="63"/>
  <c r="K660" i="63"/>
  <c r="K661" i="63"/>
  <c r="K662" i="63"/>
  <c r="K663" i="63"/>
  <c r="K664" i="63"/>
  <c r="K665" i="63"/>
  <c r="K666" i="63"/>
  <c r="K667" i="63"/>
  <c r="K668" i="63"/>
  <c r="K669" i="63"/>
  <c r="K670" i="63"/>
  <c r="K671" i="63"/>
  <c r="K672" i="63"/>
  <c r="K673" i="63"/>
  <c r="K674" i="63"/>
  <c r="K675" i="63"/>
  <c r="K676" i="63"/>
  <c r="K677" i="63"/>
  <c r="K678" i="63"/>
  <c r="K679" i="63"/>
  <c r="K680" i="63"/>
  <c r="K681" i="63"/>
  <c r="K682" i="63"/>
  <c r="K683" i="63"/>
  <c r="K684" i="63"/>
  <c r="K685" i="63"/>
  <c r="K686" i="63"/>
  <c r="K687" i="63"/>
  <c r="K688" i="63"/>
  <c r="K689" i="63"/>
  <c r="K690" i="63"/>
  <c r="K691" i="63"/>
  <c r="K692" i="63"/>
  <c r="K693" i="63"/>
  <c r="K694" i="63"/>
  <c r="K695" i="63"/>
  <c r="K696" i="63"/>
  <c r="K697" i="63"/>
  <c r="K698" i="63"/>
  <c r="K699" i="63"/>
  <c r="K700" i="63"/>
  <c r="K701" i="63"/>
  <c r="K702" i="63"/>
  <c r="K703" i="63"/>
  <c r="K704" i="63"/>
  <c r="K705" i="63"/>
  <c r="K706" i="63"/>
  <c r="K707" i="63"/>
  <c r="K708" i="63"/>
  <c r="K709" i="63"/>
  <c r="K710" i="63"/>
  <c r="K711" i="63"/>
  <c r="K712" i="63"/>
  <c r="K713" i="63"/>
  <c r="K714" i="63"/>
  <c r="K715" i="63"/>
  <c r="K716" i="63"/>
  <c r="K717" i="63"/>
  <c r="K718" i="63"/>
  <c r="K719" i="63"/>
  <c r="K720" i="63"/>
  <c r="K721" i="63"/>
  <c r="K722" i="63"/>
  <c r="K723" i="63"/>
  <c r="K724" i="63"/>
  <c r="K725" i="63"/>
  <c r="K726" i="63"/>
  <c r="K727" i="63"/>
  <c r="K728" i="63"/>
  <c r="K729" i="63"/>
  <c r="K730" i="63"/>
  <c r="K731" i="63"/>
  <c r="K732" i="63"/>
  <c r="K733" i="63"/>
  <c r="K734" i="63"/>
  <c r="K735" i="63"/>
  <c r="K736" i="63"/>
  <c r="K737" i="63"/>
  <c r="K738" i="63"/>
  <c r="K739" i="63"/>
  <c r="K740" i="63"/>
  <c r="K741" i="63"/>
  <c r="K742" i="63"/>
  <c r="K743" i="63"/>
  <c r="K744" i="63"/>
  <c r="K745" i="63"/>
  <c r="K746" i="63"/>
  <c r="K747" i="63"/>
  <c r="K748" i="63"/>
  <c r="K749" i="63"/>
  <c r="K750" i="63"/>
  <c r="K751" i="63"/>
  <c r="K752" i="63"/>
  <c r="K753" i="63"/>
  <c r="K754" i="63"/>
  <c r="K755" i="63"/>
  <c r="K756" i="63"/>
  <c r="K757" i="63"/>
  <c r="K758" i="63"/>
  <c r="K759" i="63"/>
  <c r="K760" i="63"/>
  <c r="K761" i="63"/>
  <c r="K762" i="63"/>
  <c r="K763" i="63"/>
  <c r="K764" i="63"/>
  <c r="K765" i="63"/>
  <c r="K766" i="63"/>
  <c r="K767" i="63"/>
  <c r="K768" i="63"/>
  <c r="K769" i="63"/>
  <c r="K770" i="63"/>
  <c r="K771" i="63"/>
  <c r="K772" i="63"/>
  <c r="K773" i="63"/>
  <c r="K774" i="63"/>
  <c r="K775" i="63"/>
  <c r="K776" i="63"/>
  <c r="K777" i="63"/>
  <c r="K778" i="63"/>
  <c r="K779" i="63"/>
  <c r="K780" i="63"/>
  <c r="K781" i="63"/>
  <c r="K782" i="63"/>
  <c r="K783" i="63"/>
  <c r="K784" i="63"/>
  <c r="K785" i="63"/>
  <c r="K786" i="63"/>
  <c r="K787" i="63"/>
  <c r="K788" i="63"/>
  <c r="K789" i="63"/>
  <c r="K790" i="63"/>
  <c r="K791" i="63"/>
  <c r="K792" i="63"/>
  <c r="K793" i="63"/>
  <c r="K794" i="63"/>
  <c r="K795" i="63"/>
  <c r="K796" i="63"/>
  <c r="K797" i="63"/>
  <c r="K798" i="63"/>
  <c r="K799" i="63"/>
  <c r="K800" i="63"/>
  <c r="K801" i="63"/>
  <c r="K802" i="63"/>
  <c r="K803" i="63"/>
  <c r="K804" i="63"/>
  <c r="K805" i="63"/>
  <c r="K806" i="63"/>
  <c r="K807" i="63"/>
  <c r="K808" i="63"/>
  <c r="K809" i="63"/>
  <c r="K810" i="63"/>
  <c r="K811" i="63"/>
  <c r="K812" i="63"/>
  <c r="K813" i="63"/>
  <c r="K814" i="63"/>
  <c r="K815" i="63"/>
  <c r="K816" i="63"/>
  <c r="K817" i="63"/>
  <c r="K818" i="63"/>
  <c r="K819" i="63"/>
  <c r="K820" i="63"/>
  <c r="K821" i="63"/>
  <c r="K822" i="63"/>
  <c r="K823" i="63"/>
  <c r="K824" i="63"/>
  <c r="K825" i="63"/>
  <c r="K826" i="63"/>
  <c r="K827" i="63"/>
  <c r="K828" i="63"/>
  <c r="K829" i="63"/>
  <c r="K830" i="63"/>
  <c r="K831" i="63"/>
  <c r="K832" i="63"/>
  <c r="K833" i="63"/>
  <c r="K834" i="63"/>
  <c r="K835" i="63"/>
  <c r="K836" i="63"/>
  <c r="K837" i="63"/>
  <c r="K838" i="63"/>
  <c r="K839" i="63"/>
  <c r="K840" i="63"/>
  <c r="K841" i="63"/>
  <c r="K842" i="63"/>
  <c r="K843" i="63"/>
  <c r="K844" i="63"/>
  <c r="K845" i="63"/>
  <c r="K846" i="63"/>
  <c r="K847" i="63"/>
  <c r="K848" i="63"/>
  <c r="K849" i="63"/>
  <c r="K850" i="63"/>
  <c r="K851" i="63"/>
  <c r="K852" i="63"/>
  <c r="K853" i="63"/>
  <c r="K854" i="63"/>
  <c r="K855" i="63"/>
  <c r="K856" i="63"/>
  <c r="K857" i="63"/>
  <c r="K858" i="63"/>
  <c r="K859" i="63"/>
  <c r="K860" i="63"/>
  <c r="K861" i="63"/>
  <c r="K862" i="63"/>
  <c r="K863" i="63"/>
  <c r="K864" i="63"/>
  <c r="K865" i="63"/>
  <c r="K866" i="63"/>
  <c r="K867" i="63"/>
  <c r="K868" i="63"/>
  <c r="K869" i="63"/>
  <c r="K870" i="63"/>
  <c r="K871" i="63"/>
  <c r="K872" i="63"/>
  <c r="K873" i="63"/>
  <c r="K874" i="63"/>
  <c r="K875" i="63"/>
  <c r="K876" i="63"/>
  <c r="K877" i="63"/>
  <c r="K878" i="63"/>
  <c r="K879" i="63"/>
  <c r="K880" i="63"/>
  <c r="K881" i="63"/>
  <c r="K882" i="63"/>
  <c r="K883" i="63"/>
  <c r="K884" i="63"/>
  <c r="K885" i="63"/>
  <c r="K886" i="63"/>
  <c r="K887" i="63"/>
  <c r="K888" i="63"/>
  <c r="K889" i="63"/>
  <c r="K890" i="63"/>
  <c r="K891" i="63"/>
  <c r="K892" i="63"/>
  <c r="K893" i="63"/>
  <c r="K894" i="63"/>
  <c r="K895" i="63"/>
  <c r="K896" i="63"/>
  <c r="K897" i="63"/>
  <c r="K898" i="63"/>
  <c r="K899" i="63"/>
  <c r="K900" i="63"/>
  <c r="K901" i="63"/>
  <c r="K902" i="63"/>
  <c r="K903" i="63"/>
  <c r="K904" i="63"/>
  <c r="K905" i="63"/>
  <c r="K906" i="63"/>
  <c r="K907" i="63"/>
  <c r="K908" i="63"/>
  <c r="K909" i="63"/>
  <c r="K910" i="63"/>
  <c r="K911" i="63"/>
  <c r="K912" i="63"/>
  <c r="K913" i="63"/>
  <c r="K914" i="63"/>
  <c r="K915" i="63"/>
  <c r="K916" i="63"/>
  <c r="K917" i="63"/>
  <c r="K918" i="63"/>
  <c r="K919" i="63"/>
  <c r="K920" i="63"/>
  <c r="K921" i="63"/>
  <c r="K922" i="63"/>
  <c r="K923" i="63"/>
  <c r="K924" i="63"/>
  <c r="K925" i="63"/>
  <c r="K926" i="63"/>
  <c r="K927" i="63"/>
  <c r="K928" i="63"/>
  <c r="K929" i="63"/>
  <c r="K930" i="63"/>
  <c r="K931" i="63"/>
  <c r="K932" i="63"/>
  <c r="K933" i="63"/>
  <c r="K934" i="63"/>
  <c r="K935" i="63"/>
  <c r="K936" i="63"/>
  <c r="K937" i="63"/>
  <c r="K938" i="63"/>
  <c r="K939" i="63"/>
  <c r="K940" i="63"/>
  <c r="K941" i="63"/>
  <c r="K942" i="63"/>
  <c r="K943" i="63"/>
  <c r="K944" i="63"/>
  <c r="K945" i="63"/>
  <c r="K946" i="63"/>
  <c r="K947" i="63"/>
  <c r="K948" i="63"/>
  <c r="K949" i="63"/>
  <c r="K950" i="63"/>
  <c r="K951" i="63"/>
  <c r="K952" i="63"/>
  <c r="K953" i="63"/>
  <c r="K954" i="63"/>
  <c r="K955" i="63"/>
  <c r="K956" i="63"/>
  <c r="K957" i="63"/>
  <c r="K958" i="63"/>
  <c r="K959" i="63"/>
  <c r="K960" i="63"/>
  <c r="K961" i="63"/>
  <c r="K962" i="63"/>
  <c r="K963" i="63"/>
  <c r="K964" i="63"/>
  <c r="K965" i="63"/>
  <c r="K966" i="63"/>
  <c r="K967" i="63"/>
  <c r="K968" i="63"/>
  <c r="K969" i="63"/>
  <c r="K970" i="63"/>
  <c r="K971" i="63"/>
  <c r="K972" i="63"/>
  <c r="K973" i="63"/>
  <c r="K974" i="63"/>
  <c r="K975" i="63"/>
  <c r="K976" i="63"/>
  <c r="K977" i="63"/>
  <c r="K978" i="63"/>
  <c r="K979" i="63"/>
  <c r="K980" i="63"/>
  <c r="K981" i="63"/>
  <c r="K982" i="63"/>
  <c r="K983" i="63"/>
  <c r="K984" i="63"/>
  <c r="K985" i="63"/>
  <c r="K986" i="63"/>
  <c r="K987" i="63"/>
  <c r="K988" i="63"/>
  <c r="K989" i="63"/>
  <c r="K990" i="63"/>
  <c r="K991" i="63"/>
  <c r="K992" i="63"/>
  <c r="K993" i="63"/>
  <c r="K994" i="63"/>
  <c r="K995" i="63"/>
  <c r="K996" i="63"/>
  <c r="K997" i="63"/>
  <c r="K998" i="63"/>
  <c r="K999" i="63"/>
  <c r="K1000" i="63"/>
  <c r="K1001" i="63"/>
  <c r="K1002" i="63"/>
  <c r="K1003" i="63"/>
  <c r="K1004" i="63"/>
  <c r="K1005" i="63"/>
  <c r="K1006" i="63"/>
  <c r="K1007" i="63"/>
  <c r="K1008" i="63"/>
  <c r="K1009" i="63"/>
  <c r="K1010" i="63"/>
  <c r="K1011" i="63"/>
  <c r="K1012" i="63"/>
  <c r="K1013" i="63"/>
  <c r="K1014" i="63"/>
  <c r="K1015" i="63"/>
  <c r="K1016" i="63"/>
  <c r="K1017" i="63"/>
  <c r="K1018" i="63"/>
  <c r="K1019" i="63"/>
  <c r="K1020" i="63"/>
  <c r="K1021" i="63"/>
  <c r="K1022" i="63"/>
  <c r="K1023" i="63"/>
  <c r="K1024" i="63"/>
  <c r="K1025" i="63"/>
  <c r="K1026" i="63"/>
  <c r="K1027" i="63"/>
  <c r="K1028" i="63"/>
  <c r="K1029" i="63"/>
  <c r="K1030" i="63"/>
  <c r="K1031" i="63"/>
  <c r="K1032" i="63"/>
  <c r="K1033" i="63"/>
  <c r="K1034" i="63"/>
  <c r="K1035" i="63"/>
  <c r="K1036" i="63"/>
  <c r="K1037" i="63"/>
  <c r="K1038" i="63"/>
  <c r="K1039" i="63"/>
  <c r="K1040" i="63"/>
  <c r="K1041" i="63"/>
  <c r="K1042" i="63"/>
  <c r="K1043" i="63"/>
  <c r="K1044" i="63"/>
  <c r="K1045" i="63"/>
  <c r="K1046" i="63"/>
  <c r="K1047" i="63"/>
  <c r="K1048" i="63"/>
  <c r="K1049" i="63"/>
  <c r="K1050" i="63"/>
  <c r="K1051" i="63"/>
  <c r="K1052" i="63"/>
  <c r="K1053" i="63"/>
  <c r="K1054" i="63"/>
  <c r="K1055" i="63"/>
  <c r="K1056" i="63"/>
  <c r="K1057" i="63"/>
  <c r="K1058" i="63"/>
  <c r="K1059" i="63"/>
  <c r="K1060" i="63"/>
  <c r="K1061" i="63"/>
  <c r="K1062" i="63"/>
  <c r="K1063" i="63"/>
  <c r="K1064" i="63"/>
  <c r="K1065" i="63"/>
  <c r="K1066" i="63"/>
  <c r="K1067" i="63"/>
  <c r="K1068" i="63"/>
  <c r="K1069" i="63"/>
  <c r="K1070" i="63"/>
  <c r="K1071" i="63"/>
  <c r="K1072" i="63"/>
  <c r="K1073" i="63"/>
  <c r="K1074" i="63"/>
  <c r="K1075" i="63"/>
  <c r="K1076" i="63"/>
  <c r="K1077" i="63"/>
  <c r="K1078" i="63"/>
  <c r="K1079" i="63"/>
  <c r="K1080" i="63"/>
  <c r="K1081" i="63"/>
  <c r="K1082" i="63"/>
  <c r="K1083" i="63"/>
  <c r="K1084" i="63"/>
  <c r="K1085" i="63"/>
  <c r="K1086" i="63"/>
  <c r="K1087" i="63"/>
  <c r="K1088" i="63"/>
  <c r="K1089" i="63"/>
  <c r="K1090" i="63"/>
  <c r="K1091" i="63"/>
  <c r="K1092" i="63"/>
  <c r="K1093" i="63"/>
  <c r="K1094" i="63"/>
  <c r="K1095" i="63"/>
  <c r="K1096" i="63"/>
  <c r="K1097" i="63"/>
  <c r="K1098" i="63"/>
  <c r="K1099" i="63"/>
  <c r="K1100" i="63"/>
  <c r="K1101" i="63"/>
  <c r="K1102" i="63"/>
  <c r="K1103" i="63"/>
  <c r="K1104" i="63"/>
  <c r="K1105" i="63"/>
  <c r="K1106" i="63"/>
  <c r="K1107" i="63"/>
  <c r="K1108" i="63"/>
  <c r="K1109" i="63"/>
  <c r="K1110" i="63"/>
  <c r="K1111" i="63"/>
  <c r="K1112" i="63"/>
  <c r="K1113" i="63"/>
  <c r="K1114" i="63"/>
  <c r="K1115" i="63"/>
  <c r="K1116" i="63"/>
  <c r="K1117" i="63"/>
  <c r="K1118" i="63"/>
  <c r="K1119" i="63"/>
  <c r="K1120" i="63"/>
  <c r="K1121" i="63"/>
  <c r="K1122" i="63"/>
  <c r="K1123" i="63"/>
  <c r="K1124" i="63"/>
  <c r="K1125" i="63"/>
  <c r="K1126" i="63"/>
  <c r="K1127" i="63"/>
  <c r="K1128" i="63"/>
  <c r="K1129" i="63"/>
  <c r="K1130" i="63"/>
  <c r="K1131" i="63"/>
  <c r="K1132" i="63"/>
  <c r="K1133" i="63"/>
  <c r="K1134" i="63"/>
  <c r="K1135" i="63"/>
  <c r="K1136" i="63"/>
  <c r="K1137" i="63"/>
  <c r="K1138" i="63"/>
  <c r="K1139" i="63"/>
  <c r="K1140" i="63"/>
  <c r="K1141" i="63"/>
  <c r="K1142" i="63"/>
  <c r="K1143" i="63"/>
  <c r="K1144" i="63"/>
  <c r="K1145" i="63"/>
  <c r="K1146" i="63"/>
  <c r="K1147" i="63"/>
  <c r="K1148" i="63"/>
  <c r="K1149" i="63"/>
  <c r="K1150" i="63"/>
  <c r="K1151" i="63"/>
  <c r="K1152" i="63"/>
  <c r="K1153" i="63"/>
  <c r="K1154" i="63"/>
  <c r="K1155" i="63"/>
  <c r="K1156" i="63"/>
  <c r="K1157" i="63"/>
  <c r="K1158" i="63"/>
  <c r="K1159" i="63"/>
  <c r="K1160" i="63"/>
  <c r="K1161" i="63"/>
  <c r="K1162" i="63"/>
  <c r="K1163" i="63"/>
  <c r="K1164" i="63"/>
  <c r="K1165" i="63"/>
  <c r="K1166" i="63"/>
  <c r="K1167" i="63"/>
  <c r="K1168" i="63"/>
  <c r="K1169" i="63"/>
  <c r="K1170" i="63"/>
  <c r="K1171" i="63"/>
  <c r="K1172" i="63"/>
  <c r="K1173" i="63"/>
  <c r="K1174" i="63"/>
  <c r="K1175" i="63"/>
  <c r="K1176" i="63"/>
  <c r="K1177" i="63"/>
  <c r="K1178" i="63"/>
  <c r="K1179" i="63"/>
  <c r="K1180" i="63"/>
  <c r="K1181" i="63"/>
  <c r="K1182" i="63"/>
  <c r="K1183" i="63"/>
  <c r="K1184" i="63"/>
  <c r="K1185" i="63"/>
  <c r="K1186" i="63"/>
  <c r="K1187" i="63"/>
  <c r="K1188" i="63"/>
  <c r="K1189" i="63"/>
  <c r="K1190" i="63"/>
  <c r="K1191" i="63"/>
  <c r="K1192" i="63"/>
  <c r="K1193" i="63"/>
  <c r="K1194" i="63"/>
  <c r="K1195" i="63"/>
  <c r="K1196" i="63"/>
  <c r="K1197" i="63"/>
  <c r="K1198" i="63"/>
  <c r="K1199" i="63"/>
  <c r="K1200" i="63"/>
  <c r="K1201" i="63"/>
  <c r="K1202" i="63"/>
  <c r="K1203" i="63"/>
  <c r="K1204" i="63"/>
  <c r="K1205" i="63"/>
  <c r="K1206" i="63"/>
  <c r="K1207" i="63"/>
  <c r="K1208" i="63"/>
  <c r="K1209" i="63"/>
  <c r="K1210" i="63"/>
  <c r="K1211" i="63"/>
  <c r="K1212" i="63"/>
  <c r="K1213" i="63"/>
  <c r="K1214" i="63"/>
  <c r="K1215" i="63"/>
  <c r="K1216" i="63"/>
  <c r="K1217" i="63"/>
  <c r="K1218" i="63"/>
  <c r="K1219" i="63"/>
  <c r="K1220" i="63"/>
  <c r="K1221" i="63"/>
  <c r="K1222" i="63"/>
  <c r="K1223" i="63"/>
  <c r="K1224" i="63"/>
  <c r="K1225" i="63"/>
  <c r="K1226" i="63"/>
  <c r="K1227" i="63"/>
  <c r="K1228" i="63"/>
  <c r="K1229" i="63"/>
  <c r="K1230" i="63"/>
  <c r="K1231" i="63"/>
  <c r="K1232" i="63"/>
  <c r="K1233" i="63"/>
  <c r="K1234" i="63"/>
  <c r="K1235" i="63"/>
  <c r="K1236" i="63"/>
  <c r="K1237" i="63"/>
  <c r="K1238" i="63"/>
  <c r="K1239" i="63"/>
  <c r="K1240" i="63"/>
  <c r="K1241" i="63"/>
  <c r="K1242" i="63"/>
  <c r="K1243" i="63"/>
  <c r="K1244" i="63"/>
  <c r="K1245" i="63"/>
  <c r="K1246" i="63"/>
  <c r="K1247" i="63"/>
  <c r="K1248" i="63"/>
  <c r="K1249" i="63"/>
  <c r="K1250" i="63"/>
  <c r="K1251" i="63"/>
  <c r="K1252" i="63"/>
  <c r="K1253" i="63"/>
  <c r="K1254" i="63"/>
  <c r="K1255" i="63"/>
  <c r="K1256" i="63"/>
  <c r="K1257" i="63"/>
  <c r="K1258" i="63"/>
  <c r="K1259" i="63"/>
  <c r="K1260" i="63"/>
  <c r="K1261" i="63"/>
  <c r="K1262" i="63"/>
  <c r="K1263" i="63"/>
  <c r="K1264" i="63"/>
  <c r="K1265" i="63"/>
  <c r="K1266" i="63"/>
  <c r="K1267" i="63"/>
  <c r="K1268" i="63"/>
  <c r="K1269" i="63"/>
  <c r="K1270" i="63"/>
  <c r="K1271" i="63"/>
  <c r="K1272" i="63"/>
  <c r="K1273" i="63"/>
  <c r="K1274" i="63"/>
  <c r="K1275" i="63"/>
  <c r="K1276" i="63"/>
  <c r="K1277" i="63"/>
  <c r="K1278" i="63"/>
  <c r="K1279" i="63"/>
  <c r="K1280" i="63"/>
  <c r="K1281" i="63"/>
  <c r="K1282" i="63"/>
  <c r="K1283" i="63"/>
  <c r="K1284" i="63"/>
  <c r="K1285" i="63"/>
  <c r="K1286" i="63"/>
  <c r="K1287" i="63"/>
  <c r="K1288" i="63"/>
  <c r="K1289" i="63"/>
  <c r="K1290" i="63"/>
  <c r="K1291" i="63"/>
  <c r="K1292" i="63"/>
  <c r="K1293" i="63"/>
  <c r="K1294" i="63"/>
  <c r="K1295" i="63"/>
  <c r="K1296" i="63"/>
  <c r="K1297" i="63"/>
  <c r="K1298" i="63"/>
  <c r="K1299" i="63"/>
  <c r="K1300" i="63"/>
  <c r="K1301" i="63"/>
  <c r="K1302" i="63"/>
  <c r="K1303" i="63"/>
  <c r="K1304" i="63"/>
  <c r="K1305" i="63"/>
  <c r="K1306" i="63"/>
  <c r="K1307" i="63"/>
  <c r="K1308" i="63"/>
  <c r="K1309" i="63"/>
  <c r="K1310" i="63"/>
  <c r="K1311" i="63"/>
  <c r="K1312" i="63"/>
  <c r="K1313" i="63"/>
  <c r="K1314" i="63"/>
  <c r="K1315" i="63"/>
  <c r="K1316" i="63"/>
  <c r="K1317" i="63"/>
  <c r="K1318" i="63"/>
  <c r="K1319" i="63"/>
  <c r="K1320" i="63"/>
  <c r="K1321" i="63"/>
  <c r="K1322" i="63"/>
  <c r="K1323" i="63"/>
  <c r="K1324" i="63"/>
  <c r="K1325" i="63"/>
  <c r="K1326" i="63"/>
  <c r="K1327" i="63"/>
  <c r="K1328" i="63"/>
  <c r="K1329" i="63"/>
  <c r="K1330" i="63"/>
  <c r="K1331" i="63"/>
  <c r="K1332" i="63"/>
  <c r="K1333" i="63"/>
  <c r="K1334" i="63"/>
  <c r="K1335" i="63"/>
  <c r="K1336" i="63"/>
  <c r="K1337" i="63"/>
  <c r="K1338" i="63"/>
  <c r="K1339" i="63"/>
  <c r="K1340" i="63"/>
  <c r="K1341" i="63"/>
  <c r="K1342" i="63"/>
  <c r="K1343" i="63"/>
  <c r="K1344" i="63"/>
  <c r="K1345" i="63"/>
  <c r="K1346" i="63"/>
  <c r="K1347" i="63"/>
  <c r="K1348" i="63"/>
  <c r="K1349" i="63"/>
  <c r="K1350" i="63"/>
  <c r="K1351" i="63"/>
  <c r="K1352" i="63"/>
  <c r="K1353" i="63"/>
  <c r="K1354" i="63"/>
  <c r="K1355" i="63"/>
  <c r="K1356" i="63"/>
  <c r="K1357" i="63"/>
  <c r="K1358" i="63"/>
  <c r="K1359" i="63"/>
  <c r="K1360" i="63"/>
  <c r="K1361" i="63"/>
  <c r="K1362" i="63"/>
  <c r="K1363" i="63"/>
  <c r="K1364" i="63"/>
  <c r="K1365" i="63"/>
  <c r="K1366" i="63"/>
  <c r="K1367" i="63"/>
  <c r="K1368" i="63"/>
  <c r="K1369" i="63"/>
  <c r="K1370" i="63"/>
  <c r="K1371" i="63"/>
  <c r="K1372" i="63"/>
  <c r="K1373" i="63"/>
  <c r="K1374" i="63"/>
  <c r="K1375" i="63"/>
  <c r="K1376" i="63"/>
  <c r="K1377" i="63"/>
  <c r="K1378" i="63"/>
  <c r="K1379" i="63"/>
  <c r="K1380" i="63"/>
  <c r="K1381" i="63"/>
  <c r="K1382" i="63"/>
  <c r="K1383" i="63"/>
  <c r="K1384" i="63"/>
  <c r="K1385" i="63"/>
  <c r="K1386" i="63"/>
  <c r="K1387" i="63"/>
  <c r="K1388" i="63"/>
  <c r="K1389" i="63"/>
  <c r="K1390" i="63"/>
  <c r="K1391" i="63"/>
  <c r="K1392" i="63"/>
  <c r="K1393" i="63"/>
  <c r="K1394" i="63"/>
  <c r="K1395" i="63"/>
  <c r="K1396" i="63"/>
  <c r="K1397" i="63"/>
  <c r="K1398" i="63"/>
  <c r="K1399" i="63"/>
  <c r="K1400" i="63"/>
  <c r="K1401" i="63"/>
  <c r="K1402" i="63"/>
  <c r="K1403" i="63"/>
  <c r="K1404" i="63"/>
  <c r="K1405" i="63"/>
  <c r="K1406" i="63"/>
  <c r="K1407" i="63"/>
  <c r="K1408" i="63"/>
  <c r="K1409" i="63"/>
  <c r="K1410" i="63"/>
  <c r="K1411" i="63"/>
  <c r="K1412" i="63"/>
  <c r="K1413" i="63"/>
  <c r="K1414" i="63"/>
  <c r="K1415" i="63"/>
  <c r="K1416" i="63"/>
  <c r="K1417" i="63"/>
  <c r="K1418" i="63"/>
  <c r="K1419" i="63"/>
  <c r="K1420" i="63"/>
  <c r="K1421" i="63"/>
  <c r="K1422" i="63"/>
  <c r="K1423" i="63"/>
  <c r="K1424" i="63"/>
  <c r="K1425" i="63"/>
  <c r="K1426" i="63"/>
  <c r="K1427" i="63"/>
  <c r="K1428" i="63"/>
  <c r="K1429" i="63"/>
  <c r="K1430" i="63"/>
  <c r="K1431" i="63"/>
  <c r="K1432" i="63"/>
  <c r="K1433" i="63"/>
  <c r="K1434" i="63"/>
  <c r="K1435" i="63"/>
  <c r="K1436" i="63"/>
  <c r="K1437" i="63"/>
  <c r="K1438" i="63"/>
  <c r="K1439" i="63"/>
  <c r="K1440" i="63"/>
  <c r="K1441" i="63"/>
  <c r="K1442" i="63"/>
  <c r="K1443" i="63"/>
  <c r="K1444" i="63"/>
  <c r="K1445" i="63"/>
  <c r="K1446" i="63"/>
  <c r="K1447" i="63"/>
  <c r="K1448" i="63"/>
  <c r="K1449" i="63"/>
  <c r="K1450" i="63"/>
  <c r="K1451" i="63"/>
  <c r="K1452" i="63"/>
  <c r="K1453" i="63"/>
  <c r="K1454" i="63"/>
  <c r="K1455" i="63"/>
  <c r="K1456" i="63"/>
  <c r="K1457" i="63"/>
  <c r="K1458" i="63"/>
  <c r="K1459" i="63"/>
  <c r="K1460" i="63"/>
  <c r="K1461" i="63"/>
  <c r="K1462" i="63"/>
  <c r="K1463" i="63"/>
  <c r="K1464" i="63"/>
  <c r="K1465" i="63"/>
  <c r="K1466" i="63"/>
  <c r="K1467" i="63"/>
  <c r="K1468" i="63"/>
  <c r="K1469" i="63"/>
  <c r="K1470" i="63"/>
  <c r="K1471" i="63"/>
  <c r="K1472" i="63"/>
  <c r="K1473" i="63"/>
  <c r="K1474" i="63"/>
  <c r="K1475" i="63"/>
  <c r="K1476" i="63"/>
  <c r="K1477" i="63"/>
  <c r="K1478" i="63"/>
  <c r="K1479" i="63"/>
  <c r="K1480" i="63"/>
  <c r="K1481" i="63"/>
  <c r="K1482" i="63"/>
  <c r="K1483" i="63"/>
  <c r="K1484" i="63"/>
  <c r="K1485" i="63"/>
  <c r="K1486" i="63"/>
  <c r="K1487" i="63"/>
  <c r="K1488" i="63"/>
  <c r="K1489" i="63"/>
  <c r="K1490" i="63"/>
  <c r="K1491" i="63"/>
  <c r="K1492" i="63"/>
  <c r="K1493" i="63"/>
  <c r="K1494" i="63"/>
  <c r="K1495" i="63"/>
  <c r="K1496" i="63"/>
  <c r="K1497" i="63"/>
  <c r="K1498" i="63"/>
  <c r="K1499" i="63"/>
  <c r="K1500" i="63"/>
  <c r="K1501" i="63"/>
  <c r="K1502" i="63"/>
  <c r="K1503" i="63"/>
  <c r="K1504" i="63"/>
  <c r="K1505" i="63"/>
  <c r="K1506" i="63"/>
  <c r="K1507" i="63"/>
  <c r="K1508" i="63"/>
  <c r="K1509" i="63"/>
  <c r="K1510" i="63"/>
  <c r="K1511" i="63"/>
  <c r="K1512" i="63"/>
  <c r="K1513" i="63"/>
  <c r="K1514" i="63"/>
  <c r="K1515" i="63"/>
  <c r="K1516" i="63"/>
  <c r="K1517" i="63"/>
  <c r="K1518" i="63"/>
  <c r="K1519" i="63"/>
  <c r="K1520" i="63"/>
  <c r="K1521" i="63"/>
  <c r="K1522" i="63"/>
  <c r="K1523" i="63"/>
  <c r="K1524" i="63"/>
  <c r="K1525" i="63"/>
  <c r="K1526" i="63"/>
  <c r="K1527" i="63"/>
  <c r="K1528" i="63"/>
  <c r="K1529" i="63"/>
  <c r="K1530" i="63"/>
  <c r="K1531" i="63"/>
  <c r="K1532" i="63"/>
  <c r="K1533" i="63"/>
  <c r="K1534" i="63"/>
  <c r="K1535" i="63"/>
  <c r="K1536" i="63"/>
  <c r="K1537" i="63"/>
  <c r="K1538" i="63"/>
  <c r="K1539" i="63"/>
  <c r="K1540" i="63"/>
  <c r="K1541" i="63"/>
  <c r="K1542" i="63"/>
  <c r="K1543" i="63"/>
  <c r="K1544" i="63"/>
  <c r="K1545" i="63"/>
  <c r="K1546" i="63"/>
  <c r="K1547" i="63"/>
  <c r="K1548" i="63"/>
  <c r="K1549" i="63"/>
  <c r="K1550" i="63"/>
  <c r="K1551" i="63"/>
  <c r="K1552" i="63"/>
  <c r="K1553" i="63"/>
  <c r="K1554" i="63"/>
  <c r="K1555" i="63"/>
  <c r="K1556" i="63"/>
  <c r="K1557" i="63"/>
  <c r="K1558" i="63"/>
  <c r="K1559" i="63"/>
  <c r="K1560" i="63"/>
  <c r="K1561" i="63"/>
  <c r="K1562" i="63"/>
  <c r="K1563" i="63"/>
  <c r="K1564" i="63"/>
  <c r="K1565" i="63"/>
  <c r="K1566" i="63"/>
  <c r="K1567" i="63"/>
  <c r="K1568" i="63"/>
  <c r="K1569" i="63"/>
  <c r="K1570" i="63"/>
  <c r="K1571" i="63"/>
  <c r="K1572" i="63"/>
  <c r="K1573" i="63"/>
  <c r="K1574" i="63"/>
  <c r="K1575" i="63"/>
  <c r="K1576" i="63"/>
  <c r="K1577" i="63"/>
  <c r="K1578" i="63"/>
  <c r="K1579" i="63"/>
  <c r="K1580" i="63"/>
  <c r="K1581" i="63"/>
  <c r="K1582" i="63"/>
  <c r="K1583" i="63"/>
  <c r="K1584" i="63"/>
  <c r="K1585" i="63"/>
  <c r="K1586" i="63"/>
  <c r="K1587" i="63"/>
  <c r="K1588" i="63"/>
  <c r="K1589" i="63"/>
  <c r="K1590" i="63"/>
  <c r="K1591" i="63"/>
  <c r="K1592" i="63"/>
  <c r="K1593" i="63"/>
  <c r="K1594" i="63"/>
  <c r="K1595" i="63"/>
  <c r="K1596" i="63"/>
  <c r="K1597" i="63"/>
  <c r="K1598" i="63"/>
  <c r="K1599" i="63"/>
  <c r="K1600" i="63"/>
  <c r="K1601" i="63"/>
  <c r="K1602" i="63"/>
  <c r="K1603" i="63"/>
  <c r="K1604" i="63"/>
  <c r="K1605" i="63"/>
  <c r="K1606" i="63"/>
  <c r="K1607" i="63"/>
  <c r="K1608" i="63"/>
  <c r="K1609" i="63"/>
  <c r="K1610" i="63"/>
  <c r="K1611" i="63"/>
  <c r="K1612" i="63"/>
  <c r="K1613" i="63"/>
  <c r="K1614" i="63"/>
  <c r="K1615" i="63"/>
  <c r="K1616" i="63"/>
  <c r="K1617" i="63"/>
  <c r="K1618" i="63"/>
  <c r="K1619" i="63"/>
  <c r="K1620" i="63"/>
  <c r="K1621" i="63"/>
  <c r="K1622" i="63"/>
  <c r="K1623" i="63"/>
  <c r="K1624" i="63"/>
  <c r="K1625" i="63"/>
  <c r="K1626" i="63"/>
  <c r="K1627" i="63"/>
  <c r="K1628" i="63"/>
  <c r="K1629" i="63"/>
  <c r="K1630" i="63"/>
  <c r="K1631" i="63"/>
  <c r="K1632" i="63"/>
  <c r="K1633" i="63"/>
  <c r="K1634" i="63"/>
  <c r="K1635" i="63"/>
  <c r="K1636" i="63"/>
  <c r="K1637" i="63"/>
  <c r="K1638" i="63"/>
  <c r="K1639" i="63"/>
  <c r="K1640" i="63"/>
  <c r="K1641" i="63"/>
  <c r="K1642" i="63"/>
  <c r="K1643" i="63"/>
  <c r="K1644" i="63"/>
  <c r="K1645" i="63"/>
  <c r="K1646" i="63"/>
  <c r="K1647" i="63"/>
  <c r="K1648" i="63"/>
  <c r="K1649" i="63"/>
  <c r="K1650" i="63"/>
  <c r="K1651" i="63"/>
  <c r="K1652" i="63"/>
  <c r="K1653" i="63"/>
  <c r="K1654" i="63"/>
  <c r="K1655" i="63"/>
  <c r="K1656" i="63"/>
  <c r="K1657" i="63"/>
  <c r="K1658" i="63"/>
  <c r="K1659" i="63"/>
  <c r="K1660" i="63"/>
  <c r="K1661" i="63"/>
  <c r="K1662" i="63"/>
  <c r="K1663" i="63"/>
  <c r="K1664" i="63"/>
  <c r="K1665" i="63"/>
  <c r="K1666" i="63"/>
  <c r="K1667" i="63"/>
  <c r="K1668" i="63"/>
  <c r="K1669" i="63"/>
  <c r="K1670" i="63"/>
  <c r="K1671" i="63"/>
  <c r="K1672" i="63"/>
  <c r="K1673" i="63"/>
  <c r="K1674" i="63"/>
  <c r="K1675" i="63"/>
  <c r="K1676" i="63"/>
  <c r="K1677" i="63"/>
  <c r="K1678" i="63"/>
  <c r="K1679" i="63"/>
  <c r="K1680" i="63"/>
  <c r="K1681" i="63"/>
  <c r="K1682" i="63"/>
  <c r="K1683" i="63"/>
  <c r="K1684" i="63"/>
  <c r="K1685" i="63"/>
  <c r="K1686" i="63"/>
  <c r="K1687" i="63"/>
  <c r="K1688" i="63"/>
  <c r="K1689" i="63"/>
  <c r="K1690" i="63"/>
  <c r="K1691" i="63"/>
  <c r="K1692" i="63"/>
  <c r="K1693" i="63"/>
  <c r="K1694" i="63"/>
  <c r="K1695" i="63"/>
  <c r="K1696" i="63"/>
  <c r="K1697" i="63"/>
  <c r="K1698" i="63"/>
  <c r="K1699" i="63"/>
  <c r="K1700" i="63"/>
  <c r="K1701" i="63"/>
  <c r="K1702" i="63"/>
  <c r="K1703" i="63"/>
  <c r="K1704" i="63"/>
  <c r="K1705" i="63"/>
  <c r="K1706" i="63"/>
  <c r="K1707" i="63"/>
  <c r="K1708" i="63"/>
  <c r="K1709" i="63"/>
  <c r="K1710" i="63"/>
  <c r="K1711" i="63"/>
  <c r="K1712" i="63"/>
  <c r="K1713" i="63"/>
  <c r="K1714" i="63"/>
  <c r="K1715" i="63"/>
  <c r="K1716" i="63"/>
  <c r="K1717" i="63"/>
  <c r="K1718" i="63"/>
  <c r="K1719" i="63"/>
  <c r="K1720" i="63"/>
  <c r="K1721" i="63"/>
  <c r="K1722" i="63"/>
  <c r="K1723" i="63"/>
  <c r="K1724" i="63"/>
  <c r="K1725" i="63"/>
  <c r="K1726" i="63"/>
  <c r="K1727" i="63"/>
  <c r="K1728" i="63"/>
  <c r="K1729" i="63"/>
  <c r="K1730" i="63"/>
  <c r="K1731" i="63"/>
  <c r="K1732" i="63"/>
  <c r="K1733" i="63"/>
  <c r="K1734" i="63"/>
  <c r="K1735" i="63"/>
  <c r="K1736" i="63"/>
  <c r="K1737" i="63"/>
  <c r="K1738" i="63"/>
  <c r="K1739" i="63"/>
  <c r="K1740" i="63"/>
  <c r="K1741" i="63"/>
  <c r="K1742" i="63"/>
  <c r="K1743" i="63"/>
  <c r="K1744" i="63"/>
  <c r="K1745" i="63"/>
  <c r="K1746" i="63"/>
  <c r="K1747" i="63"/>
  <c r="K1748" i="63"/>
  <c r="K1749" i="63"/>
  <c r="K1750" i="63"/>
  <c r="K1751" i="63"/>
  <c r="K1752" i="63"/>
  <c r="K1753" i="63"/>
  <c r="K1754" i="63"/>
  <c r="K1755" i="63"/>
  <c r="K1756" i="63"/>
  <c r="K1757" i="63"/>
  <c r="K1758" i="63"/>
  <c r="K1759" i="63"/>
  <c r="K1760" i="63"/>
  <c r="K1761" i="63"/>
  <c r="K1762" i="63"/>
  <c r="K1763" i="63"/>
  <c r="K1764" i="63"/>
  <c r="K1765" i="63"/>
  <c r="K1766" i="63"/>
  <c r="K1767" i="63"/>
  <c r="K1768" i="63"/>
  <c r="K1769" i="63"/>
  <c r="K1770" i="63"/>
  <c r="K1771" i="63"/>
  <c r="K1772" i="63"/>
  <c r="K1773" i="63"/>
  <c r="K1774" i="63"/>
  <c r="K1775" i="63"/>
  <c r="K1776" i="63"/>
  <c r="K1777" i="63"/>
  <c r="K1778" i="63"/>
  <c r="K1779" i="63"/>
  <c r="K1780" i="63"/>
  <c r="K1781" i="63"/>
  <c r="K1782" i="63"/>
  <c r="K1783" i="63"/>
  <c r="K1784" i="63"/>
  <c r="K1785" i="63"/>
  <c r="K1786" i="63"/>
  <c r="K1787" i="63"/>
  <c r="K1788" i="63"/>
  <c r="K1789" i="63"/>
  <c r="K1790" i="63"/>
  <c r="K1791" i="63"/>
  <c r="K1792" i="63"/>
  <c r="K1793" i="63"/>
  <c r="K1794" i="63"/>
  <c r="K1795" i="63"/>
  <c r="K1796" i="63"/>
  <c r="K1797" i="63"/>
  <c r="K1798" i="63"/>
  <c r="K1799" i="63"/>
  <c r="K1800" i="63"/>
  <c r="K1801" i="63"/>
  <c r="K1802" i="63"/>
  <c r="K1803" i="63"/>
  <c r="K1804" i="63"/>
  <c r="K1805" i="63"/>
  <c r="K1806" i="63"/>
  <c r="K1807" i="63"/>
  <c r="K1808" i="63"/>
  <c r="K1809" i="63"/>
  <c r="K1810" i="63"/>
  <c r="K1811" i="63"/>
  <c r="K1812" i="63"/>
  <c r="K1813" i="63"/>
  <c r="K1814" i="63"/>
  <c r="K1815" i="63"/>
  <c r="K1816" i="63"/>
  <c r="K1817" i="63"/>
  <c r="K1818" i="63"/>
  <c r="K1819" i="63"/>
  <c r="K1820" i="63"/>
  <c r="K1821" i="63"/>
  <c r="K1822" i="63"/>
  <c r="K1823" i="63"/>
  <c r="K1824" i="63"/>
  <c r="K1825" i="63"/>
  <c r="K1826" i="63"/>
  <c r="K1827" i="63"/>
  <c r="K1828" i="63"/>
  <c r="K1829" i="63"/>
  <c r="K1830" i="63"/>
  <c r="K1831" i="63"/>
  <c r="K1832" i="63"/>
  <c r="K1833" i="63"/>
  <c r="K1834" i="63"/>
  <c r="K1835" i="63"/>
  <c r="K1836" i="63"/>
  <c r="K1837" i="63"/>
  <c r="K1838" i="63"/>
  <c r="K1839" i="63"/>
  <c r="K1840" i="63"/>
  <c r="K1841" i="63"/>
  <c r="K1842" i="63"/>
  <c r="K1843" i="63"/>
  <c r="K1844" i="63"/>
  <c r="K1845" i="63"/>
  <c r="K1846" i="63"/>
  <c r="K1847" i="63"/>
  <c r="K1848" i="63"/>
  <c r="K1849" i="63"/>
  <c r="K1850" i="63"/>
  <c r="K1851" i="63"/>
  <c r="K1852" i="63"/>
  <c r="K1853" i="63"/>
  <c r="K1854" i="63"/>
  <c r="K1855" i="63"/>
  <c r="K1856" i="63"/>
  <c r="K1857" i="63"/>
  <c r="K1858" i="63"/>
  <c r="K1859" i="63"/>
  <c r="K1860" i="63"/>
  <c r="K1861" i="63"/>
  <c r="K1862" i="63"/>
  <c r="K1863" i="63"/>
  <c r="K1864" i="63"/>
  <c r="K1865" i="63"/>
  <c r="K1866" i="63"/>
  <c r="K1867" i="63"/>
  <c r="K1868" i="63"/>
  <c r="K1869" i="63"/>
  <c r="K1870" i="63"/>
  <c r="K1871" i="63"/>
  <c r="K1872" i="63"/>
  <c r="K1873" i="63"/>
  <c r="K1874" i="63"/>
  <c r="K1875" i="63"/>
  <c r="K1876" i="63"/>
  <c r="K1877" i="63"/>
  <c r="K1878" i="63"/>
  <c r="K1879" i="63"/>
  <c r="K1880" i="63"/>
  <c r="K1881" i="63"/>
  <c r="K1882" i="63"/>
  <c r="K1883" i="63"/>
  <c r="K1884" i="63"/>
  <c r="K1885" i="63"/>
  <c r="K1886" i="63"/>
  <c r="K1887" i="63"/>
  <c r="K1888" i="63"/>
  <c r="K1889" i="63"/>
  <c r="K1890" i="63"/>
  <c r="K1891" i="63"/>
  <c r="K1892" i="63"/>
  <c r="K1893" i="63"/>
  <c r="K1894" i="63"/>
  <c r="K1895" i="63"/>
  <c r="K1896" i="63"/>
  <c r="K1897" i="63"/>
  <c r="K1898" i="63"/>
  <c r="K1899" i="63"/>
  <c r="K1900" i="63"/>
  <c r="K1901" i="63"/>
  <c r="K1902" i="63"/>
  <c r="K1903" i="63"/>
  <c r="K1904" i="63"/>
  <c r="K1905" i="63"/>
  <c r="K1906" i="63"/>
  <c r="K1907" i="63"/>
  <c r="K1908" i="63"/>
  <c r="K1909" i="63"/>
  <c r="K1910" i="63"/>
  <c r="K1911" i="63"/>
  <c r="K1912" i="63"/>
  <c r="K1913" i="63"/>
  <c r="K1914" i="63"/>
  <c r="K1915" i="63"/>
  <c r="K1916" i="63"/>
  <c r="K1917" i="63"/>
  <c r="K1918" i="63"/>
  <c r="K1919" i="63"/>
  <c r="K1920" i="63"/>
  <c r="K1921" i="63"/>
  <c r="K1922" i="63"/>
  <c r="K1923" i="63"/>
  <c r="K1924" i="63"/>
  <c r="K1925" i="63"/>
  <c r="K1926" i="63"/>
  <c r="K1927" i="63"/>
  <c r="K1928" i="63"/>
  <c r="K1929" i="63"/>
  <c r="K1930" i="63"/>
  <c r="K1931" i="63"/>
  <c r="K1932" i="63"/>
  <c r="K1933" i="63"/>
  <c r="K1934" i="63"/>
  <c r="K1935" i="63"/>
  <c r="K1936" i="63"/>
  <c r="K1937" i="63"/>
  <c r="K1938" i="63"/>
  <c r="K1939" i="63"/>
  <c r="K1940" i="63"/>
  <c r="K1941" i="63"/>
  <c r="K1942" i="63"/>
  <c r="K1943" i="63"/>
  <c r="K1944" i="63"/>
  <c r="K1945" i="63"/>
  <c r="K1946" i="63"/>
  <c r="K1947" i="63"/>
  <c r="K1948" i="63"/>
  <c r="K1949" i="63"/>
  <c r="K1950" i="63"/>
  <c r="K1951" i="63"/>
  <c r="K1952" i="63"/>
  <c r="K1953" i="63"/>
  <c r="K1954" i="63"/>
  <c r="K1955" i="63"/>
  <c r="K1956" i="63"/>
  <c r="K1957" i="63"/>
  <c r="K1958" i="63"/>
  <c r="K1959" i="63"/>
  <c r="K1960" i="63"/>
  <c r="K1961" i="63"/>
  <c r="K1962" i="63"/>
  <c r="K1963" i="63"/>
  <c r="K1964" i="63"/>
  <c r="K1965" i="63"/>
  <c r="K1966" i="63"/>
  <c r="K1967" i="63"/>
  <c r="K1968" i="63"/>
  <c r="K1969" i="63"/>
  <c r="K1970" i="63"/>
  <c r="K1971" i="63"/>
  <c r="K1972" i="63"/>
  <c r="K1973" i="63"/>
  <c r="K1974" i="63"/>
  <c r="K1975" i="63"/>
  <c r="K1976" i="63"/>
  <c r="K1977" i="63"/>
  <c r="K1978" i="63"/>
  <c r="K1979" i="63"/>
  <c r="K1980" i="63"/>
  <c r="K1981" i="63"/>
  <c r="K1982" i="63"/>
  <c r="K1983" i="63"/>
  <c r="K1984" i="63"/>
  <c r="K1985" i="63"/>
  <c r="K1986" i="63"/>
  <c r="K1987" i="63"/>
  <c r="K1988" i="63"/>
  <c r="K1989" i="63"/>
  <c r="K1990" i="63"/>
  <c r="K1991" i="63"/>
  <c r="K1992" i="63"/>
  <c r="K1993" i="63"/>
  <c r="K1994" i="63"/>
  <c r="K1995" i="63"/>
  <c r="K1996" i="63"/>
  <c r="K1997" i="63"/>
  <c r="K1998" i="63"/>
  <c r="K1999" i="63"/>
  <c r="K2000" i="63"/>
  <c r="K2001" i="63"/>
  <c r="K2002" i="63"/>
  <c r="K2003" i="63"/>
  <c r="K2004" i="63"/>
  <c r="K2005" i="63"/>
  <c r="K2006" i="63"/>
  <c r="K2007" i="63"/>
  <c r="K2008" i="63"/>
  <c r="K2009" i="63"/>
  <c r="K2010" i="63"/>
  <c r="K2011" i="63"/>
  <c r="K2012" i="63"/>
  <c r="K2013" i="63"/>
  <c r="K2014" i="63"/>
  <c r="K2015" i="63"/>
  <c r="K2016" i="63"/>
  <c r="K2017" i="63"/>
  <c r="K2018" i="63"/>
  <c r="K2019" i="63"/>
  <c r="K2020" i="63"/>
  <c r="K2021" i="63"/>
  <c r="K2022" i="63"/>
  <c r="K2023" i="63"/>
  <c r="K3" i="63"/>
  <c r="AF5" i="63" l="1"/>
  <c r="I5" i="63" s="1"/>
  <c r="AF6" i="63"/>
  <c r="I6" i="63" s="1"/>
  <c r="AF7" i="63"/>
  <c r="I7" i="63" s="1"/>
  <c r="AF8" i="63"/>
  <c r="I8" i="63" s="1"/>
  <c r="AF9" i="63"/>
  <c r="I9" i="63" s="1"/>
  <c r="AF10" i="63"/>
  <c r="I10" i="63" s="1"/>
  <c r="AF11" i="63"/>
  <c r="I11" i="63" s="1"/>
  <c r="I12" i="63"/>
  <c r="AF12" i="63"/>
  <c r="AF13" i="63"/>
  <c r="I13" i="63" s="1"/>
  <c r="AF14" i="63"/>
  <c r="I14" i="63" s="1"/>
  <c r="AF15" i="63"/>
  <c r="I15" i="63" s="1"/>
  <c r="AF16" i="63"/>
  <c r="I16" i="63" s="1"/>
  <c r="AF17" i="63"/>
  <c r="I17" i="63" s="1"/>
  <c r="AF18" i="63"/>
  <c r="I18" i="63" s="1"/>
  <c r="AF19" i="63"/>
  <c r="I19" i="63" s="1"/>
  <c r="AF20" i="63"/>
  <c r="I20" i="63" s="1"/>
  <c r="AF21" i="63"/>
  <c r="I21" i="63" s="1"/>
  <c r="AF22" i="63"/>
  <c r="I22" i="63" s="1"/>
  <c r="AF23" i="63"/>
  <c r="I23" i="63" s="1"/>
  <c r="AF24" i="63"/>
  <c r="I24" i="63" s="1"/>
  <c r="AF25" i="63"/>
  <c r="I25" i="63" s="1"/>
  <c r="AF26" i="63"/>
  <c r="I26" i="63" s="1"/>
  <c r="AF27" i="63"/>
  <c r="I27" i="63" s="1"/>
  <c r="AF28" i="63"/>
  <c r="I28" i="63" s="1"/>
  <c r="AF29" i="63"/>
  <c r="I29" i="63" s="1"/>
  <c r="AF30" i="63"/>
  <c r="I30" i="63" s="1"/>
  <c r="AF31" i="63"/>
  <c r="I31" i="63" s="1"/>
  <c r="AF32" i="63"/>
  <c r="I32" i="63" s="1"/>
  <c r="AF33" i="63"/>
  <c r="I33" i="63" s="1"/>
  <c r="AF34" i="63"/>
  <c r="I34" i="63" s="1"/>
  <c r="AF35" i="63"/>
  <c r="I35" i="63" s="1"/>
  <c r="I36" i="63"/>
  <c r="AF36" i="63"/>
  <c r="AF37" i="63"/>
  <c r="I37" i="63" s="1"/>
  <c r="AF38" i="63"/>
  <c r="I38" i="63" s="1"/>
  <c r="AF39" i="63"/>
  <c r="I39" i="63" s="1"/>
  <c r="AF40" i="63"/>
  <c r="I40" i="63" s="1"/>
  <c r="AF41" i="63"/>
  <c r="I41" i="63" s="1"/>
  <c r="AF42" i="63"/>
  <c r="I42" i="63" s="1"/>
  <c r="AF43" i="63"/>
  <c r="I43" i="63" s="1"/>
  <c r="AF44" i="63"/>
  <c r="I44" i="63" s="1"/>
  <c r="AF45" i="63"/>
  <c r="I45" i="63" s="1"/>
  <c r="AF46" i="63"/>
  <c r="I46" i="63" s="1"/>
  <c r="AF47" i="63"/>
  <c r="I47" i="63" s="1"/>
  <c r="AF48" i="63"/>
  <c r="I48" i="63" s="1"/>
  <c r="AF49" i="63"/>
  <c r="I49" i="63" s="1"/>
  <c r="AF50" i="63"/>
  <c r="I50" i="63" s="1"/>
  <c r="AF51" i="63"/>
  <c r="I51" i="63" s="1"/>
  <c r="AF52" i="63"/>
  <c r="I52" i="63" s="1"/>
  <c r="AF53" i="63"/>
  <c r="I53" i="63" s="1"/>
  <c r="AF54" i="63"/>
  <c r="I54" i="63" s="1"/>
  <c r="AF55" i="63"/>
  <c r="I55" i="63" s="1"/>
  <c r="AF56" i="63"/>
  <c r="I56" i="63" s="1"/>
  <c r="AF57" i="63"/>
  <c r="I57" i="63" s="1"/>
  <c r="AF58" i="63"/>
  <c r="I58" i="63" s="1"/>
  <c r="AF59" i="63"/>
  <c r="I59" i="63" s="1"/>
  <c r="AF60" i="63"/>
  <c r="I60" i="63" s="1"/>
  <c r="AF61" i="63"/>
  <c r="I61" i="63" s="1"/>
  <c r="AF62" i="63"/>
  <c r="I62" i="63" s="1"/>
  <c r="AF63" i="63"/>
  <c r="I63" i="63" s="1"/>
  <c r="AF64" i="63"/>
  <c r="I64" i="63" s="1"/>
  <c r="AF65" i="63"/>
  <c r="I65" i="63" s="1"/>
  <c r="AF66" i="63"/>
  <c r="I66" i="63" s="1"/>
  <c r="AF67" i="63"/>
  <c r="I67" i="63" s="1"/>
  <c r="AF68" i="63"/>
  <c r="I68" i="63" s="1"/>
  <c r="AF69" i="63"/>
  <c r="I69" i="63" s="1"/>
  <c r="AF70" i="63"/>
  <c r="I70" i="63" s="1"/>
  <c r="AF71" i="63"/>
  <c r="I71" i="63" s="1"/>
  <c r="AF72" i="63"/>
  <c r="I72" i="63" s="1"/>
  <c r="AF73" i="63"/>
  <c r="I73" i="63" s="1"/>
  <c r="AF74" i="63"/>
  <c r="I74" i="63" s="1"/>
  <c r="AF75" i="63"/>
  <c r="I75" i="63" s="1"/>
  <c r="AF76" i="63"/>
  <c r="I76" i="63" s="1"/>
  <c r="AF77" i="63"/>
  <c r="I77" i="63" s="1"/>
  <c r="I78" i="63"/>
  <c r="AF78" i="63"/>
  <c r="AF79" i="63"/>
  <c r="I79" i="63" s="1"/>
  <c r="I80" i="63"/>
  <c r="AF80" i="63"/>
  <c r="AF81" i="63"/>
  <c r="I81" i="63" s="1"/>
  <c r="AF82" i="63"/>
  <c r="I82" i="63" s="1"/>
  <c r="AF83" i="63"/>
  <c r="I83" i="63" s="1"/>
  <c r="I84" i="63"/>
  <c r="AF84" i="63"/>
  <c r="AF85" i="63"/>
  <c r="I85" i="63" s="1"/>
  <c r="AF86" i="63"/>
  <c r="I86" i="63" s="1"/>
  <c r="AF87" i="63"/>
  <c r="I87" i="63" s="1"/>
  <c r="AF88" i="63"/>
  <c r="I88" i="63" s="1"/>
  <c r="AF89" i="63"/>
  <c r="I89" i="63" s="1"/>
  <c r="AF90" i="63"/>
  <c r="I90" i="63" s="1"/>
  <c r="AF91" i="63"/>
  <c r="I91" i="63" s="1"/>
  <c r="AF92" i="63"/>
  <c r="I92" i="63" s="1"/>
  <c r="AF93" i="63"/>
  <c r="I93" i="63" s="1"/>
  <c r="AF94" i="63"/>
  <c r="I94" i="63" s="1"/>
  <c r="AF95" i="63"/>
  <c r="I95" i="63" s="1"/>
  <c r="AF96" i="63"/>
  <c r="I96" i="63" s="1"/>
  <c r="AF97" i="63"/>
  <c r="I97" i="63" s="1"/>
  <c r="AF98" i="63"/>
  <c r="I98" i="63" s="1"/>
  <c r="AF99" i="63"/>
  <c r="I99" i="63" s="1"/>
  <c r="AF100" i="63"/>
  <c r="I100" i="63" s="1"/>
  <c r="AF101" i="63"/>
  <c r="I101" i="63" s="1"/>
  <c r="AF102" i="63"/>
  <c r="I102" i="63" s="1"/>
  <c r="AF103" i="63"/>
  <c r="I103" i="63" s="1"/>
  <c r="AF104" i="63"/>
  <c r="I104" i="63" s="1"/>
  <c r="AF105" i="63"/>
  <c r="I105" i="63" s="1"/>
  <c r="AF106" i="63"/>
  <c r="I106" i="63" s="1"/>
  <c r="AF107" i="63"/>
  <c r="I107" i="63" s="1"/>
  <c r="AF108" i="63"/>
  <c r="I108" i="63" s="1"/>
  <c r="AF109" i="63"/>
  <c r="I109" i="63" s="1"/>
  <c r="AF110" i="63"/>
  <c r="I110" i="63" s="1"/>
  <c r="AF111" i="63"/>
  <c r="I111" i="63" s="1"/>
  <c r="AF112" i="63"/>
  <c r="I112" i="63" s="1"/>
  <c r="AF113" i="63"/>
  <c r="I113" i="63" s="1"/>
  <c r="AF114" i="63"/>
  <c r="I114" i="63" s="1"/>
  <c r="AF115" i="63"/>
  <c r="I115" i="63" s="1"/>
  <c r="I116" i="63"/>
  <c r="AF116" i="63"/>
  <c r="I117" i="63"/>
  <c r="AF117" i="63"/>
  <c r="AF118" i="63"/>
  <c r="I118" i="63" s="1"/>
  <c r="AF119" i="63"/>
  <c r="I119" i="63" s="1"/>
  <c r="AF120" i="63"/>
  <c r="I120" i="63" s="1"/>
  <c r="I121" i="63"/>
  <c r="AF121" i="63"/>
  <c r="AF122" i="63"/>
  <c r="I122" i="63" s="1"/>
  <c r="AF123" i="63"/>
  <c r="I123" i="63" s="1"/>
  <c r="AF124" i="63"/>
  <c r="I124" i="63" s="1"/>
  <c r="AF125" i="63"/>
  <c r="I125" i="63" s="1"/>
  <c r="I126" i="63"/>
  <c r="AF126" i="63"/>
  <c r="AF127" i="63"/>
  <c r="I127" i="63" s="1"/>
  <c r="AF128" i="63"/>
  <c r="I128" i="63" s="1"/>
  <c r="AF129" i="63"/>
  <c r="I129" i="63" s="1"/>
  <c r="AF130" i="63"/>
  <c r="I130" i="63" s="1"/>
  <c r="AF131" i="63"/>
  <c r="I131" i="63" s="1"/>
  <c r="AF132" i="63"/>
  <c r="I132" i="63" s="1"/>
  <c r="I133" i="63"/>
  <c r="AF133" i="63"/>
  <c r="I134" i="63"/>
  <c r="AF134" i="63"/>
  <c r="AF135" i="63"/>
  <c r="I135" i="63" s="1"/>
  <c r="AF136" i="63"/>
  <c r="I136" i="63" s="1"/>
  <c r="AF137" i="63"/>
  <c r="I137" i="63" s="1"/>
  <c r="AF138" i="63"/>
  <c r="I138" i="63" s="1"/>
  <c r="AF139" i="63"/>
  <c r="I139" i="63" s="1"/>
  <c r="AF140" i="63"/>
  <c r="I140" i="63" s="1"/>
  <c r="AF141" i="63"/>
  <c r="I141" i="63" s="1"/>
  <c r="AF142" i="63"/>
  <c r="I142" i="63" s="1"/>
  <c r="AF143" i="63"/>
  <c r="I143" i="63" s="1"/>
  <c r="AF144" i="63"/>
  <c r="I144" i="63" s="1"/>
  <c r="AF145" i="63"/>
  <c r="I145" i="63" s="1"/>
  <c r="AF146" i="63"/>
  <c r="I146" i="63" s="1"/>
  <c r="AF147" i="63"/>
  <c r="I147" i="63" s="1"/>
  <c r="AF148" i="63"/>
  <c r="I148" i="63" s="1"/>
  <c r="AF149" i="63"/>
  <c r="I149" i="63" s="1"/>
  <c r="AF150" i="63"/>
  <c r="I150" i="63" s="1"/>
  <c r="AF151" i="63"/>
  <c r="I151" i="63" s="1"/>
  <c r="AF152" i="63"/>
  <c r="I152" i="63" s="1"/>
  <c r="AF153" i="63"/>
  <c r="I153" i="63" s="1"/>
  <c r="AF154" i="63"/>
  <c r="I154" i="63" s="1"/>
  <c r="AF155" i="63"/>
  <c r="I155" i="63" s="1"/>
  <c r="AF156" i="63"/>
  <c r="I156" i="63" s="1"/>
  <c r="AF157" i="63"/>
  <c r="I157" i="63" s="1"/>
  <c r="AF158" i="63"/>
  <c r="I158" i="63" s="1"/>
  <c r="AF159" i="63"/>
  <c r="I159" i="63" s="1"/>
  <c r="AF160" i="63"/>
  <c r="I160" i="63" s="1"/>
  <c r="AF161" i="63"/>
  <c r="I161" i="63" s="1"/>
  <c r="AF162" i="63"/>
  <c r="I162" i="63" s="1"/>
  <c r="AF163" i="63"/>
  <c r="I163" i="63" s="1"/>
  <c r="AF164" i="63"/>
  <c r="I164" i="63" s="1"/>
  <c r="AF165" i="63"/>
  <c r="I165" i="63" s="1"/>
  <c r="AF166" i="63"/>
  <c r="I166" i="63" s="1"/>
  <c r="AF167" i="63"/>
  <c r="I167" i="63" s="1"/>
  <c r="AF168" i="63"/>
  <c r="I168" i="63" s="1"/>
  <c r="AF169" i="63"/>
  <c r="I169" i="63" s="1"/>
  <c r="AF170" i="63"/>
  <c r="I170" i="63" s="1"/>
  <c r="AF171" i="63"/>
  <c r="I171" i="63" s="1"/>
  <c r="AF172" i="63"/>
  <c r="I172" i="63" s="1"/>
  <c r="AF173" i="63"/>
  <c r="I173" i="63" s="1"/>
  <c r="I174" i="63"/>
  <c r="AF174" i="63"/>
  <c r="AF175" i="63"/>
  <c r="I175" i="63" s="1"/>
  <c r="I176" i="63"/>
  <c r="AF176" i="63"/>
  <c r="AF177" i="63"/>
  <c r="I177" i="63" s="1"/>
  <c r="AF178" i="63"/>
  <c r="I178" i="63" s="1"/>
  <c r="AF179" i="63"/>
  <c r="I179" i="63" s="1"/>
  <c r="AF180" i="63"/>
  <c r="I180" i="63" s="1"/>
  <c r="I181" i="63"/>
  <c r="AF181" i="63"/>
  <c r="I182" i="63"/>
  <c r="AF182" i="63"/>
  <c r="AF183" i="63"/>
  <c r="I183" i="63" s="1"/>
  <c r="AF184" i="63"/>
  <c r="I184" i="63" s="1"/>
  <c r="AF185" i="63"/>
  <c r="I185" i="63" s="1"/>
  <c r="AF186" i="63"/>
  <c r="I186" i="63" s="1"/>
  <c r="AF187" i="63"/>
  <c r="I187" i="63" s="1"/>
  <c r="AF188" i="63"/>
  <c r="I188" i="63" s="1"/>
  <c r="AF189" i="63"/>
  <c r="I189" i="63" s="1"/>
  <c r="AF190" i="63"/>
  <c r="I190" i="63" s="1"/>
  <c r="AF191" i="63"/>
  <c r="I191" i="63" s="1"/>
  <c r="AF192" i="63"/>
  <c r="I192" i="63" s="1"/>
  <c r="AF193" i="63"/>
  <c r="I193" i="63" s="1"/>
  <c r="AF194" i="63"/>
  <c r="I194" i="63" s="1"/>
  <c r="AF195" i="63"/>
  <c r="I195" i="63" s="1"/>
  <c r="AF196" i="63"/>
  <c r="I196" i="63" s="1"/>
  <c r="AF197" i="63"/>
  <c r="I197" i="63" s="1"/>
  <c r="AF198" i="63"/>
  <c r="I198" i="63" s="1"/>
  <c r="AF199" i="63"/>
  <c r="I199" i="63" s="1"/>
  <c r="AF200" i="63"/>
  <c r="I200" i="63" s="1"/>
  <c r="AF201" i="63"/>
  <c r="I201" i="63" s="1"/>
  <c r="AF202" i="63"/>
  <c r="I202" i="63" s="1"/>
  <c r="AF203" i="63"/>
  <c r="I203" i="63" s="1"/>
  <c r="AF204" i="63"/>
  <c r="I204" i="63" s="1"/>
  <c r="I205" i="63"/>
  <c r="AF205" i="63"/>
  <c r="I206" i="63"/>
  <c r="AF206" i="63"/>
  <c r="AF207" i="63"/>
  <c r="I207" i="63" s="1"/>
  <c r="I208" i="63"/>
  <c r="AF208" i="63"/>
  <c r="AF209" i="63"/>
  <c r="I209" i="63" s="1"/>
  <c r="AF210" i="63"/>
  <c r="I210" i="63" s="1"/>
  <c r="AF211" i="63"/>
  <c r="I211" i="63" s="1"/>
  <c r="AF212" i="63"/>
  <c r="I212" i="63" s="1"/>
  <c r="AF213" i="63"/>
  <c r="I213" i="63" s="1"/>
  <c r="AF214" i="63"/>
  <c r="I214" i="63" s="1"/>
  <c r="AF215" i="63"/>
  <c r="I215" i="63" s="1"/>
  <c r="AF216" i="63"/>
  <c r="I216" i="63" s="1"/>
  <c r="AF217" i="63"/>
  <c r="I217" i="63" s="1"/>
  <c r="AF218" i="63"/>
  <c r="I218" i="63" s="1"/>
  <c r="AF219" i="63"/>
  <c r="I219" i="63" s="1"/>
  <c r="AF220" i="63"/>
  <c r="I220" i="63" s="1"/>
  <c r="AF221" i="63"/>
  <c r="I221" i="63" s="1"/>
  <c r="I222" i="63"/>
  <c r="AF222" i="63"/>
  <c r="AF223" i="63"/>
  <c r="I223" i="63" s="1"/>
  <c r="AF224" i="63"/>
  <c r="I224" i="63" s="1"/>
  <c r="AF225" i="63"/>
  <c r="I225" i="63" s="1"/>
  <c r="AF226" i="63"/>
  <c r="I226" i="63" s="1"/>
  <c r="AF227" i="63"/>
  <c r="I227" i="63" s="1"/>
  <c r="AF228" i="63"/>
  <c r="I228" i="63" s="1"/>
  <c r="I229" i="63"/>
  <c r="AF229" i="63"/>
  <c r="AF230" i="63"/>
  <c r="I230" i="63" s="1"/>
  <c r="AF231" i="63"/>
  <c r="I231" i="63" s="1"/>
  <c r="AF232" i="63"/>
  <c r="I232" i="63" s="1"/>
  <c r="AF233" i="63"/>
  <c r="I233" i="63" s="1"/>
  <c r="AF234" i="63"/>
  <c r="I234" i="63" s="1"/>
  <c r="AF235" i="63"/>
  <c r="I235" i="63" s="1"/>
  <c r="I236" i="63"/>
  <c r="AF236" i="63"/>
  <c r="I237" i="63"/>
  <c r="AF237" i="63"/>
  <c r="AF238" i="63"/>
  <c r="I238" i="63" s="1"/>
  <c r="AF239" i="63"/>
  <c r="I239" i="63" s="1"/>
  <c r="AF240" i="63"/>
  <c r="I240" i="63" s="1"/>
  <c r="AF241" i="63"/>
  <c r="I241" i="63" s="1"/>
  <c r="AF242" i="63"/>
  <c r="I242" i="63" s="1"/>
  <c r="AF243" i="63"/>
  <c r="I243" i="63" s="1"/>
  <c r="AF244" i="63"/>
  <c r="I244" i="63" s="1"/>
  <c r="AF245" i="63"/>
  <c r="I245" i="63" s="1"/>
  <c r="AF246" i="63"/>
  <c r="I246" i="63" s="1"/>
  <c r="AF247" i="63"/>
  <c r="I247" i="63" s="1"/>
  <c r="AF248" i="63"/>
  <c r="I248" i="63" s="1"/>
  <c r="AF249" i="63"/>
  <c r="I249" i="63" s="1"/>
  <c r="AF250" i="63"/>
  <c r="I250" i="63" s="1"/>
  <c r="AF251" i="63"/>
  <c r="I251" i="63" s="1"/>
  <c r="AF252" i="63"/>
  <c r="I252" i="63" s="1"/>
  <c r="AF253" i="63"/>
  <c r="I253" i="63" s="1"/>
  <c r="AF254" i="63"/>
  <c r="I254" i="63" s="1"/>
  <c r="AF255" i="63"/>
  <c r="I255" i="63" s="1"/>
  <c r="AF256" i="63"/>
  <c r="I256" i="63" s="1"/>
  <c r="AF257" i="63"/>
  <c r="I257" i="63" s="1"/>
  <c r="AF258" i="63"/>
  <c r="I258" i="63" s="1"/>
  <c r="AF259" i="63"/>
  <c r="I259" i="63" s="1"/>
  <c r="I260" i="63"/>
  <c r="AF260" i="63"/>
  <c r="AF261" i="63"/>
  <c r="I261" i="63" s="1"/>
  <c r="I262" i="63"/>
  <c r="AF262" i="63"/>
  <c r="AF263" i="63"/>
  <c r="I263" i="63" s="1"/>
  <c r="AF264" i="63"/>
  <c r="I264" i="63" s="1"/>
  <c r="AF265" i="63"/>
  <c r="I265" i="63" s="1"/>
  <c r="AF266" i="63"/>
  <c r="I266" i="63" s="1"/>
  <c r="AF267" i="63"/>
  <c r="I267" i="63" s="1"/>
  <c r="AF268" i="63"/>
  <c r="I268" i="63" s="1"/>
  <c r="I269" i="63"/>
  <c r="AF269" i="63"/>
  <c r="AF270" i="63"/>
  <c r="I270" i="63" s="1"/>
  <c r="AF271" i="63"/>
  <c r="I271" i="63" s="1"/>
  <c r="AF272" i="63"/>
  <c r="I272" i="63" s="1"/>
  <c r="AF273" i="63"/>
  <c r="I273" i="63" s="1"/>
  <c r="AF274" i="63"/>
  <c r="I274" i="63" s="1"/>
  <c r="AF275" i="63"/>
  <c r="I275" i="63" s="1"/>
  <c r="AF276" i="63"/>
  <c r="I276" i="63" s="1"/>
  <c r="I277" i="63"/>
  <c r="AF277" i="63"/>
  <c r="AF278" i="63"/>
  <c r="I278" i="63" s="1"/>
  <c r="AF279" i="63"/>
  <c r="I279" i="63" s="1"/>
  <c r="AF280" i="63"/>
  <c r="I280" i="63" s="1"/>
  <c r="AF281" i="63"/>
  <c r="I281" i="63" s="1"/>
  <c r="AF282" i="63"/>
  <c r="I282" i="63" s="1"/>
  <c r="AF283" i="63"/>
  <c r="I283" i="63" s="1"/>
  <c r="AF284" i="63"/>
  <c r="I284" i="63" s="1"/>
  <c r="AF285" i="63"/>
  <c r="I285" i="63" s="1"/>
  <c r="AF286" i="63"/>
  <c r="I286" i="63" s="1"/>
  <c r="AF287" i="63"/>
  <c r="I287" i="63" s="1"/>
  <c r="AF288" i="63"/>
  <c r="I288" i="63" s="1"/>
  <c r="AF289" i="63"/>
  <c r="I289" i="63" s="1"/>
  <c r="AF290" i="63"/>
  <c r="I290" i="63" s="1"/>
  <c r="AF291" i="63"/>
  <c r="I291" i="63" s="1"/>
  <c r="AF292" i="63"/>
  <c r="I292" i="63" s="1"/>
  <c r="I293" i="63"/>
  <c r="AF293" i="63"/>
  <c r="AF294" i="63"/>
  <c r="I294" i="63" s="1"/>
  <c r="AF295" i="63"/>
  <c r="I295" i="63" s="1"/>
  <c r="AF296" i="63"/>
  <c r="I296" i="63" s="1"/>
  <c r="AF297" i="63"/>
  <c r="I297" i="63" s="1"/>
  <c r="AF298" i="63"/>
  <c r="I298" i="63" s="1"/>
  <c r="AF299" i="63"/>
  <c r="I299" i="63" s="1"/>
  <c r="I300" i="63"/>
  <c r="AF300" i="63"/>
  <c r="I301" i="63"/>
  <c r="AF301" i="63"/>
  <c r="AF302" i="63"/>
  <c r="I302" i="63" s="1"/>
  <c r="AF303" i="63"/>
  <c r="I303" i="63" s="1"/>
  <c r="AF304" i="63"/>
  <c r="I304" i="63" s="1"/>
  <c r="AF305" i="63"/>
  <c r="I305" i="63" s="1"/>
  <c r="AF306" i="63"/>
  <c r="I306" i="63" s="1"/>
  <c r="AF307" i="63"/>
  <c r="I307" i="63" s="1"/>
  <c r="AF308" i="63"/>
  <c r="I308" i="63" s="1"/>
  <c r="AF309" i="63"/>
  <c r="I309" i="63" s="1"/>
  <c r="AF310" i="63"/>
  <c r="I310" i="63" s="1"/>
  <c r="AF311" i="63"/>
  <c r="I311" i="63" s="1"/>
  <c r="AF312" i="63"/>
  <c r="I312" i="63" s="1"/>
  <c r="AF313" i="63"/>
  <c r="I313" i="63" s="1"/>
  <c r="AF314" i="63"/>
  <c r="I314" i="63" s="1"/>
  <c r="AF315" i="63"/>
  <c r="I315" i="63" s="1"/>
  <c r="AF316" i="63"/>
  <c r="I316" i="63" s="1"/>
  <c r="AF317" i="63"/>
  <c r="I317" i="63" s="1"/>
  <c r="AF318" i="63"/>
  <c r="I318" i="63" s="1"/>
  <c r="AF319" i="63"/>
  <c r="I319" i="63" s="1"/>
  <c r="AF320" i="63"/>
  <c r="I320" i="63" s="1"/>
  <c r="AF321" i="63"/>
  <c r="I321" i="63" s="1"/>
  <c r="AF322" i="63"/>
  <c r="I322" i="63" s="1"/>
  <c r="AF323" i="63"/>
  <c r="I323" i="63" s="1"/>
  <c r="I324" i="63"/>
  <c r="AF324" i="63"/>
  <c r="AF325" i="63"/>
  <c r="I325" i="63" s="1"/>
  <c r="I326" i="63"/>
  <c r="AF326" i="63"/>
  <c r="AF327" i="63"/>
  <c r="I327" i="63" s="1"/>
  <c r="AF328" i="63"/>
  <c r="I328" i="63" s="1"/>
  <c r="AF329" i="63"/>
  <c r="I329" i="63" s="1"/>
  <c r="AF330" i="63"/>
  <c r="I330" i="63" s="1"/>
  <c r="AF331" i="63"/>
  <c r="I331" i="63" s="1"/>
  <c r="I332" i="63"/>
  <c r="AF332" i="63"/>
  <c r="AF333" i="63"/>
  <c r="I333" i="63" s="1"/>
  <c r="AF334" i="63"/>
  <c r="I334" i="63" s="1"/>
  <c r="AF335" i="63"/>
  <c r="I335" i="63" s="1"/>
  <c r="AF336" i="63"/>
  <c r="I336" i="63" s="1"/>
  <c r="AF337" i="63"/>
  <c r="I337" i="63" s="1"/>
  <c r="AF338" i="63"/>
  <c r="I338" i="63" s="1"/>
  <c r="AF339" i="63"/>
  <c r="I339" i="63" s="1"/>
  <c r="AF340" i="63"/>
  <c r="I340" i="63" s="1"/>
  <c r="I341" i="63"/>
  <c r="AF341" i="63"/>
  <c r="AF342" i="63"/>
  <c r="I342" i="63" s="1"/>
  <c r="AF343" i="63"/>
  <c r="I343" i="63" s="1"/>
  <c r="AF344" i="63"/>
  <c r="I344" i="63" s="1"/>
  <c r="AF345" i="63"/>
  <c r="I345" i="63" s="1"/>
  <c r="AF346" i="63"/>
  <c r="I346" i="63" s="1"/>
  <c r="AF347" i="63"/>
  <c r="I347" i="63" s="1"/>
  <c r="AF348" i="63"/>
  <c r="I348" i="63" s="1"/>
  <c r="AF349" i="63"/>
  <c r="I349" i="63" s="1"/>
  <c r="AF350" i="63"/>
  <c r="I350" i="63" s="1"/>
  <c r="AF351" i="63"/>
  <c r="I351" i="63" s="1"/>
  <c r="AF352" i="63"/>
  <c r="I352" i="63" s="1"/>
  <c r="AF353" i="63"/>
  <c r="I353" i="63" s="1"/>
  <c r="AF354" i="63"/>
  <c r="I354" i="63" s="1"/>
  <c r="AF355" i="63"/>
  <c r="I355" i="63" s="1"/>
  <c r="AF356" i="63"/>
  <c r="I356" i="63" s="1"/>
  <c r="AF357" i="63"/>
  <c r="I357" i="63" s="1"/>
  <c r="AF358" i="63"/>
  <c r="I358" i="63" s="1"/>
  <c r="AF359" i="63"/>
  <c r="I359" i="63" s="1"/>
  <c r="AF360" i="63"/>
  <c r="I360" i="63" s="1"/>
  <c r="AF361" i="63"/>
  <c r="I361" i="63" s="1"/>
  <c r="AF362" i="63"/>
  <c r="I362" i="63" s="1"/>
  <c r="AF363" i="63"/>
  <c r="I363" i="63" s="1"/>
  <c r="AF364" i="63"/>
  <c r="I364" i="63" s="1"/>
  <c r="AF365" i="63"/>
  <c r="I365" i="63" s="1"/>
  <c r="AF366" i="63"/>
  <c r="I366" i="63" s="1"/>
  <c r="AF367" i="63"/>
  <c r="I367" i="63" s="1"/>
  <c r="AF368" i="63"/>
  <c r="I368" i="63" s="1"/>
  <c r="I369" i="63"/>
  <c r="AF369" i="63"/>
  <c r="AF370" i="63"/>
  <c r="I370" i="63" s="1"/>
  <c r="AF371" i="63"/>
  <c r="I371" i="63" s="1"/>
  <c r="AF372" i="63"/>
  <c r="I372" i="63" s="1"/>
  <c r="I373" i="63"/>
  <c r="AF373" i="63"/>
  <c r="AF374" i="63"/>
  <c r="I374" i="63" s="1"/>
  <c r="AF375" i="63"/>
  <c r="I375" i="63" s="1"/>
  <c r="AF376" i="63"/>
  <c r="I376" i="63" s="1"/>
  <c r="AF377" i="63"/>
  <c r="I377" i="63" s="1"/>
  <c r="AF378" i="63"/>
  <c r="I378" i="63" s="1"/>
  <c r="AF379" i="63"/>
  <c r="I379" i="63" s="1"/>
  <c r="AF380" i="63"/>
  <c r="I380" i="63" s="1"/>
  <c r="I381" i="63"/>
  <c r="AF381" i="63"/>
  <c r="AF382" i="63"/>
  <c r="I382" i="63" s="1"/>
  <c r="AF383" i="63"/>
  <c r="I383" i="63" s="1"/>
  <c r="AF384" i="63"/>
  <c r="I384" i="63" s="1"/>
  <c r="AF385" i="63"/>
  <c r="I385" i="63" s="1"/>
  <c r="AF386" i="63"/>
  <c r="I386" i="63" s="1"/>
  <c r="AF387" i="63"/>
  <c r="I387" i="63" s="1"/>
  <c r="AF388" i="63"/>
  <c r="I388" i="63" s="1"/>
  <c r="AF389" i="63"/>
  <c r="I389" i="63" s="1"/>
  <c r="AF390" i="63"/>
  <c r="I390" i="63" s="1"/>
  <c r="AF391" i="63"/>
  <c r="I391" i="63" s="1"/>
  <c r="AF392" i="63"/>
  <c r="I392" i="63" s="1"/>
  <c r="AF393" i="63"/>
  <c r="I393" i="63" s="1"/>
  <c r="AF394" i="63"/>
  <c r="I394" i="63" s="1"/>
  <c r="AF395" i="63"/>
  <c r="I395" i="63" s="1"/>
  <c r="AF396" i="63"/>
  <c r="I396" i="63" s="1"/>
  <c r="I397" i="63"/>
  <c r="AF397" i="63"/>
  <c r="AF398" i="63"/>
  <c r="I398" i="63" s="1"/>
  <c r="AF399" i="63"/>
  <c r="I399" i="63" s="1"/>
  <c r="AF400" i="63"/>
  <c r="I400" i="63" s="1"/>
  <c r="I401" i="63"/>
  <c r="AF401" i="63"/>
  <c r="AF402" i="63"/>
  <c r="I402" i="63" s="1"/>
  <c r="AF403" i="63"/>
  <c r="I403" i="63" s="1"/>
  <c r="AF404" i="63"/>
  <c r="I404" i="63" s="1"/>
  <c r="AF405" i="63"/>
  <c r="I405" i="63" s="1"/>
  <c r="AF406" i="63"/>
  <c r="I406" i="63" s="1"/>
  <c r="AF407" i="63"/>
  <c r="I407" i="63" s="1"/>
  <c r="AF408" i="63"/>
  <c r="I408" i="63" s="1"/>
  <c r="AF409" i="63"/>
  <c r="I409" i="63" s="1"/>
  <c r="AF410" i="63"/>
  <c r="I410" i="63" s="1"/>
  <c r="AF411" i="63"/>
  <c r="I411" i="63" s="1"/>
  <c r="AF412" i="63"/>
  <c r="I412" i="63" s="1"/>
  <c r="AF413" i="63"/>
  <c r="I413" i="63" s="1"/>
  <c r="AF414" i="63"/>
  <c r="I414" i="63" s="1"/>
  <c r="AF415" i="63"/>
  <c r="I415" i="63" s="1"/>
  <c r="AF416" i="63"/>
  <c r="I416" i="63" s="1"/>
  <c r="AF417" i="63"/>
  <c r="I417" i="63" s="1"/>
  <c r="AF418" i="63"/>
  <c r="I418" i="63" s="1"/>
  <c r="AF419" i="63"/>
  <c r="I419" i="63" s="1"/>
  <c r="AF420" i="63"/>
  <c r="I420" i="63" s="1"/>
  <c r="AF421" i="63"/>
  <c r="I421" i="63" s="1"/>
  <c r="AF422" i="63"/>
  <c r="I422" i="63" s="1"/>
  <c r="AF423" i="63"/>
  <c r="I423" i="63" s="1"/>
  <c r="AF424" i="63"/>
  <c r="I424" i="63" s="1"/>
  <c r="AF425" i="63"/>
  <c r="I425" i="63" s="1"/>
  <c r="AF426" i="63"/>
  <c r="I426" i="63" s="1"/>
  <c r="AF427" i="63"/>
  <c r="I427" i="63" s="1"/>
  <c r="AF428" i="63"/>
  <c r="I428" i="63" s="1"/>
  <c r="I429" i="63"/>
  <c r="AF429" i="63"/>
  <c r="AF430" i="63"/>
  <c r="I430" i="63" s="1"/>
  <c r="AF431" i="63"/>
  <c r="I431" i="63" s="1"/>
  <c r="AF432" i="63"/>
  <c r="I432" i="63" s="1"/>
  <c r="AF433" i="63"/>
  <c r="I433" i="63" s="1"/>
  <c r="AF434" i="63"/>
  <c r="I434" i="63" s="1"/>
  <c r="AF435" i="63"/>
  <c r="I435" i="63" s="1"/>
  <c r="AF436" i="63"/>
  <c r="I436" i="63" s="1"/>
  <c r="I437" i="63"/>
  <c r="AF437" i="63"/>
  <c r="AF438" i="63"/>
  <c r="I438" i="63" s="1"/>
  <c r="AF439" i="63"/>
  <c r="I439" i="63" s="1"/>
  <c r="AF440" i="63"/>
  <c r="I440" i="63" s="1"/>
  <c r="AF441" i="63"/>
  <c r="I441" i="63" s="1"/>
  <c r="AF442" i="63"/>
  <c r="I442" i="63" s="1"/>
  <c r="AF443" i="63"/>
  <c r="I443" i="63" s="1"/>
  <c r="AF444" i="63"/>
  <c r="I444" i="63" s="1"/>
  <c r="AF445" i="63"/>
  <c r="I445" i="63" s="1"/>
  <c r="AF446" i="63"/>
  <c r="I446" i="63" s="1"/>
  <c r="AF447" i="63"/>
  <c r="I447" i="63" s="1"/>
  <c r="AF448" i="63"/>
  <c r="I448" i="63" s="1"/>
  <c r="AF449" i="63"/>
  <c r="I449" i="63" s="1"/>
  <c r="AF450" i="63"/>
  <c r="I450" i="63" s="1"/>
  <c r="AF451" i="63"/>
  <c r="I451" i="63" s="1"/>
  <c r="AF452" i="63"/>
  <c r="I452" i="63" s="1"/>
  <c r="I453" i="63"/>
  <c r="AF453" i="63"/>
  <c r="AF454" i="63"/>
  <c r="I454" i="63" s="1"/>
  <c r="AF455" i="63"/>
  <c r="I455" i="63" s="1"/>
  <c r="AF456" i="63"/>
  <c r="I456" i="63" s="1"/>
  <c r="AF457" i="63"/>
  <c r="I457" i="63" s="1"/>
  <c r="AF458" i="63"/>
  <c r="I458" i="63" s="1"/>
  <c r="AF459" i="63"/>
  <c r="I459" i="63" s="1"/>
  <c r="AF460" i="63"/>
  <c r="I460" i="63" s="1"/>
  <c r="AF461" i="63"/>
  <c r="I461" i="63" s="1"/>
  <c r="AF462" i="63"/>
  <c r="I462" i="63" s="1"/>
  <c r="AF463" i="63"/>
  <c r="I463" i="63" s="1"/>
  <c r="AF464" i="63"/>
  <c r="I464" i="63" s="1"/>
  <c r="I465" i="63"/>
  <c r="AF465" i="63"/>
  <c r="AF466" i="63"/>
  <c r="I466" i="63" s="1"/>
  <c r="AF467" i="63"/>
  <c r="I467" i="63" s="1"/>
  <c r="AF468" i="63"/>
  <c r="I468" i="63" s="1"/>
  <c r="I469" i="63"/>
  <c r="AF469" i="63"/>
  <c r="AF470" i="63"/>
  <c r="I470" i="63" s="1"/>
  <c r="I471" i="63"/>
  <c r="AF471" i="63"/>
  <c r="AF472" i="63"/>
  <c r="I472" i="63" s="1"/>
  <c r="AF473" i="63"/>
  <c r="I473" i="63" s="1"/>
  <c r="AF474" i="63"/>
  <c r="I474" i="63" s="1"/>
  <c r="AF475" i="63"/>
  <c r="I475" i="63" s="1"/>
  <c r="AF476" i="63"/>
  <c r="I476" i="63" s="1"/>
  <c r="I477" i="63"/>
  <c r="AF477" i="63"/>
  <c r="AF478" i="63"/>
  <c r="I478" i="63" s="1"/>
  <c r="AF479" i="63"/>
  <c r="I479" i="63" s="1"/>
  <c r="AF480" i="63"/>
  <c r="I480" i="63" s="1"/>
  <c r="AF481" i="63"/>
  <c r="I481" i="63" s="1"/>
  <c r="AF482" i="63"/>
  <c r="I482" i="63" s="1"/>
  <c r="AF483" i="63"/>
  <c r="I483" i="63" s="1"/>
  <c r="AF484" i="63"/>
  <c r="I484" i="63" s="1"/>
  <c r="AF485" i="63"/>
  <c r="I485" i="63" s="1"/>
  <c r="AF486" i="63"/>
  <c r="I486" i="63" s="1"/>
  <c r="AF487" i="63"/>
  <c r="I487" i="63" s="1"/>
  <c r="AF488" i="63"/>
  <c r="I488" i="63" s="1"/>
  <c r="AF489" i="63"/>
  <c r="I489" i="63" s="1"/>
  <c r="AF490" i="63"/>
  <c r="I490" i="63" s="1"/>
  <c r="AF491" i="63"/>
  <c r="I491" i="63" s="1"/>
  <c r="AF492" i="63"/>
  <c r="I492" i="63" s="1"/>
  <c r="AF493" i="63"/>
  <c r="I493" i="63" s="1"/>
  <c r="AF494" i="63"/>
  <c r="I494" i="63" s="1"/>
  <c r="AF495" i="63"/>
  <c r="I495" i="63" s="1"/>
  <c r="AF496" i="63"/>
  <c r="I496" i="63" s="1"/>
  <c r="AF497" i="63"/>
  <c r="I497" i="63" s="1"/>
  <c r="AF498" i="63"/>
  <c r="I498" i="63" s="1"/>
  <c r="AF499" i="63"/>
  <c r="I499" i="63" s="1"/>
  <c r="AF500" i="63"/>
  <c r="I500" i="63" s="1"/>
  <c r="I501" i="63"/>
  <c r="AF501" i="63"/>
  <c r="AF502" i="63"/>
  <c r="I502" i="63" s="1"/>
  <c r="AF503" i="63"/>
  <c r="I503" i="63" s="1"/>
  <c r="AF504" i="63"/>
  <c r="I504" i="63" s="1"/>
  <c r="AF505" i="63"/>
  <c r="I505" i="63" s="1"/>
  <c r="AF506" i="63"/>
  <c r="I506" i="63" s="1"/>
  <c r="AF507" i="63"/>
  <c r="I507" i="63" s="1"/>
  <c r="AF508" i="63"/>
  <c r="I508" i="63" s="1"/>
  <c r="AF509" i="63"/>
  <c r="I509" i="63" s="1"/>
  <c r="AF510" i="63"/>
  <c r="I510" i="63" s="1"/>
  <c r="AF511" i="63"/>
  <c r="I511" i="63" s="1"/>
  <c r="AF512" i="63"/>
  <c r="I512" i="63" s="1"/>
  <c r="I513" i="63"/>
  <c r="AF513" i="63"/>
  <c r="AF514" i="63"/>
  <c r="I514" i="63" s="1"/>
  <c r="AF515" i="63"/>
  <c r="I515" i="63" s="1"/>
  <c r="AF516" i="63"/>
  <c r="I516" i="63" s="1"/>
  <c r="AF517" i="63"/>
  <c r="I517" i="63" s="1"/>
  <c r="AF518" i="63"/>
  <c r="I518" i="63" s="1"/>
  <c r="I519" i="63"/>
  <c r="AF519" i="63"/>
  <c r="AF520" i="63"/>
  <c r="I520" i="63" s="1"/>
  <c r="I521" i="63"/>
  <c r="AF521" i="63"/>
  <c r="AF522" i="63"/>
  <c r="I522" i="63" s="1"/>
  <c r="AF523" i="63"/>
  <c r="I523" i="63" s="1"/>
  <c r="AF524" i="63"/>
  <c r="I524" i="63" s="1"/>
  <c r="I525" i="63"/>
  <c r="AF525" i="63"/>
  <c r="AF526" i="63"/>
  <c r="I526" i="63" s="1"/>
  <c r="AF527" i="63"/>
  <c r="I527" i="63" s="1"/>
  <c r="AF528" i="63"/>
  <c r="I528" i="63" s="1"/>
  <c r="AF529" i="63"/>
  <c r="I529" i="63" s="1"/>
  <c r="AF530" i="63"/>
  <c r="I530" i="63" s="1"/>
  <c r="I531" i="63"/>
  <c r="AF531" i="63"/>
  <c r="AF532" i="63"/>
  <c r="I532" i="63" s="1"/>
  <c r="I533" i="63"/>
  <c r="AF533" i="63"/>
  <c r="AF534" i="63"/>
  <c r="I534" i="63" s="1"/>
  <c r="I535" i="63"/>
  <c r="AF535" i="63"/>
  <c r="AF536" i="63"/>
  <c r="I536" i="63" s="1"/>
  <c r="AF537" i="63"/>
  <c r="I537" i="63" s="1"/>
  <c r="AF538" i="63"/>
  <c r="I538" i="63" s="1"/>
  <c r="AF539" i="63"/>
  <c r="I539" i="63" s="1"/>
  <c r="AF540" i="63"/>
  <c r="I540" i="63" s="1"/>
  <c r="I541" i="63"/>
  <c r="AF541" i="63"/>
  <c r="AF542" i="63"/>
  <c r="I542" i="63" s="1"/>
  <c r="AF543" i="63"/>
  <c r="I543" i="63" s="1"/>
  <c r="AF544" i="63"/>
  <c r="I544" i="63" s="1"/>
  <c r="I545" i="63"/>
  <c r="AF545" i="63"/>
  <c r="AF546" i="63"/>
  <c r="I546" i="63" s="1"/>
  <c r="I547" i="63"/>
  <c r="AF547" i="63"/>
  <c r="AF548" i="63"/>
  <c r="I548" i="63" s="1"/>
  <c r="AF549" i="63"/>
  <c r="I549" i="63" s="1"/>
  <c r="AF550" i="63"/>
  <c r="I550" i="63" s="1"/>
  <c r="AF551" i="63"/>
  <c r="I551" i="63" s="1"/>
  <c r="AF552" i="63"/>
  <c r="I552" i="63" s="1"/>
  <c r="I553" i="63"/>
  <c r="AF553" i="63"/>
  <c r="AF554" i="63"/>
  <c r="I554" i="63" s="1"/>
  <c r="AF555" i="63"/>
  <c r="I555" i="63" s="1"/>
  <c r="AF556" i="63"/>
  <c r="I556" i="63" s="1"/>
  <c r="AF557" i="63"/>
  <c r="I557" i="63" s="1"/>
  <c r="AF558" i="63"/>
  <c r="I558" i="63" s="1"/>
  <c r="AF559" i="63"/>
  <c r="I559" i="63" s="1"/>
  <c r="AF560" i="63"/>
  <c r="I560" i="63" s="1"/>
  <c r="AF561" i="63"/>
  <c r="I561" i="63" s="1"/>
  <c r="AF562" i="63"/>
  <c r="I562" i="63" s="1"/>
  <c r="AF563" i="63"/>
  <c r="I563" i="63" s="1"/>
  <c r="AF564" i="63"/>
  <c r="I564" i="63" s="1"/>
  <c r="I565" i="63"/>
  <c r="AF565" i="63"/>
  <c r="AF566" i="63"/>
  <c r="I566" i="63" s="1"/>
  <c r="AF567" i="63"/>
  <c r="I567" i="63" s="1"/>
  <c r="AF568" i="63"/>
  <c r="I568" i="63" s="1"/>
  <c r="I569" i="63"/>
  <c r="AF569" i="63"/>
  <c r="AF570" i="63"/>
  <c r="I570" i="63" s="1"/>
  <c r="AF571" i="63"/>
  <c r="I571" i="63" s="1"/>
  <c r="AF572" i="63"/>
  <c r="I572" i="63" s="1"/>
  <c r="I573" i="63"/>
  <c r="AF573" i="63"/>
  <c r="AF574" i="63"/>
  <c r="I574" i="63" s="1"/>
  <c r="AF575" i="63"/>
  <c r="I575" i="63" s="1"/>
  <c r="AF576" i="63"/>
  <c r="I576" i="63" s="1"/>
  <c r="AF577" i="63"/>
  <c r="I577" i="63" s="1"/>
  <c r="AF578" i="63"/>
  <c r="I578" i="63" s="1"/>
  <c r="AF579" i="63"/>
  <c r="I579" i="63" s="1"/>
  <c r="I580" i="63"/>
  <c r="AF580" i="63"/>
  <c r="I581" i="63"/>
  <c r="AF581" i="63"/>
  <c r="AF582" i="63"/>
  <c r="I582" i="63" s="1"/>
  <c r="AF583" i="63"/>
  <c r="I583" i="63" s="1"/>
  <c r="I584" i="63"/>
  <c r="AF584" i="63"/>
  <c r="I585" i="63"/>
  <c r="AF585" i="63"/>
  <c r="AF586" i="63"/>
  <c r="I586" i="63" s="1"/>
  <c r="AF587" i="63"/>
  <c r="I587" i="63" s="1"/>
  <c r="AF588" i="63"/>
  <c r="I588" i="63" s="1"/>
  <c r="AF589" i="63"/>
  <c r="I589" i="63" s="1"/>
  <c r="AF590" i="63"/>
  <c r="I590" i="63" s="1"/>
  <c r="AF591" i="63"/>
  <c r="I591" i="63" s="1"/>
  <c r="AF592" i="63"/>
  <c r="I592" i="63" s="1"/>
  <c r="AF593" i="63"/>
  <c r="I593" i="63" s="1"/>
  <c r="AF594" i="63"/>
  <c r="I594" i="63" s="1"/>
  <c r="AF595" i="63"/>
  <c r="I595" i="63" s="1"/>
  <c r="AF596" i="63"/>
  <c r="I596" i="63" s="1"/>
  <c r="I597" i="63"/>
  <c r="AF597" i="63"/>
  <c r="AF598" i="63"/>
  <c r="I598" i="63" s="1"/>
  <c r="AF599" i="63"/>
  <c r="I599" i="63" s="1"/>
  <c r="AF600" i="63"/>
  <c r="I600" i="63" s="1"/>
  <c r="AF601" i="63"/>
  <c r="I601" i="63" s="1"/>
  <c r="AF602" i="63"/>
  <c r="I602" i="63" s="1"/>
  <c r="AF603" i="63"/>
  <c r="I603" i="63" s="1"/>
  <c r="AF604" i="63"/>
  <c r="I604" i="63" s="1"/>
  <c r="AF605" i="63"/>
  <c r="I605" i="63" s="1"/>
  <c r="AF606" i="63"/>
  <c r="I606" i="63" s="1"/>
  <c r="AF607" i="63"/>
  <c r="I607" i="63" s="1"/>
  <c r="AF608" i="63"/>
  <c r="I608" i="63" s="1"/>
  <c r="AF609" i="63"/>
  <c r="I609" i="63" s="1"/>
  <c r="AF610" i="63"/>
  <c r="I610" i="63" s="1"/>
  <c r="AF611" i="63"/>
  <c r="I611" i="63" s="1"/>
  <c r="AF612" i="63"/>
  <c r="I612" i="63" s="1"/>
  <c r="AF613" i="63"/>
  <c r="I613" i="63" s="1"/>
  <c r="AF614" i="63"/>
  <c r="I614" i="63" s="1"/>
  <c r="AF615" i="63"/>
  <c r="I615" i="63" s="1"/>
  <c r="AF616" i="63"/>
  <c r="I616" i="63" s="1"/>
  <c r="AF617" i="63"/>
  <c r="I617" i="63" s="1"/>
  <c r="AF618" i="63"/>
  <c r="I618" i="63" s="1"/>
  <c r="AF619" i="63"/>
  <c r="I619" i="63" s="1"/>
  <c r="AF620" i="63"/>
  <c r="I620" i="63" s="1"/>
  <c r="I621" i="63"/>
  <c r="AF621" i="63"/>
  <c r="AF622" i="63"/>
  <c r="I622" i="63" s="1"/>
  <c r="AF623" i="63"/>
  <c r="I623" i="63" s="1"/>
  <c r="AF624" i="63"/>
  <c r="I624" i="63" s="1"/>
  <c r="AF625" i="63"/>
  <c r="I625" i="63" s="1"/>
  <c r="AF626" i="63"/>
  <c r="I626" i="63" s="1"/>
  <c r="AF627" i="63"/>
  <c r="I627" i="63" s="1"/>
  <c r="AF628" i="63"/>
  <c r="I628" i="63" s="1"/>
  <c r="AF629" i="63"/>
  <c r="I629" i="63" s="1"/>
  <c r="AF630" i="63"/>
  <c r="I630" i="63" s="1"/>
  <c r="AF631" i="63"/>
  <c r="I631" i="63" s="1"/>
  <c r="I632" i="63"/>
  <c r="AF632" i="63"/>
  <c r="AF633" i="63"/>
  <c r="I633" i="63" s="1"/>
  <c r="AF634" i="63"/>
  <c r="I634" i="63" s="1"/>
  <c r="AF635" i="63"/>
  <c r="I635" i="63" s="1"/>
  <c r="AF636" i="63"/>
  <c r="I636" i="63" s="1"/>
  <c r="I637" i="63"/>
  <c r="AF637" i="63"/>
  <c r="AF638" i="63"/>
  <c r="I638" i="63" s="1"/>
  <c r="AF639" i="63"/>
  <c r="I639" i="63" s="1"/>
  <c r="AF640" i="63"/>
  <c r="I640" i="63" s="1"/>
  <c r="AF641" i="63"/>
  <c r="I641" i="63" s="1"/>
  <c r="AF642" i="63"/>
  <c r="I642" i="63" s="1"/>
  <c r="AF643" i="63"/>
  <c r="I643" i="63" s="1"/>
  <c r="AF644" i="63"/>
  <c r="I644" i="63" s="1"/>
  <c r="AF645" i="63"/>
  <c r="I645" i="63" s="1"/>
  <c r="AF646" i="63"/>
  <c r="I646" i="63" s="1"/>
  <c r="AF647" i="63"/>
  <c r="I647" i="63" s="1"/>
  <c r="I648" i="63"/>
  <c r="AF648" i="63"/>
  <c r="I649" i="63"/>
  <c r="AF649" i="63"/>
  <c r="AF650" i="63"/>
  <c r="I650" i="63" s="1"/>
  <c r="AF651" i="63"/>
  <c r="I651" i="63" s="1"/>
  <c r="AF652" i="63"/>
  <c r="I652" i="63" s="1"/>
  <c r="AF653" i="63"/>
  <c r="I653" i="63" s="1"/>
  <c r="AF654" i="63"/>
  <c r="I654" i="63" s="1"/>
  <c r="AF655" i="63"/>
  <c r="I655" i="63" s="1"/>
  <c r="AF656" i="63"/>
  <c r="I656" i="63" s="1"/>
  <c r="AF657" i="63"/>
  <c r="I657" i="63" s="1"/>
  <c r="AF658" i="63"/>
  <c r="I658" i="63" s="1"/>
  <c r="AF659" i="63"/>
  <c r="I659" i="63" s="1"/>
  <c r="AF660" i="63"/>
  <c r="I660" i="63" s="1"/>
  <c r="I661" i="63"/>
  <c r="AF661" i="63"/>
  <c r="AF662" i="63"/>
  <c r="I662" i="63" s="1"/>
  <c r="AF663" i="63"/>
  <c r="I663" i="63" s="1"/>
  <c r="AF664" i="63"/>
  <c r="I664" i="63" s="1"/>
  <c r="AF665" i="63"/>
  <c r="I665" i="63" s="1"/>
  <c r="AF666" i="63"/>
  <c r="I666" i="63" s="1"/>
  <c r="AF667" i="63"/>
  <c r="I667" i="63" s="1"/>
  <c r="AF668" i="63"/>
  <c r="I668" i="63" s="1"/>
  <c r="AF669" i="63"/>
  <c r="I669" i="63" s="1"/>
  <c r="AF670" i="63"/>
  <c r="I670" i="63" s="1"/>
  <c r="AF671" i="63"/>
  <c r="I671" i="63" s="1"/>
  <c r="AF672" i="63"/>
  <c r="I672" i="63" s="1"/>
  <c r="AF673" i="63"/>
  <c r="I673" i="63" s="1"/>
  <c r="AF674" i="63"/>
  <c r="I674" i="63" s="1"/>
  <c r="AF675" i="63"/>
  <c r="I675" i="63" s="1"/>
  <c r="AF676" i="63"/>
  <c r="I676" i="63" s="1"/>
  <c r="AF677" i="63"/>
  <c r="I677" i="63" s="1"/>
  <c r="AF678" i="63"/>
  <c r="I678" i="63" s="1"/>
  <c r="AF679" i="63"/>
  <c r="I679" i="63" s="1"/>
  <c r="AF680" i="63"/>
  <c r="I680" i="63" s="1"/>
  <c r="AF681" i="63"/>
  <c r="I681" i="63" s="1"/>
  <c r="AF682" i="63"/>
  <c r="I682" i="63" s="1"/>
  <c r="AF683" i="63"/>
  <c r="I683" i="63" s="1"/>
  <c r="AF684" i="63"/>
  <c r="I684" i="63" s="1"/>
  <c r="AF685" i="63"/>
  <c r="I685" i="63" s="1"/>
  <c r="AF686" i="63"/>
  <c r="I686" i="63" s="1"/>
  <c r="I687" i="63"/>
  <c r="AF687" i="63"/>
  <c r="AF688" i="63"/>
  <c r="I688" i="63" s="1"/>
  <c r="AF689" i="63"/>
  <c r="I689" i="63" s="1"/>
  <c r="AF690" i="63"/>
  <c r="I690" i="63" s="1"/>
  <c r="AF691" i="63"/>
  <c r="I691" i="63" s="1"/>
  <c r="AF692" i="63"/>
  <c r="I692" i="63" s="1"/>
  <c r="I693" i="63"/>
  <c r="AF693" i="63"/>
  <c r="AF694" i="63"/>
  <c r="I694" i="63" s="1"/>
  <c r="AF695" i="63"/>
  <c r="I695" i="63" s="1"/>
  <c r="AF696" i="63"/>
  <c r="I696" i="63" s="1"/>
  <c r="AF697" i="63"/>
  <c r="I697" i="63" s="1"/>
  <c r="AF698" i="63"/>
  <c r="I698" i="63" s="1"/>
  <c r="AF699" i="63"/>
  <c r="I699" i="63" s="1"/>
  <c r="AF700" i="63"/>
  <c r="I700" i="63" s="1"/>
  <c r="AF701" i="63"/>
  <c r="I701" i="63" s="1"/>
  <c r="AF702" i="63"/>
  <c r="I702" i="63" s="1"/>
  <c r="AF703" i="63"/>
  <c r="I703" i="63" s="1"/>
  <c r="AF704" i="63"/>
  <c r="I704" i="63" s="1"/>
  <c r="I705" i="63"/>
  <c r="AF705" i="63"/>
  <c r="AF706" i="63"/>
  <c r="I706" i="63" s="1"/>
  <c r="AF707" i="63"/>
  <c r="I707" i="63" s="1"/>
  <c r="AF708" i="63"/>
  <c r="I708" i="63" s="1"/>
  <c r="AF709" i="63"/>
  <c r="I709" i="63" s="1"/>
  <c r="AF710" i="63"/>
  <c r="I710" i="63" s="1"/>
  <c r="AF711" i="63"/>
  <c r="I711" i="63" s="1"/>
  <c r="AF712" i="63"/>
  <c r="I712" i="63" s="1"/>
  <c r="AF713" i="63"/>
  <c r="I713" i="63" s="1"/>
  <c r="AF714" i="63"/>
  <c r="I714" i="63" s="1"/>
  <c r="AF715" i="63"/>
  <c r="I715" i="63" s="1"/>
  <c r="I716" i="63"/>
  <c r="AF716" i="63"/>
  <c r="I717" i="63"/>
  <c r="AF717" i="63"/>
  <c r="AF718" i="63"/>
  <c r="I718" i="63" s="1"/>
  <c r="AF719" i="63"/>
  <c r="I719" i="63" s="1"/>
  <c r="AF720" i="63"/>
  <c r="I720" i="63" s="1"/>
  <c r="AF721" i="63"/>
  <c r="I721" i="63" s="1"/>
  <c r="AF722" i="63"/>
  <c r="I722" i="63" s="1"/>
  <c r="I723" i="63"/>
  <c r="AF723" i="63"/>
  <c r="AF724" i="63"/>
  <c r="I724" i="63" s="1"/>
  <c r="AF725" i="63"/>
  <c r="I725" i="63" s="1"/>
  <c r="AF726" i="63"/>
  <c r="I726" i="63" s="1"/>
  <c r="AF727" i="63"/>
  <c r="I727" i="63" s="1"/>
  <c r="AF728" i="63"/>
  <c r="I728" i="63" s="1"/>
  <c r="AF729" i="63"/>
  <c r="I729" i="63" s="1"/>
  <c r="AF730" i="63"/>
  <c r="I730" i="63" s="1"/>
  <c r="AF731" i="63"/>
  <c r="I731" i="63" s="1"/>
  <c r="AF732" i="63"/>
  <c r="I732" i="63" s="1"/>
  <c r="AF733" i="63"/>
  <c r="I733" i="63" s="1"/>
  <c r="AF734" i="63"/>
  <c r="I734" i="63" s="1"/>
  <c r="AF735" i="63"/>
  <c r="I735" i="63" s="1"/>
  <c r="AF736" i="63"/>
  <c r="I736" i="63" s="1"/>
  <c r="AF737" i="63"/>
  <c r="I737" i="63" s="1"/>
  <c r="AF738" i="63"/>
  <c r="I738" i="63" s="1"/>
  <c r="I739" i="63"/>
  <c r="AF739" i="63"/>
  <c r="AF740" i="63"/>
  <c r="I740" i="63" s="1"/>
  <c r="AF741" i="63"/>
  <c r="I741" i="63" s="1"/>
  <c r="AF742" i="63"/>
  <c r="I742" i="63" s="1"/>
  <c r="AF743" i="63"/>
  <c r="I743" i="63" s="1"/>
  <c r="AF744" i="63"/>
  <c r="I744" i="63" s="1"/>
  <c r="AF745" i="63"/>
  <c r="I745" i="63" s="1"/>
  <c r="AF746" i="63"/>
  <c r="I746" i="63" s="1"/>
  <c r="AF747" i="63"/>
  <c r="I747" i="63" s="1"/>
  <c r="AF748" i="63"/>
  <c r="I748" i="63" s="1"/>
  <c r="I749" i="63"/>
  <c r="AF749" i="63"/>
  <c r="AF750" i="63"/>
  <c r="I750" i="63" s="1"/>
  <c r="I751" i="63"/>
  <c r="AF751" i="63"/>
  <c r="AF752" i="63"/>
  <c r="I752" i="63" s="1"/>
  <c r="AF753" i="63"/>
  <c r="I753" i="63" s="1"/>
  <c r="AF754" i="63"/>
  <c r="I754" i="63" s="1"/>
  <c r="I755" i="63"/>
  <c r="AF755" i="63"/>
  <c r="AF756" i="63"/>
  <c r="I756" i="63" s="1"/>
  <c r="I757" i="63"/>
  <c r="AF757" i="63"/>
  <c r="AF758" i="63"/>
  <c r="I758" i="63" s="1"/>
  <c r="AF759" i="63"/>
  <c r="I759" i="63" s="1"/>
  <c r="I760" i="63"/>
  <c r="AF760" i="63"/>
  <c r="AF761" i="63"/>
  <c r="I761" i="63" s="1"/>
  <c r="AF762" i="63"/>
  <c r="I762" i="63" s="1"/>
  <c r="AF763" i="63"/>
  <c r="I763" i="63" s="1"/>
  <c r="AF764" i="63"/>
  <c r="I764" i="63" s="1"/>
  <c r="AF765" i="63"/>
  <c r="I765" i="63" s="1"/>
  <c r="AF766" i="63"/>
  <c r="I766" i="63" s="1"/>
  <c r="AF767" i="63"/>
  <c r="I767" i="63" s="1"/>
  <c r="AF768" i="63"/>
  <c r="I768" i="63" s="1"/>
  <c r="AF769" i="63"/>
  <c r="I769" i="63" s="1"/>
  <c r="AF770" i="63"/>
  <c r="I770" i="63" s="1"/>
  <c r="AF771" i="63"/>
  <c r="I771" i="63" s="1"/>
  <c r="AF772" i="63"/>
  <c r="I772" i="63" s="1"/>
  <c r="I773" i="63"/>
  <c r="AF773" i="63"/>
  <c r="AF774" i="63"/>
  <c r="I774" i="63" s="1"/>
  <c r="AF775" i="63"/>
  <c r="I775" i="63" s="1"/>
  <c r="AF776" i="63"/>
  <c r="I776" i="63" s="1"/>
  <c r="AF777" i="63"/>
  <c r="I777" i="63" s="1"/>
  <c r="AF778" i="63"/>
  <c r="I778" i="63" s="1"/>
  <c r="AF779" i="63"/>
  <c r="I779" i="63" s="1"/>
  <c r="AF780" i="63"/>
  <c r="I780" i="63" s="1"/>
  <c r="AF781" i="63"/>
  <c r="I781" i="63" s="1"/>
  <c r="AF782" i="63"/>
  <c r="I782" i="63" s="1"/>
  <c r="AF783" i="63"/>
  <c r="I783" i="63" s="1"/>
  <c r="AF784" i="63"/>
  <c r="I784" i="63" s="1"/>
  <c r="AF785" i="63"/>
  <c r="I785" i="63" s="1"/>
  <c r="AF786" i="63"/>
  <c r="I786" i="63" s="1"/>
  <c r="AF787" i="63"/>
  <c r="I787" i="63" s="1"/>
  <c r="AF788" i="63"/>
  <c r="I788" i="63" s="1"/>
  <c r="AF789" i="63"/>
  <c r="I789" i="63" s="1"/>
  <c r="AF790" i="63"/>
  <c r="I790" i="63" s="1"/>
  <c r="AF791" i="63"/>
  <c r="I791" i="63" s="1"/>
  <c r="I792" i="63"/>
  <c r="AF792" i="63"/>
  <c r="AF793" i="63"/>
  <c r="I793" i="63" s="1"/>
  <c r="AF794" i="63"/>
  <c r="I794" i="63" s="1"/>
  <c r="AF795" i="63"/>
  <c r="I795" i="63" s="1"/>
  <c r="AF796" i="63"/>
  <c r="I796" i="63" s="1"/>
  <c r="AF797" i="63"/>
  <c r="I797" i="63" s="1"/>
  <c r="AF798" i="63"/>
  <c r="I798" i="63" s="1"/>
  <c r="AF799" i="63"/>
  <c r="I799" i="63" s="1"/>
  <c r="AF800" i="63"/>
  <c r="I800" i="63" s="1"/>
  <c r="I801" i="63"/>
  <c r="AF801" i="63"/>
  <c r="AF802" i="63"/>
  <c r="I802" i="63" s="1"/>
  <c r="I803" i="63"/>
  <c r="AF803" i="63"/>
  <c r="I804" i="63"/>
  <c r="AF804" i="63"/>
  <c r="AF805" i="63"/>
  <c r="I805" i="63" s="1"/>
  <c r="AF806" i="63"/>
  <c r="I806" i="63" s="1"/>
  <c r="AF807" i="63"/>
  <c r="I807" i="63" s="1"/>
  <c r="AF808" i="63"/>
  <c r="I808" i="63" s="1"/>
  <c r="I809" i="63"/>
  <c r="AF809" i="63"/>
  <c r="AF810" i="63"/>
  <c r="I810" i="63" s="1"/>
  <c r="AF811" i="63"/>
  <c r="I811" i="63" s="1"/>
  <c r="I812" i="63"/>
  <c r="AF812" i="63"/>
  <c r="AF813" i="63"/>
  <c r="I813" i="63" s="1"/>
  <c r="AF814" i="63"/>
  <c r="I814" i="63" s="1"/>
  <c r="AF815" i="63"/>
  <c r="I815" i="63" s="1"/>
  <c r="AF816" i="63"/>
  <c r="I816" i="63" s="1"/>
  <c r="AF817" i="63"/>
  <c r="I817" i="63" s="1"/>
  <c r="AF818" i="63"/>
  <c r="I818" i="63" s="1"/>
  <c r="I819" i="63"/>
  <c r="AF819" i="63"/>
  <c r="AF820" i="63"/>
  <c r="I820" i="63" s="1"/>
  <c r="AF821" i="63"/>
  <c r="I821" i="63" s="1"/>
  <c r="AF822" i="63"/>
  <c r="I822" i="63" s="1"/>
  <c r="AF823" i="63"/>
  <c r="I823" i="63" s="1"/>
  <c r="I824" i="63"/>
  <c r="AF824" i="63"/>
  <c r="AF825" i="63"/>
  <c r="I825" i="63" s="1"/>
  <c r="AF826" i="63"/>
  <c r="I826" i="63" s="1"/>
  <c r="I827" i="63"/>
  <c r="AF827" i="63"/>
  <c r="AF828" i="63"/>
  <c r="I828" i="63" s="1"/>
  <c r="AF829" i="63"/>
  <c r="I829" i="63" s="1"/>
  <c r="AF830" i="63"/>
  <c r="I830" i="63" s="1"/>
  <c r="AF831" i="63"/>
  <c r="I831" i="63" s="1"/>
  <c r="AF832" i="63"/>
  <c r="I832" i="63" s="1"/>
  <c r="AF833" i="63"/>
  <c r="I833" i="63" s="1"/>
  <c r="AF834" i="63"/>
  <c r="I834" i="63" s="1"/>
  <c r="AF835" i="63"/>
  <c r="I835" i="63" s="1"/>
  <c r="I836" i="63"/>
  <c r="AF836" i="63"/>
  <c r="I837" i="63"/>
  <c r="AF837" i="63"/>
  <c r="AF838" i="63"/>
  <c r="I838" i="63" s="1"/>
  <c r="AF839" i="63"/>
  <c r="I839" i="63" s="1"/>
  <c r="AF840" i="63"/>
  <c r="I840" i="63" s="1"/>
  <c r="AF841" i="63"/>
  <c r="I841" i="63" s="1"/>
  <c r="AF842" i="63"/>
  <c r="I842" i="63" s="1"/>
  <c r="AF843" i="63"/>
  <c r="I843" i="63" s="1"/>
  <c r="I844" i="63"/>
  <c r="AF844" i="63"/>
  <c r="AF845" i="63"/>
  <c r="I845" i="63" s="1"/>
  <c r="I846" i="63"/>
  <c r="AF846" i="63"/>
  <c r="AF847" i="63"/>
  <c r="I847" i="63" s="1"/>
  <c r="I848" i="63"/>
  <c r="AF848" i="63"/>
  <c r="I849" i="63"/>
  <c r="AF849" i="63"/>
  <c r="AF850" i="63"/>
  <c r="I850" i="63" s="1"/>
  <c r="AF851" i="63"/>
  <c r="I851" i="63" s="1"/>
  <c r="AF852" i="63"/>
  <c r="I852" i="63" s="1"/>
  <c r="AF853" i="63"/>
  <c r="I853" i="63" s="1"/>
  <c r="AF854" i="63"/>
  <c r="I854" i="63" s="1"/>
  <c r="AF855" i="63"/>
  <c r="I855" i="63" s="1"/>
  <c r="AF856" i="63"/>
  <c r="I856" i="63" s="1"/>
  <c r="I857" i="63"/>
  <c r="AF857" i="63"/>
  <c r="AF858" i="63"/>
  <c r="I858" i="63" s="1"/>
  <c r="AF859" i="63"/>
  <c r="I859" i="63" s="1"/>
  <c r="I860" i="63"/>
  <c r="AF860" i="63"/>
  <c r="AF861" i="63"/>
  <c r="I861" i="63" s="1"/>
  <c r="AF862" i="63"/>
  <c r="I862" i="63" s="1"/>
  <c r="AF863" i="63"/>
  <c r="I863" i="63" s="1"/>
  <c r="I864" i="63"/>
  <c r="AF864" i="63"/>
  <c r="I865" i="63"/>
  <c r="AF865" i="63"/>
  <c r="AF866" i="63"/>
  <c r="I866" i="63" s="1"/>
  <c r="AF867" i="63"/>
  <c r="I867" i="63" s="1"/>
  <c r="I868" i="63"/>
  <c r="AF868" i="63"/>
  <c r="AF869" i="63"/>
  <c r="I869" i="63" s="1"/>
  <c r="AF870" i="63"/>
  <c r="I870" i="63" s="1"/>
  <c r="AF871" i="63"/>
  <c r="I871" i="63" s="1"/>
  <c r="AF872" i="63"/>
  <c r="I872" i="63" s="1"/>
  <c r="I873" i="63"/>
  <c r="AF873" i="63"/>
  <c r="I874" i="63"/>
  <c r="AF874" i="63"/>
  <c r="AF875" i="63"/>
  <c r="I875" i="63" s="1"/>
  <c r="AF876" i="63"/>
  <c r="I876" i="63" s="1"/>
  <c r="AF877" i="63"/>
  <c r="I877" i="63" s="1"/>
  <c r="I878" i="63"/>
  <c r="AF878" i="63"/>
  <c r="AF879" i="63"/>
  <c r="I879" i="63" s="1"/>
  <c r="AF880" i="63"/>
  <c r="I880" i="63" s="1"/>
  <c r="I881" i="63"/>
  <c r="AF881" i="63"/>
  <c r="AF882" i="63"/>
  <c r="I882" i="63" s="1"/>
  <c r="AF883" i="63"/>
  <c r="I883" i="63" s="1"/>
  <c r="AF884" i="63"/>
  <c r="I884" i="63" s="1"/>
  <c r="AF885" i="63"/>
  <c r="I885" i="63" s="1"/>
  <c r="AF886" i="63"/>
  <c r="I886" i="63" s="1"/>
  <c r="AF887" i="63"/>
  <c r="I887" i="63" s="1"/>
  <c r="I888" i="63"/>
  <c r="AF888" i="63"/>
  <c r="I889" i="63"/>
  <c r="AF889" i="63"/>
  <c r="I890" i="63"/>
  <c r="AF890" i="63"/>
  <c r="AF891" i="63"/>
  <c r="I891" i="63" s="1"/>
  <c r="AF892" i="63"/>
  <c r="I892" i="63" s="1"/>
  <c r="I893" i="63"/>
  <c r="AF893" i="63"/>
  <c r="AF894" i="63"/>
  <c r="I894" i="63" s="1"/>
  <c r="AF895" i="63"/>
  <c r="I895" i="63" s="1"/>
  <c r="I896" i="63"/>
  <c r="AF896" i="63"/>
  <c r="AF897" i="63"/>
  <c r="I897" i="63" s="1"/>
  <c r="I898" i="63"/>
  <c r="AF898" i="63"/>
  <c r="AF899" i="63"/>
  <c r="I899" i="63" s="1"/>
  <c r="AF900" i="63"/>
  <c r="I900" i="63" s="1"/>
  <c r="I901" i="63"/>
  <c r="AF901" i="63"/>
  <c r="AF902" i="63"/>
  <c r="I902" i="63" s="1"/>
  <c r="AF903" i="63"/>
  <c r="I903" i="63" s="1"/>
  <c r="AF904" i="63"/>
  <c r="I904" i="63" s="1"/>
  <c r="AF905" i="63"/>
  <c r="I905" i="63" s="1"/>
  <c r="I906" i="63"/>
  <c r="AF906" i="63"/>
  <c r="AF907" i="63"/>
  <c r="I907" i="63" s="1"/>
  <c r="AF908" i="63"/>
  <c r="I908" i="63" s="1"/>
  <c r="AF909" i="63"/>
  <c r="I909" i="63" s="1"/>
  <c r="AF910" i="63"/>
  <c r="I910" i="63" s="1"/>
  <c r="AF911" i="63"/>
  <c r="I911" i="63" s="1"/>
  <c r="AF912" i="63"/>
  <c r="I912" i="63" s="1"/>
  <c r="AF913" i="63"/>
  <c r="I913" i="63" s="1"/>
  <c r="AF914" i="63"/>
  <c r="I914" i="63" s="1"/>
  <c r="AF915" i="63"/>
  <c r="I915" i="63" s="1"/>
  <c r="I916" i="63"/>
  <c r="AF916" i="63"/>
  <c r="AF917" i="63"/>
  <c r="I917" i="63" s="1"/>
  <c r="AF918" i="63"/>
  <c r="I918" i="63" s="1"/>
  <c r="AF919" i="63"/>
  <c r="I919" i="63" s="1"/>
  <c r="AF920" i="63"/>
  <c r="I920" i="63" s="1"/>
  <c r="I921" i="63"/>
  <c r="AF921" i="63"/>
  <c r="AF922" i="63"/>
  <c r="I922" i="63" s="1"/>
  <c r="AF923" i="63"/>
  <c r="I923" i="63" s="1"/>
  <c r="AF924" i="63"/>
  <c r="I924" i="63" s="1"/>
  <c r="AF925" i="63"/>
  <c r="I925" i="63" s="1"/>
  <c r="AF926" i="63"/>
  <c r="I926" i="63" s="1"/>
  <c r="AF927" i="63"/>
  <c r="I927" i="63" s="1"/>
  <c r="AF928" i="63"/>
  <c r="I928" i="63" s="1"/>
  <c r="AF929" i="63"/>
  <c r="I929" i="63" s="1"/>
  <c r="AF930" i="63"/>
  <c r="I930" i="63" s="1"/>
  <c r="AF931" i="63"/>
  <c r="I931" i="63" s="1"/>
  <c r="AF932" i="63"/>
  <c r="I932" i="63" s="1"/>
  <c r="AF933" i="63"/>
  <c r="I933" i="63" s="1"/>
  <c r="I934" i="63"/>
  <c r="AF934" i="63"/>
  <c r="AF935" i="63"/>
  <c r="I935" i="63" s="1"/>
  <c r="AF936" i="63"/>
  <c r="I936" i="63" s="1"/>
  <c r="AF937" i="63"/>
  <c r="I937" i="63" s="1"/>
  <c r="I938" i="63"/>
  <c r="AF938" i="63"/>
  <c r="AF939" i="63"/>
  <c r="I939" i="63" s="1"/>
  <c r="AF940" i="63"/>
  <c r="I940" i="63" s="1"/>
  <c r="AF941" i="63"/>
  <c r="I941" i="63" s="1"/>
  <c r="AF942" i="63"/>
  <c r="I942" i="63" s="1"/>
  <c r="AF943" i="63"/>
  <c r="I943" i="63" s="1"/>
  <c r="I944" i="63"/>
  <c r="AF944" i="63"/>
  <c r="I945" i="63"/>
  <c r="AF945" i="63"/>
  <c r="AF946" i="63"/>
  <c r="I946" i="63" s="1"/>
  <c r="AF947" i="63"/>
  <c r="I947" i="63" s="1"/>
  <c r="AF948" i="63"/>
  <c r="I948" i="63" s="1"/>
  <c r="AF949" i="63"/>
  <c r="I949" i="63" s="1"/>
  <c r="AF950" i="63"/>
  <c r="I950" i="63" s="1"/>
  <c r="AF951" i="63"/>
  <c r="I951" i="63" s="1"/>
  <c r="AF952" i="63"/>
  <c r="I952" i="63" s="1"/>
  <c r="AF953" i="63"/>
  <c r="I953" i="63" s="1"/>
  <c r="AF954" i="63"/>
  <c r="I954" i="63" s="1"/>
  <c r="AF955" i="63"/>
  <c r="I955" i="63" s="1"/>
  <c r="AF956" i="63"/>
  <c r="I956" i="63" s="1"/>
  <c r="AF957" i="63"/>
  <c r="I957" i="63" s="1"/>
  <c r="AF958" i="63"/>
  <c r="I958" i="63" s="1"/>
  <c r="AF959" i="63"/>
  <c r="I959" i="63" s="1"/>
  <c r="AF960" i="63"/>
  <c r="I960" i="63" s="1"/>
  <c r="AF961" i="63"/>
  <c r="I961" i="63" s="1"/>
  <c r="AF962" i="63"/>
  <c r="I962" i="63" s="1"/>
  <c r="AF963" i="63"/>
  <c r="I963" i="63" s="1"/>
  <c r="AF964" i="63"/>
  <c r="I964" i="63" s="1"/>
  <c r="AF965" i="63"/>
  <c r="I965" i="63" s="1"/>
  <c r="AF966" i="63"/>
  <c r="I966" i="63" s="1"/>
  <c r="AF967" i="63"/>
  <c r="I967" i="63" s="1"/>
  <c r="AF968" i="63"/>
  <c r="I968" i="63" s="1"/>
  <c r="AF969" i="63"/>
  <c r="I969" i="63" s="1"/>
  <c r="I970" i="63"/>
  <c r="AF970" i="63"/>
  <c r="AF971" i="63"/>
  <c r="I971" i="63" s="1"/>
  <c r="AF972" i="63"/>
  <c r="I972" i="63" s="1"/>
  <c r="AF973" i="63"/>
  <c r="I973" i="63" s="1"/>
  <c r="AF974" i="63"/>
  <c r="I974" i="63" s="1"/>
  <c r="AF975" i="63"/>
  <c r="I975" i="63" s="1"/>
  <c r="I976" i="63"/>
  <c r="AF976" i="63"/>
  <c r="I977" i="63"/>
  <c r="AF977" i="63"/>
  <c r="AF978" i="63"/>
  <c r="I978" i="63" s="1"/>
  <c r="AF979" i="63"/>
  <c r="I979" i="63" s="1"/>
  <c r="AF980" i="63"/>
  <c r="I980" i="63" s="1"/>
  <c r="AF981" i="63"/>
  <c r="I981" i="63" s="1"/>
  <c r="AF982" i="63"/>
  <c r="I982" i="63" s="1"/>
  <c r="AF983" i="63"/>
  <c r="I983" i="63" s="1"/>
  <c r="AF984" i="63"/>
  <c r="I984" i="63" s="1"/>
  <c r="AF985" i="63"/>
  <c r="I985" i="63" s="1"/>
  <c r="AF986" i="63"/>
  <c r="I986" i="63" s="1"/>
  <c r="AF987" i="63"/>
  <c r="I987" i="63" s="1"/>
  <c r="I988" i="63"/>
  <c r="AF988" i="63"/>
  <c r="I989" i="63"/>
  <c r="AF989" i="63"/>
  <c r="AF990" i="63"/>
  <c r="I990" i="63" s="1"/>
  <c r="AF991" i="63"/>
  <c r="I991" i="63" s="1"/>
  <c r="AF992" i="63"/>
  <c r="I992" i="63" s="1"/>
  <c r="AF993" i="63"/>
  <c r="I993" i="63" s="1"/>
  <c r="AF994" i="63"/>
  <c r="I994" i="63" s="1"/>
  <c r="AF995" i="63"/>
  <c r="I995" i="63" s="1"/>
  <c r="AF996" i="63"/>
  <c r="I996" i="63" s="1"/>
  <c r="AF997" i="63"/>
  <c r="I997" i="63" s="1"/>
  <c r="AF998" i="63"/>
  <c r="I998" i="63" s="1"/>
  <c r="AF999" i="63"/>
  <c r="I999" i="63" s="1"/>
  <c r="AF1000" i="63"/>
  <c r="I1000" i="63" s="1"/>
  <c r="AF1001" i="63"/>
  <c r="I1001" i="63" s="1"/>
  <c r="AF1002" i="63"/>
  <c r="I1002" i="63" s="1"/>
  <c r="AF1003" i="63"/>
  <c r="I1003" i="63" s="1"/>
  <c r="AF1004" i="63"/>
  <c r="I1004" i="63" s="1"/>
  <c r="AF1005" i="63"/>
  <c r="I1005" i="63" s="1"/>
  <c r="I1006" i="63"/>
  <c r="AF1006" i="63"/>
  <c r="AF1007" i="63"/>
  <c r="I1007" i="63" s="1"/>
  <c r="AF1008" i="63"/>
  <c r="I1008" i="63" s="1"/>
  <c r="AF1009" i="63"/>
  <c r="I1009" i="63" s="1"/>
  <c r="AF1010" i="63"/>
  <c r="I1010" i="63" s="1"/>
  <c r="AF1011" i="63"/>
  <c r="I1011" i="63" s="1"/>
  <c r="AF1012" i="63"/>
  <c r="I1012" i="63" s="1"/>
  <c r="AF1013" i="63"/>
  <c r="I1013" i="63" s="1"/>
  <c r="AF1014" i="63"/>
  <c r="I1014" i="63" s="1"/>
  <c r="AF1015" i="63"/>
  <c r="I1015" i="63" s="1"/>
  <c r="I1016" i="63"/>
  <c r="AF1016" i="63"/>
  <c r="I1017" i="63"/>
  <c r="AF1017" i="63"/>
  <c r="I1018" i="63"/>
  <c r="AF1018" i="63"/>
  <c r="AF1019" i="63"/>
  <c r="I1019" i="63" s="1"/>
  <c r="AF1020" i="63"/>
  <c r="I1020" i="63" s="1"/>
  <c r="I1021" i="63"/>
  <c r="AF1021" i="63"/>
  <c r="AF1022" i="63"/>
  <c r="I1022" i="63" s="1"/>
  <c r="AF1023" i="63"/>
  <c r="I1023" i="63" s="1"/>
  <c r="I1024" i="63"/>
  <c r="AF1024" i="63"/>
  <c r="AF1025" i="63"/>
  <c r="I1025" i="63" s="1"/>
  <c r="I1026" i="63"/>
  <c r="AF1026" i="63"/>
  <c r="AF1027" i="63"/>
  <c r="I1027" i="63" s="1"/>
  <c r="AF1028" i="63"/>
  <c r="I1028" i="63" s="1"/>
  <c r="I1029" i="63"/>
  <c r="AF1029" i="63"/>
  <c r="AF1030" i="63"/>
  <c r="I1030" i="63" s="1"/>
  <c r="AF1031" i="63"/>
  <c r="I1031" i="63" s="1"/>
  <c r="AF1032" i="63"/>
  <c r="I1032" i="63" s="1"/>
  <c r="AF1033" i="63"/>
  <c r="I1033" i="63" s="1"/>
  <c r="I1034" i="63"/>
  <c r="AF1034" i="63"/>
  <c r="AF1035" i="63"/>
  <c r="I1035" i="63" s="1"/>
  <c r="AF1036" i="63"/>
  <c r="I1036" i="63" s="1"/>
  <c r="AF1037" i="63"/>
  <c r="I1037" i="63" s="1"/>
  <c r="AF1038" i="63"/>
  <c r="I1038" i="63" s="1"/>
  <c r="AF1039" i="63"/>
  <c r="I1039" i="63" s="1"/>
  <c r="AF1040" i="63"/>
  <c r="I1040" i="63" s="1"/>
  <c r="I1041" i="63"/>
  <c r="AF1041" i="63"/>
  <c r="I1042" i="63"/>
  <c r="AF1042" i="63"/>
  <c r="AF1043" i="63"/>
  <c r="I1043" i="63" s="1"/>
  <c r="I1044" i="63"/>
  <c r="AF1044" i="63"/>
  <c r="AF1045" i="63"/>
  <c r="I1045" i="63" s="1"/>
  <c r="AF1046" i="63"/>
  <c r="I1046" i="63" s="1"/>
  <c r="AF1047" i="63"/>
  <c r="I1047" i="63" s="1"/>
  <c r="I1048" i="63"/>
  <c r="AF1048" i="63"/>
  <c r="AF1049" i="63"/>
  <c r="I1049" i="63" s="1"/>
  <c r="AF1050" i="63"/>
  <c r="I1050" i="63" s="1"/>
  <c r="AF1051" i="63"/>
  <c r="I1051" i="63" s="1"/>
  <c r="AF1052" i="63"/>
  <c r="I1052" i="63" s="1"/>
  <c r="I1053" i="63"/>
  <c r="AF1053" i="63"/>
  <c r="I1054" i="63"/>
  <c r="AF1054" i="63"/>
  <c r="AF1055" i="63"/>
  <c r="I1055" i="63" s="1"/>
  <c r="AF1056" i="63"/>
  <c r="I1056" i="63" s="1"/>
  <c r="I1057" i="63"/>
  <c r="AF1057" i="63"/>
  <c r="AF1058" i="63"/>
  <c r="I1058" i="63" s="1"/>
  <c r="AF1059" i="63"/>
  <c r="I1059" i="63" s="1"/>
  <c r="AF1060" i="63"/>
  <c r="I1060" i="63" s="1"/>
  <c r="AF1061" i="63"/>
  <c r="I1061" i="63" s="1"/>
  <c r="I1062" i="63"/>
  <c r="AF1062" i="63"/>
  <c r="AF1063" i="63"/>
  <c r="I1063" i="63" s="1"/>
  <c r="AF1064" i="63"/>
  <c r="I1064" i="63" s="1"/>
  <c r="AF1065" i="63"/>
  <c r="I1065" i="63" s="1"/>
  <c r="AF1066" i="63"/>
  <c r="I1066" i="63" s="1"/>
  <c r="AF1067" i="63"/>
  <c r="I1067" i="63" s="1"/>
  <c r="I1068" i="63"/>
  <c r="AF1068" i="63"/>
  <c r="AF1069" i="63"/>
  <c r="I1069" i="63" s="1"/>
  <c r="AF1070" i="63"/>
  <c r="I1070" i="63" s="1"/>
  <c r="AF1071" i="63"/>
  <c r="I1071" i="63" s="1"/>
  <c r="AF1072" i="63"/>
  <c r="I1072" i="63" s="1"/>
  <c r="AF1073" i="63"/>
  <c r="I1073" i="63" s="1"/>
  <c r="I1074" i="63"/>
  <c r="AF1074" i="63"/>
  <c r="AF1075" i="63"/>
  <c r="I1075" i="63" s="1"/>
  <c r="I1076" i="63"/>
  <c r="AF1076" i="63"/>
  <c r="I1077" i="63"/>
  <c r="AF1077" i="63"/>
  <c r="I1078" i="63"/>
  <c r="AF1078" i="63"/>
  <c r="AF1079" i="63"/>
  <c r="I1079" i="63" s="1"/>
  <c r="AF1080" i="63"/>
  <c r="I1080" i="63" s="1"/>
  <c r="AF1081" i="63"/>
  <c r="I1081" i="63" s="1"/>
  <c r="AF1082" i="63"/>
  <c r="I1082" i="63" s="1"/>
  <c r="AF1083" i="63"/>
  <c r="I1083" i="63" s="1"/>
  <c r="I1084" i="63"/>
  <c r="AF1084" i="63"/>
  <c r="I1085" i="63"/>
  <c r="AF1085" i="63"/>
  <c r="I1086" i="63"/>
  <c r="AF1086" i="63"/>
  <c r="AF1087" i="63"/>
  <c r="I1087" i="63" s="1"/>
  <c r="AF1088" i="63"/>
  <c r="I1088" i="63" s="1"/>
  <c r="AF1089" i="63"/>
  <c r="I1089" i="63" s="1"/>
  <c r="I1090" i="63"/>
  <c r="AF1090" i="63"/>
  <c r="AF1091" i="63"/>
  <c r="I1091" i="63" s="1"/>
  <c r="AF1092" i="63"/>
  <c r="I1092" i="63" s="1"/>
  <c r="AF1093" i="63"/>
  <c r="I1093" i="63" s="1"/>
  <c r="AF1094" i="63"/>
  <c r="I1094" i="63" s="1"/>
  <c r="AF1095" i="63"/>
  <c r="I1095" i="63" s="1"/>
  <c r="AF1096" i="63"/>
  <c r="I1096" i="63" s="1"/>
  <c r="AF1097" i="63"/>
  <c r="I1097" i="63" s="1"/>
  <c r="I1098" i="63"/>
  <c r="AF1098" i="63"/>
  <c r="AF1099" i="63"/>
  <c r="I1099" i="63" s="1"/>
  <c r="I1100" i="63"/>
  <c r="AF1100" i="63"/>
  <c r="AF1101" i="63"/>
  <c r="I1101" i="63" s="1"/>
  <c r="AF1102" i="63"/>
  <c r="I1102" i="63" s="1"/>
  <c r="AF1103" i="63"/>
  <c r="I1103" i="63" s="1"/>
  <c r="AF1104" i="63"/>
  <c r="I1104" i="63" s="1"/>
  <c r="AF1105" i="63"/>
  <c r="I1105" i="63" s="1"/>
  <c r="AF1106" i="63"/>
  <c r="I1106" i="63" s="1"/>
  <c r="AF1107" i="63"/>
  <c r="I1107" i="63" s="1"/>
  <c r="AF1108" i="63"/>
  <c r="I1108" i="63" s="1"/>
  <c r="AF1109" i="63"/>
  <c r="I1109" i="63" s="1"/>
  <c r="I1110" i="63"/>
  <c r="AF1110" i="63"/>
  <c r="AF1111" i="63"/>
  <c r="I1111" i="63" s="1"/>
  <c r="AF1112" i="63"/>
  <c r="I1112" i="63" s="1"/>
  <c r="AF1113" i="63"/>
  <c r="I1113" i="63" s="1"/>
  <c r="AF1114" i="63"/>
  <c r="I1114" i="63" s="1"/>
  <c r="I1115" i="63"/>
  <c r="AF1115" i="63"/>
  <c r="I1116" i="63"/>
  <c r="AF1116" i="63"/>
  <c r="AF1117" i="63"/>
  <c r="I1117" i="63" s="1"/>
  <c r="I1118" i="63"/>
  <c r="AF1118" i="63"/>
  <c r="AF1119" i="63"/>
  <c r="I1119" i="63" s="1"/>
  <c r="I1120" i="63"/>
  <c r="AF1120" i="63"/>
  <c r="AF1121" i="63"/>
  <c r="I1121" i="63" s="1"/>
  <c r="AF1122" i="63"/>
  <c r="I1122" i="63" s="1"/>
  <c r="AF1123" i="63"/>
  <c r="I1123" i="63" s="1"/>
  <c r="I1124" i="63"/>
  <c r="AF1124" i="63"/>
  <c r="AF1125" i="63"/>
  <c r="I1125" i="63" s="1"/>
  <c r="AF1126" i="63"/>
  <c r="I1126" i="63" s="1"/>
  <c r="AF1127" i="63"/>
  <c r="I1127" i="63" s="1"/>
  <c r="I1128" i="63"/>
  <c r="AF1128" i="63"/>
  <c r="AF1129" i="63"/>
  <c r="I1129" i="63" s="1"/>
  <c r="I1130" i="63"/>
  <c r="AF1130" i="63"/>
  <c r="AF1131" i="63"/>
  <c r="I1131" i="63" s="1"/>
  <c r="AF1132" i="63"/>
  <c r="I1132" i="63" s="1"/>
  <c r="AF1133" i="63"/>
  <c r="I1133" i="63" s="1"/>
  <c r="I1134" i="63"/>
  <c r="AF1134" i="63"/>
  <c r="AF1135" i="63"/>
  <c r="I1135" i="63" s="1"/>
  <c r="AF1136" i="63"/>
  <c r="I1136" i="63" s="1"/>
  <c r="AF1137" i="63"/>
  <c r="I1137" i="63" s="1"/>
  <c r="AF1138" i="63"/>
  <c r="I1138" i="63" s="1"/>
  <c r="AF1139" i="63"/>
  <c r="I1139" i="63" s="1"/>
  <c r="I1140" i="63"/>
  <c r="AF1140" i="63"/>
  <c r="AF1141" i="63"/>
  <c r="I1141" i="63" s="1"/>
  <c r="I1142" i="63"/>
  <c r="AF1142" i="63"/>
  <c r="AF1143" i="63"/>
  <c r="I1143" i="63" s="1"/>
  <c r="AF1144" i="63"/>
  <c r="I1144" i="63" s="1"/>
  <c r="AF1145" i="63"/>
  <c r="I1145" i="63" s="1"/>
  <c r="AF1146" i="63"/>
  <c r="I1146" i="63" s="1"/>
  <c r="AF1147" i="63"/>
  <c r="I1147" i="63" s="1"/>
  <c r="AF1148" i="63"/>
  <c r="I1148" i="63" s="1"/>
  <c r="AF1149" i="63"/>
  <c r="I1149" i="63" s="1"/>
  <c r="I1150" i="63"/>
  <c r="AF1150" i="63"/>
  <c r="AF1151" i="63"/>
  <c r="I1151" i="63" s="1"/>
  <c r="AF1152" i="63"/>
  <c r="I1152" i="63" s="1"/>
  <c r="AF1153" i="63"/>
  <c r="I1153" i="63" s="1"/>
  <c r="AF1154" i="63"/>
  <c r="I1154" i="63" s="1"/>
  <c r="AF1155" i="63"/>
  <c r="I1155" i="63" s="1"/>
  <c r="AF1156" i="63"/>
  <c r="I1156" i="63" s="1"/>
  <c r="AF1157" i="63"/>
  <c r="I1157" i="63" s="1"/>
  <c r="AF1158" i="63"/>
  <c r="I1158" i="63" s="1"/>
  <c r="AF1159" i="63"/>
  <c r="I1159" i="63" s="1"/>
  <c r="AF1160" i="63"/>
  <c r="I1160" i="63" s="1"/>
  <c r="AF1161" i="63"/>
  <c r="I1161" i="63" s="1"/>
  <c r="I1162" i="63"/>
  <c r="AF1162" i="63"/>
  <c r="AF1163" i="63"/>
  <c r="I1163" i="63" s="1"/>
  <c r="I1164" i="63"/>
  <c r="AF1164" i="63"/>
  <c r="AF1165" i="63"/>
  <c r="I1165" i="63" s="1"/>
  <c r="AF1166" i="63"/>
  <c r="I1166" i="63" s="1"/>
  <c r="AF1167" i="63"/>
  <c r="I1167" i="63" s="1"/>
  <c r="AF1168" i="63"/>
  <c r="I1168" i="63" s="1"/>
  <c r="AF1169" i="63"/>
  <c r="I1169" i="63" s="1"/>
  <c r="I1170" i="63"/>
  <c r="AF1170" i="63"/>
  <c r="AF1171" i="63"/>
  <c r="I1171" i="63" s="1"/>
  <c r="I1172" i="63"/>
  <c r="AF1172" i="63"/>
  <c r="AF1173" i="63"/>
  <c r="I1173" i="63" s="1"/>
  <c r="AF1174" i="63"/>
  <c r="I1174" i="63" s="1"/>
  <c r="I1175" i="63"/>
  <c r="AF1175" i="63"/>
  <c r="AF1176" i="63"/>
  <c r="I1176" i="63" s="1"/>
  <c r="AF1177" i="63"/>
  <c r="I1177" i="63" s="1"/>
  <c r="AF1178" i="63"/>
  <c r="I1178" i="63" s="1"/>
  <c r="AF1179" i="63"/>
  <c r="I1179" i="63" s="1"/>
  <c r="AF1180" i="63"/>
  <c r="I1180" i="63" s="1"/>
  <c r="AF1181" i="63"/>
  <c r="I1181" i="63" s="1"/>
  <c r="I1182" i="63"/>
  <c r="AF1182" i="63"/>
  <c r="AF1183" i="63"/>
  <c r="I1183" i="63" s="1"/>
  <c r="AF1184" i="63"/>
  <c r="I1184" i="63" s="1"/>
  <c r="AF1185" i="63"/>
  <c r="I1185" i="63" s="1"/>
  <c r="I1186" i="63"/>
  <c r="AF1186" i="63"/>
  <c r="AF1187" i="63"/>
  <c r="I1187" i="63" s="1"/>
  <c r="AF1188" i="63"/>
  <c r="I1188" i="63" s="1"/>
  <c r="AF1189" i="63"/>
  <c r="I1189" i="63" s="1"/>
  <c r="AF1190" i="63"/>
  <c r="I1190" i="63" s="1"/>
  <c r="AF1191" i="63"/>
  <c r="I1191" i="63" s="1"/>
  <c r="AF1192" i="63"/>
  <c r="I1192" i="63" s="1"/>
  <c r="AF1193" i="63"/>
  <c r="I1193" i="63" s="1"/>
  <c r="AF1194" i="63"/>
  <c r="I1194" i="63" s="1"/>
  <c r="AF1195" i="63"/>
  <c r="I1195" i="63" s="1"/>
  <c r="AF1196" i="63"/>
  <c r="I1196" i="63" s="1"/>
  <c r="AF1197" i="63"/>
  <c r="I1197" i="63" s="1"/>
  <c r="AF1198" i="63"/>
  <c r="I1198" i="63" s="1"/>
  <c r="AF1199" i="63"/>
  <c r="I1199" i="63" s="1"/>
  <c r="AF1200" i="63"/>
  <c r="I1200" i="63" s="1"/>
  <c r="AF1201" i="63"/>
  <c r="I1201" i="63" s="1"/>
  <c r="AF1202" i="63"/>
  <c r="I1202" i="63" s="1"/>
  <c r="AF1203" i="63"/>
  <c r="I1203" i="63" s="1"/>
  <c r="AF1204" i="63"/>
  <c r="I1204" i="63" s="1"/>
  <c r="AF1205" i="63"/>
  <c r="I1205" i="63" s="1"/>
  <c r="I1206" i="63"/>
  <c r="AF1206" i="63"/>
  <c r="AF1207" i="63"/>
  <c r="I1207" i="63" s="1"/>
  <c r="AF1208" i="63"/>
  <c r="I1208" i="63" s="1"/>
  <c r="AF1209" i="63"/>
  <c r="I1209" i="63" s="1"/>
  <c r="I1210" i="63"/>
  <c r="AF1210" i="63"/>
  <c r="I1211" i="63"/>
  <c r="AF1211" i="63"/>
  <c r="AF1212" i="63"/>
  <c r="I1212" i="63" s="1"/>
  <c r="AF1213" i="63"/>
  <c r="I1213" i="63" s="1"/>
  <c r="I1214" i="63"/>
  <c r="AF1214" i="63"/>
  <c r="AF1215" i="63"/>
  <c r="I1215" i="63" s="1"/>
  <c r="AF1216" i="63"/>
  <c r="I1216" i="63" s="1"/>
  <c r="AF1217" i="63"/>
  <c r="I1217" i="63" s="1"/>
  <c r="AF1218" i="63"/>
  <c r="I1218" i="63" s="1"/>
  <c r="AF1219" i="63"/>
  <c r="I1219" i="63" s="1"/>
  <c r="AF1220" i="63"/>
  <c r="I1220" i="63" s="1"/>
  <c r="AF1221" i="63"/>
  <c r="I1221" i="63" s="1"/>
  <c r="AF1222" i="63"/>
  <c r="I1222" i="63" s="1"/>
  <c r="AF1223" i="63"/>
  <c r="I1223" i="63" s="1"/>
  <c r="AF1224" i="63"/>
  <c r="I1224" i="63" s="1"/>
  <c r="AF1225" i="63"/>
  <c r="I1225" i="63" s="1"/>
  <c r="AF1226" i="63"/>
  <c r="I1226" i="63" s="1"/>
  <c r="AF1227" i="63"/>
  <c r="I1227" i="63" s="1"/>
  <c r="AF1228" i="63"/>
  <c r="I1228" i="63" s="1"/>
  <c r="AF1229" i="63"/>
  <c r="I1229" i="63" s="1"/>
  <c r="I1230" i="63"/>
  <c r="AF1230" i="63"/>
  <c r="AF1231" i="63"/>
  <c r="I1231" i="63" s="1"/>
  <c r="AF1232" i="63"/>
  <c r="I1232" i="63" s="1"/>
  <c r="AF1233" i="63"/>
  <c r="I1233" i="63" s="1"/>
  <c r="I1234" i="63"/>
  <c r="AF1234" i="63"/>
  <c r="AF1235" i="63"/>
  <c r="I1235" i="63" s="1"/>
  <c r="I1236" i="63"/>
  <c r="AF1236" i="63"/>
  <c r="AF1237" i="63"/>
  <c r="I1237" i="63" s="1"/>
  <c r="I1238" i="63"/>
  <c r="AF1238" i="63"/>
  <c r="I1239" i="63"/>
  <c r="AF1239" i="63"/>
  <c r="AF1240" i="63"/>
  <c r="I1240" i="63" s="1"/>
  <c r="AF1241" i="63"/>
  <c r="I1241" i="63" s="1"/>
  <c r="I1242" i="63"/>
  <c r="AF1242" i="63"/>
  <c r="I1243" i="63"/>
  <c r="AF1243" i="63"/>
  <c r="AF1244" i="63"/>
  <c r="I1244" i="63" s="1"/>
  <c r="AF1245" i="63"/>
  <c r="I1245" i="63" s="1"/>
  <c r="AF1246" i="63"/>
  <c r="I1246" i="63" s="1"/>
  <c r="AF1247" i="63"/>
  <c r="I1247" i="63" s="1"/>
  <c r="AF1248" i="63"/>
  <c r="I1248" i="63" s="1"/>
  <c r="AF1249" i="63"/>
  <c r="I1249" i="63" s="1"/>
  <c r="I1250" i="63"/>
  <c r="AF1250" i="63"/>
  <c r="AF1251" i="63"/>
  <c r="I1251" i="63" s="1"/>
  <c r="AF1252" i="63"/>
  <c r="I1252" i="63" s="1"/>
  <c r="AF1253" i="63"/>
  <c r="I1253" i="63" s="1"/>
  <c r="I1254" i="63"/>
  <c r="AF1254" i="63"/>
  <c r="AF1255" i="63"/>
  <c r="I1255" i="63" s="1"/>
  <c r="AF1256" i="63"/>
  <c r="I1256" i="63" s="1"/>
  <c r="AF1257" i="63"/>
  <c r="I1257" i="63" s="1"/>
  <c r="AF1258" i="63"/>
  <c r="I1258" i="63" s="1"/>
  <c r="AF1259" i="63"/>
  <c r="I1259" i="63" s="1"/>
  <c r="AF1260" i="63"/>
  <c r="I1260" i="63" s="1"/>
  <c r="AF1261" i="63"/>
  <c r="I1261" i="63" s="1"/>
  <c r="I1262" i="63"/>
  <c r="AF1262" i="63"/>
  <c r="AF1263" i="63"/>
  <c r="I1263" i="63" s="1"/>
  <c r="AF1264" i="63"/>
  <c r="I1264" i="63" s="1"/>
  <c r="AF1265" i="63"/>
  <c r="I1265" i="63" s="1"/>
  <c r="I1266" i="63"/>
  <c r="AF1266" i="63"/>
  <c r="AF1267" i="63"/>
  <c r="I1267" i="63" s="1"/>
  <c r="I1268" i="63"/>
  <c r="AF1268" i="63"/>
  <c r="AF1269" i="63"/>
  <c r="I1269" i="63" s="1"/>
  <c r="I1270" i="63"/>
  <c r="AF1270" i="63"/>
  <c r="I1271" i="63"/>
  <c r="AF1271" i="63"/>
  <c r="AF1272" i="63"/>
  <c r="I1272" i="63" s="1"/>
  <c r="AF1273" i="63"/>
  <c r="I1273" i="63" s="1"/>
  <c r="I1274" i="63"/>
  <c r="AF1274" i="63"/>
  <c r="I1275" i="63"/>
  <c r="AF1275" i="63"/>
  <c r="AF1276" i="63"/>
  <c r="I1276" i="63" s="1"/>
  <c r="AF1277" i="63"/>
  <c r="I1277" i="63" s="1"/>
  <c r="AF1278" i="63"/>
  <c r="I1278" i="63" s="1"/>
  <c r="AF1279" i="63"/>
  <c r="I1279" i="63" s="1"/>
  <c r="I1280" i="63"/>
  <c r="AF1280" i="63"/>
  <c r="AF1281" i="63"/>
  <c r="I1281" i="63" s="1"/>
  <c r="I1282" i="63"/>
  <c r="AF1282" i="63"/>
  <c r="AF1283" i="63"/>
  <c r="I1283" i="63" s="1"/>
  <c r="AF1284" i="63"/>
  <c r="I1284" i="63" s="1"/>
  <c r="AF1285" i="63"/>
  <c r="I1285" i="63" s="1"/>
  <c r="I1286" i="63"/>
  <c r="AF1286" i="63"/>
  <c r="AF1287" i="63"/>
  <c r="I1287" i="63" s="1"/>
  <c r="AF1288" i="63"/>
  <c r="I1288" i="63" s="1"/>
  <c r="AF1289" i="63"/>
  <c r="I1289" i="63" s="1"/>
  <c r="AF1290" i="63"/>
  <c r="I1290" i="63" s="1"/>
  <c r="I1291" i="63"/>
  <c r="AF1291" i="63"/>
  <c r="AF1292" i="63"/>
  <c r="I1292" i="63" s="1"/>
  <c r="AF1293" i="63"/>
  <c r="I1293" i="63" s="1"/>
  <c r="AF1294" i="63"/>
  <c r="I1294" i="63" s="1"/>
  <c r="AF1295" i="63"/>
  <c r="I1295" i="63" s="1"/>
  <c r="AF1296" i="63"/>
  <c r="I1296" i="63" s="1"/>
  <c r="AF1297" i="63"/>
  <c r="I1297" i="63" s="1"/>
  <c r="I1298" i="63"/>
  <c r="AF1298" i="63"/>
  <c r="AF1299" i="63"/>
  <c r="I1299" i="63" s="1"/>
  <c r="AF1300" i="63"/>
  <c r="I1300" i="63" s="1"/>
  <c r="AF1301" i="63"/>
  <c r="I1301" i="63" s="1"/>
  <c r="AF1302" i="63"/>
  <c r="I1302" i="63" s="1"/>
  <c r="I1303" i="63"/>
  <c r="AF1303" i="63"/>
  <c r="AF1304" i="63"/>
  <c r="I1304" i="63" s="1"/>
  <c r="AF1305" i="63"/>
  <c r="I1305" i="63" s="1"/>
  <c r="I1306" i="63"/>
  <c r="AF1306" i="63"/>
  <c r="AF1307" i="63"/>
  <c r="I1307" i="63" s="1"/>
  <c r="AF1308" i="63"/>
  <c r="I1308" i="63" s="1"/>
  <c r="AF1309" i="63"/>
  <c r="I1309" i="63" s="1"/>
  <c r="I1310" i="63"/>
  <c r="AF1310" i="63"/>
  <c r="AF1311" i="63"/>
  <c r="I1311" i="63" s="1"/>
  <c r="AF1312" i="63"/>
  <c r="I1312" i="63" s="1"/>
  <c r="AF1313" i="63"/>
  <c r="I1313" i="63" s="1"/>
  <c r="I1314" i="63"/>
  <c r="AF1314" i="63"/>
  <c r="AF1315" i="63"/>
  <c r="I1315" i="63" s="1"/>
  <c r="AF1316" i="63"/>
  <c r="I1316" i="63" s="1"/>
  <c r="AF1317" i="63"/>
  <c r="I1317" i="63" s="1"/>
  <c r="AF1318" i="63"/>
  <c r="I1318" i="63" s="1"/>
  <c r="AF1319" i="63"/>
  <c r="I1319" i="63" s="1"/>
  <c r="AF1320" i="63"/>
  <c r="I1320" i="63" s="1"/>
  <c r="AF1321" i="63"/>
  <c r="I1321" i="63" s="1"/>
  <c r="AF1322" i="63"/>
  <c r="I1322" i="63" s="1"/>
  <c r="I1323" i="63"/>
  <c r="AF1323" i="63"/>
  <c r="AF1324" i="63"/>
  <c r="I1324" i="63" s="1"/>
  <c r="AF1325" i="63"/>
  <c r="I1325" i="63" s="1"/>
  <c r="AF1326" i="63"/>
  <c r="I1326" i="63" s="1"/>
  <c r="AF1327" i="63"/>
  <c r="I1327" i="63" s="1"/>
  <c r="AF1328" i="63"/>
  <c r="I1328" i="63" s="1"/>
  <c r="AF1329" i="63"/>
  <c r="I1329" i="63" s="1"/>
  <c r="I1330" i="63"/>
  <c r="AF1330" i="63"/>
  <c r="AF1331" i="63"/>
  <c r="I1331" i="63" s="1"/>
  <c r="AF1332" i="63"/>
  <c r="I1332" i="63" s="1"/>
  <c r="AF1333" i="63"/>
  <c r="I1333" i="63" s="1"/>
  <c r="AF1334" i="63"/>
  <c r="I1334" i="63" s="1"/>
  <c r="AF1335" i="63"/>
  <c r="I1335" i="63" s="1"/>
  <c r="AF1336" i="63"/>
  <c r="I1336" i="63" s="1"/>
  <c r="AF1337" i="63"/>
  <c r="I1337" i="63" s="1"/>
  <c r="I1338" i="63"/>
  <c r="AF1338" i="63"/>
  <c r="AF1339" i="63"/>
  <c r="I1339" i="63" s="1"/>
  <c r="AF1340" i="63"/>
  <c r="I1340" i="63" s="1"/>
  <c r="AF1341" i="63"/>
  <c r="I1341" i="63" s="1"/>
  <c r="I1342" i="63"/>
  <c r="AF1342" i="63"/>
  <c r="AF1343" i="63"/>
  <c r="I1343" i="63" s="1"/>
  <c r="AF1344" i="63"/>
  <c r="I1344" i="63" s="1"/>
  <c r="AF1345" i="63"/>
  <c r="I1345" i="63" s="1"/>
  <c r="AF1346" i="63"/>
  <c r="I1346" i="63" s="1"/>
  <c r="AF1347" i="63"/>
  <c r="I1347" i="63" s="1"/>
  <c r="AF1348" i="63"/>
  <c r="I1348" i="63" s="1"/>
  <c r="AF1349" i="63"/>
  <c r="I1349" i="63" s="1"/>
  <c r="AF1350" i="63"/>
  <c r="I1350" i="63" s="1"/>
  <c r="AF1351" i="63"/>
  <c r="I1351" i="63" s="1"/>
  <c r="AF1352" i="63"/>
  <c r="I1352" i="63" s="1"/>
  <c r="AF1353" i="63"/>
  <c r="I1353" i="63" s="1"/>
  <c r="AF1354" i="63"/>
  <c r="I1354" i="63" s="1"/>
  <c r="AF1355" i="63"/>
  <c r="I1355" i="63" s="1"/>
  <c r="AF1356" i="63"/>
  <c r="I1356" i="63" s="1"/>
  <c r="AF1357" i="63"/>
  <c r="I1357" i="63" s="1"/>
  <c r="AF1358" i="63"/>
  <c r="I1358" i="63" s="1"/>
  <c r="AF1359" i="63"/>
  <c r="I1359" i="63" s="1"/>
  <c r="AF1360" i="63"/>
  <c r="I1360" i="63" s="1"/>
  <c r="AF1361" i="63"/>
  <c r="I1361" i="63" s="1"/>
  <c r="I1362" i="63"/>
  <c r="AF1362" i="63"/>
  <c r="AF1363" i="63"/>
  <c r="I1363" i="63" s="1"/>
  <c r="AF1364" i="63"/>
  <c r="I1364" i="63" s="1"/>
  <c r="AF1365" i="63"/>
  <c r="I1365" i="63" s="1"/>
  <c r="I1366" i="63"/>
  <c r="AF1366" i="63"/>
  <c r="I1367" i="63"/>
  <c r="AF1367" i="63"/>
  <c r="AF1368" i="63"/>
  <c r="I1368" i="63" s="1"/>
  <c r="AF1369" i="63"/>
  <c r="I1369" i="63" s="1"/>
  <c r="I1370" i="63"/>
  <c r="AF1370" i="63"/>
  <c r="I1371" i="63"/>
  <c r="AF1371" i="63"/>
  <c r="AF1372" i="63"/>
  <c r="I1372" i="63" s="1"/>
  <c r="AF1373" i="63"/>
  <c r="I1373" i="63" s="1"/>
  <c r="AF1374" i="63"/>
  <c r="I1374" i="63" s="1"/>
  <c r="AF1375" i="63"/>
  <c r="I1375" i="63" s="1"/>
  <c r="AF1376" i="63"/>
  <c r="I1376" i="63" s="1"/>
  <c r="AF1377" i="63"/>
  <c r="I1377" i="63" s="1"/>
  <c r="I1378" i="63"/>
  <c r="AF1378" i="63"/>
  <c r="AF1379" i="63"/>
  <c r="I1379" i="63" s="1"/>
  <c r="AF1380" i="63"/>
  <c r="I1380" i="63" s="1"/>
  <c r="AF1381" i="63"/>
  <c r="I1381" i="63" s="1"/>
  <c r="I1382" i="63"/>
  <c r="AF1382" i="63"/>
  <c r="AF1383" i="63"/>
  <c r="I1383" i="63" s="1"/>
  <c r="AF1384" i="63"/>
  <c r="I1384" i="63" s="1"/>
  <c r="AF1385" i="63"/>
  <c r="I1385" i="63" s="1"/>
  <c r="AF1386" i="63"/>
  <c r="I1386" i="63" s="1"/>
  <c r="AF1387" i="63"/>
  <c r="I1387" i="63" s="1"/>
  <c r="AF1388" i="63"/>
  <c r="I1388" i="63" s="1"/>
  <c r="AF1389" i="63"/>
  <c r="I1389" i="63" s="1"/>
  <c r="I1390" i="63"/>
  <c r="AF1390" i="63"/>
  <c r="AF1391" i="63"/>
  <c r="I1391" i="63" s="1"/>
  <c r="AF1392" i="63"/>
  <c r="I1392" i="63" s="1"/>
  <c r="AF1393" i="63"/>
  <c r="I1393" i="63" s="1"/>
  <c r="I1394" i="63"/>
  <c r="AF1394" i="63"/>
  <c r="AF1395" i="63"/>
  <c r="I1395" i="63" s="1"/>
  <c r="I1396" i="63"/>
  <c r="AF1396" i="63"/>
  <c r="AF1397" i="63"/>
  <c r="I1397" i="63" s="1"/>
  <c r="I1398" i="63"/>
  <c r="AF1398" i="63"/>
  <c r="I1399" i="63"/>
  <c r="AF1399" i="63"/>
  <c r="AF1400" i="63"/>
  <c r="I1400" i="63" s="1"/>
  <c r="AF1401" i="63"/>
  <c r="I1401" i="63" s="1"/>
  <c r="I1402" i="63"/>
  <c r="AF1402" i="63"/>
  <c r="I1403" i="63"/>
  <c r="AF1403" i="63"/>
  <c r="AF1404" i="63"/>
  <c r="I1404" i="63" s="1"/>
  <c r="AF1405" i="63"/>
  <c r="I1405" i="63" s="1"/>
  <c r="AF1406" i="63"/>
  <c r="I1406" i="63" s="1"/>
  <c r="AF1407" i="63"/>
  <c r="I1407" i="63" s="1"/>
  <c r="AF1408" i="63"/>
  <c r="I1408" i="63" s="1"/>
  <c r="AF1409" i="63"/>
  <c r="I1409" i="63" s="1"/>
  <c r="I1410" i="63"/>
  <c r="AF1410" i="63"/>
  <c r="AF1411" i="63"/>
  <c r="I1411" i="63" s="1"/>
  <c r="I1412" i="63"/>
  <c r="AF1412" i="63"/>
  <c r="AF1413" i="63"/>
  <c r="I1413" i="63" s="1"/>
  <c r="I1414" i="63"/>
  <c r="AF1414" i="63"/>
  <c r="AF1415" i="63"/>
  <c r="I1415" i="63" s="1"/>
  <c r="AF1416" i="63"/>
  <c r="I1416" i="63" s="1"/>
  <c r="AF1417" i="63"/>
  <c r="I1417" i="63" s="1"/>
  <c r="I1418" i="63"/>
  <c r="AF1418" i="63"/>
  <c r="AF1419" i="63"/>
  <c r="I1419" i="63" s="1"/>
  <c r="AF1420" i="63"/>
  <c r="I1420" i="63" s="1"/>
  <c r="AF1421" i="63"/>
  <c r="I1421" i="63" s="1"/>
  <c r="AF1422" i="63"/>
  <c r="I1422" i="63" s="1"/>
  <c r="AF1423" i="63"/>
  <c r="I1423" i="63" s="1"/>
  <c r="AF1424" i="63"/>
  <c r="I1424" i="63" s="1"/>
  <c r="AF1425" i="63"/>
  <c r="I1425" i="63" s="1"/>
  <c r="I1426" i="63"/>
  <c r="AF1426" i="63"/>
  <c r="AF1427" i="63"/>
  <c r="I1427" i="63" s="1"/>
  <c r="AF1428" i="63"/>
  <c r="I1428" i="63" s="1"/>
  <c r="AF1429" i="63"/>
  <c r="I1429" i="63" s="1"/>
  <c r="I1430" i="63"/>
  <c r="AF1430" i="63"/>
  <c r="I1431" i="63"/>
  <c r="AF1431" i="63"/>
  <c r="AF1432" i="63"/>
  <c r="I1432" i="63" s="1"/>
  <c r="AF1433" i="63"/>
  <c r="I1433" i="63" s="1"/>
  <c r="AF1434" i="63"/>
  <c r="I1434" i="63" s="1"/>
  <c r="I1435" i="63"/>
  <c r="AF1435" i="63"/>
  <c r="AF1436" i="63"/>
  <c r="I1436" i="63" s="1"/>
  <c r="AF1437" i="63"/>
  <c r="I1437" i="63" s="1"/>
  <c r="I1438" i="63"/>
  <c r="AF1438" i="63"/>
  <c r="AF1439" i="63"/>
  <c r="I1439" i="63" s="1"/>
  <c r="AF1440" i="63"/>
  <c r="I1440" i="63" s="1"/>
  <c r="AF1441" i="63"/>
  <c r="I1441" i="63" s="1"/>
  <c r="I1442" i="63"/>
  <c r="AF1442" i="63"/>
  <c r="AF1443" i="63"/>
  <c r="I1443" i="63" s="1"/>
  <c r="AF1444" i="63"/>
  <c r="I1444" i="63" s="1"/>
  <c r="AF1445" i="63"/>
  <c r="I1445" i="63" s="1"/>
  <c r="AF1446" i="63"/>
  <c r="I1446" i="63" s="1"/>
  <c r="AF1447" i="63"/>
  <c r="I1447" i="63" s="1"/>
  <c r="AF1448" i="63"/>
  <c r="I1448" i="63" s="1"/>
  <c r="AF1449" i="63"/>
  <c r="I1449" i="63" s="1"/>
  <c r="AF1450" i="63"/>
  <c r="I1450" i="63" s="1"/>
  <c r="AF1451" i="63"/>
  <c r="I1451" i="63" s="1"/>
  <c r="AF1452" i="63"/>
  <c r="I1452" i="63" s="1"/>
  <c r="AF1453" i="63"/>
  <c r="I1453" i="63" s="1"/>
  <c r="AF1454" i="63"/>
  <c r="I1454" i="63" s="1"/>
  <c r="AF1455" i="63"/>
  <c r="I1455" i="63" s="1"/>
  <c r="AF1456" i="63"/>
  <c r="I1456" i="63" s="1"/>
  <c r="AF1457" i="63"/>
  <c r="I1457" i="63" s="1"/>
  <c r="AF1458" i="63"/>
  <c r="I1458" i="63" s="1"/>
  <c r="AF1459" i="63"/>
  <c r="I1459" i="63" s="1"/>
  <c r="AF1460" i="63"/>
  <c r="I1460" i="63" s="1"/>
  <c r="AF1461" i="63"/>
  <c r="I1461" i="63" s="1"/>
  <c r="AF1462" i="63"/>
  <c r="I1462" i="63" s="1"/>
  <c r="AF1463" i="63"/>
  <c r="I1463" i="63" s="1"/>
  <c r="AF1464" i="63"/>
  <c r="I1464" i="63" s="1"/>
  <c r="AF1465" i="63"/>
  <c r="I1465" i="63" s="1"/>
  <c r="AF1466" i="63"/>
  <c r="I1466" i="63" s="1"/>
  <c r="AF1467" i="63"/>
  <c r="I1467" i="63" s="1"/>
  <c r="AF1468" i="63"/>
  <c r="I1468" i="63" s="1"/>
  <c r="AF1469" i="63"/>
  <c r="I1469" i="63" s="1"/>
  <c r="AF1470" i="63"/>
  <c r="I1470" i="63" s="1"/>
  <c r="AF1471" i="63"/>
  <c r="I1471" i="63" s="1"/>
  <c r="AF1472" i="63"/>
  <c r="I1472" i="63" s="1"/>
  <c r="AF1473" i="63"/>
  <c r="I1473" i="63" s="1"/>
  <c r="I1474" i="63"/>
  <c r="AF1474" i="63"/>
  <c r="AF1475" i="63"/>
  <c r="I1475" i="63" s="1"/>
  <c r="AF1476" i="63"/>
  <c r="I1476" i="63" s="1"/>
  <c r="AF1477" i="63"/>
  <c r="I1477" i="63" s="1"/>
  <c r="AF1478" i="63"/>
  <c r="I1478" i="63" s="1"/>
  <c r="AF1479" i="63"/>
  <c r="I1479" i="63" s="1"/>
  <c r="AF1480" i="63"/>
  <c r="I1480" i="63" s="1"/>
  <c r="AF1481" i="63"/>
  <c r="I1481" i="63" s="1"/>
  <c r="AF1482" i="63"/>
  <c r="I1482" i="63" s="1"/>
  <c r="AF1483" i="63"/>
  <c r="I1483" i="63" s="1"/>
  <c r="AF1484" i="63"/>
  <c r="I1484" i="63" s="1"/>
  <c r="AF1485" i="63"/>
  <c r="I1485" i="63" s="1"/>
  <c r="AF1486" i="63"/>
  <c r="I1486" i="63" s="1"/>
  <c r="AF1487" i="63"/>
  <c r="I1487" i="63" s="1"/>
  <c r="AF1488" i="63"/>
  <c r="I1488" i="63" s="1"/>
  <c r="AF1489" i="63"/>
  <c r="I1489" i="63" s="1"/>
  <c r="AF1490" i="63"/>
  <c r="I1490" i="63" s="1"/>
  <c r="AF1491" i="63"/>
  <c r="I1491" i="63" s="1"/>
  <c r="AF1492" i="63"/>
  <c r="I1492" i="63" s="1"/>
  <c r="AF1493" i="63"/>
  <c r="I1493" i="63" s="1"/>
  <c r="AF1494" i="63"/>
  <c r="I1494" i="63" s="1"/>
  <c r="AF1495" i="63"/>
  <c r="I1495" i="63" s="1"/>
  <c r="AF1496" i="63"/>
  <c r="I1496" i="63" s="1"/>
  <c r="AF1497" i="63"/>
  <c r="I1497" i="63" s="1"/>
  <c r="AF1498" i="63"/>
  <c r="I1498" i="63" s="1"/>
  <c r="AF1499" i="63"/>
  <c r="I1499" i="63" s="1"/>
  <c r="AF1500" i="63"/>
  <c r="I1500" i="63" s="1"/>
  <c r="AF1501" i="63"/>
  <c r="I1501" i="63" s="1"/>
  <c r="AF1502" i="63"/>
  <c r="I1502" i="63" s="1"/>
  <c r="AF1503" i="63"/>
  <c r="I1503" i="63" s="1"/>
  <c r="AF1504" i="63"/>
  <c r="I1504" i="63" s="1"/>
  <c r="AF1505" i="63"/>
  <c r="I1505" i="63" s="1"/>
  <c r="I1506" i="63"/>
  <c r="AF1506" i="63"/>
  <c r="AF1507" i="63"/>
  <c r="I1507" i="63" s="1"/>
  <c r="I1508" i="63"/>
  <c r="AF1508" i="63"/>
  <c r="AF1509" i="63"/>
  <c r="I1509" i="63" s="1"/>
  <c r="AF1510" i="63"/>
  <c r="I1510" i="63" s="1"/>
  <c r="AF1511" i="63"/>
  <c r="I1511" i="63" s="1"/>
  <c r="AF1512" i="63"/>
  <c r="I1512" i="63" s="1"/>
  <c r="AF1513" i="63"/>
  <c r="I1513" i="63" s="1"/>
  <c r="AF1514" i="63"/>
  <c r="I1514" i="63" s="1"/>
  <c r="I1515" i="63"/>
  <c r="AF1515" i="63"/>
  <c r="AF1516" i="63"/>
  <c r="I1516" i="63" s="1"/>
  <c r="AF1517" i="63"/>
  <c r="I1517" i="63" s="1"/>
  <c r="AF1518" i="63"/>
  <c r="I1518" i="63" s="1"/>
  <c r="AF1519" i="63"/>
  <c r="I1519" i="63" s="1"/>
  <c r="AF1520" i="63"/>
  <c r="I1520" i="63" s="1"/>
  <c r="AF1521" i="63"/>
  <c r="I1521" i="63" s="1"/>
  <c r="AF1522" i="63"/>
  <c r="I1522" i="63" s="1"/>
  <c r="AF1523" i="63"/>
  <c r="I1523" i="63" s="1"/>
  <c r="AF1524" i="63"/>
  <c r="I1524" i="63" s="1"/>
  <c r="AF1525" i="63"/>
  <c r="I1525" i="63" s="1"/>
  <c r="AF1526" i="63"/>
  <c r="I1526" i="63" s="1"/>
  <c r="I1527" i="63"/>
  <c r="AF1527" i="63"/>
  <c r="AF1528" i="63"/>
  <c r="I1528" i="63" s="1"/>
  <c r="AF1529" i="63"/>
  <c r="I1529" i="63" s="1"/>
  <c r="AF1530" i="63"/>
  <c r="I1530" i="63" s="1"/>
  <c r="I1531" i="63"/>
  <c r="AF1531" i="63"/>
  <c r="AF1532" i="63"/>
  <c r="I1532" i="63" s="1"/>
  <c r="AF1533" i="63"/>
  <c r="I1533" i="63" s="1"/>
  <c r="AF1534" i="63"/>
  <c r="I1534" i="63" s="1"/>
  <c r="AF1535" i="63"/>
  <c r="I1535" i="63" s="1"/>
  <c r="AF1536" i="63"/>
  <c r="I1536" i="63" s="1"/>
  <c r="AF1537" i="63"/>
  <c r="I1537" i="63" s="1"/>
  <c r="AF1538" i="63"/>
  <c r="I1538" i="63" s="1"/>
  <c r="AF1539" i="63"/>
  <c r="I1539" i="63" s="1"/>
  <c r="I1540" i="63"/>
  <c r="AF1540" i="63"/>
  <c r="AF1541" i="63"/>
  <c r="I1541" i="63" s="1"/>
  <c r="AF1542" i="63"/>
  <c r="I1542" i="63" s="1"/>
  <c r="AF1543" i="63"/>
  <c r="I1543" i="63" s="1"/>
  <c r="AF1544" i="63"/>
  <c r="I1544" i="63" s="1"/>
  <c r="AF1545" i="63"/>
  <c r="I1545" i="63" s="1"/>
  <c r="AF1546" i="63"/>
  <c r="I1546" i="63" s="1"/>
  <c r="I1547" i="63"/>
  <c r="AF1547" i="63"/>
  <c r="AF1548" i="63"/>
  <c r="I1548" i="63" s="1"/>
  <c r="AF1549" i="63"/>
  <c r="I1549" i="63" s="1"/>
  <c r="I1550" i="63"/>
  <c r="AF1550" i="63"/>
  <c r="AF1551" i="63"/>
  <c r="I1551" i="63" s="1"/>
  <c r="AF1552" i="63"/>
  <c r="I1552" i="63" s="1"/>
  <c r="AF1553" i="63"/>
  <c r="I1553" i="63" s="1"/>
  <c r="AF1554" i="63"/>
  <c r="I1554" i="63" s="1"/>
  <c r="AF1555" i="63"/>
  <c r="I1555" i="63" s="1"/>
  <c r="I1556" i="63"/>
  <c r="AF1556" i="63"/>
  <c r="AF1557" i="63"/>
  <c r="I1557" i="63" s="1"/>
  <c r="AF1558" i="63"/>
  <c r="I1558" i="63" s="1"/>
  <c r="I1559" i="63"/>
  <c r="AF1559" i="63"/>
  <c r="AF1560" i="63"/>
  <c r="I1560" i="63" s="1"/>
  <c r="AF1561" i="63"/>
  <c r="I1561" i="63" s="1"/>
  <c r="AF1562" i="63"/>
  <c r="I1562" i="63" s="1"/>
  <c r="AF1563" i="63"/>
  <c r="I1563" i="63" s="1"/>
  <c r="AF1564" i="63"/>
  <c r="I1564" i="63" s="1"/>
  <c r="AF1565" i="63"/>
  <c r="I1565" i="63" s="1"/>
  <c r="AF1566" i="63"/>
  <c r="I1566" i="63" s="1"/>
  <c r="AF1567" i="63"/>
  <c r="I1567" i="63" s="1"/>
  <c r="AF1568" i="63"/>
  <c r="I1568" i="63" s="1"/>
  <c r="AF1569" i="63"/>
  <c r="I1569" i="63" s="1"/>
  <c r="I1570" i="63"/>
  <c r="AF1570" i="63"/>
  <c r="AF1571" i="63"/>
  <c r="I1571" i="63" s="1"/>
  <c r="I1572" i="63"/>
  <c r="AF1572" i="63"/>
  <c r="AF1573" i="63"/>
  <c r="I1573" i="63" s="1"/>
  <c r="AF1574" i="63"/>
  <c r="I1574" i="63" s="1"/>
  <c r="AF1575" i="63"/>
  <c r="I1575" i="63" s="1"/>
  <c r="AF1576" i="63"/>
  <c r="I1576" i="63" s="1"/>
  <c r="AF1577" i="63"/>
  <c r="I1577" i="63" s="1"/>
  <c r="AF1578" i="63"/>
  <c r="I1578" i="63" s="1"/>
  <c r="I1579" i="63"/>
  <c r="AF1579" i="63"/>
  <c r="AF1580" i="63"/>
  <c r="I1580" i="63" s="1"/>
  <c r="AF1581" i="63"/>
  <c r="I1581" i="63" s="1"/>
  <c r="AF1582" i="63"/>
  <c r="I1582" i="63" s="1"/>
  <c r="AF1583" i="63"/>
  <c r="I1583" i="63" s="1"/>
  <c r="AF1584" i="63"/>
  <c r="I1584" i="63" s="1"/>
  <c r="AF1585" i="63"/>
  <c r="I1585" i="63" s="1"/>
  <c r="I1586" i="63"/>
  <c r="AF1586" i="63"/>
  <c r="AF1587" i="63"/>
  <c r="I1587" i="63" s="1"/>
  <c r="AF1588" i="63"/>
  <c r="I1588" i="63" s="1"/>
  <c r="AF1589" i="63"/>
  <c r="I1589" i="63" s="1"/>
  <c r="AF1590" i="63"/>
  <c r="I1590" i="63" s="1"/>
  <c r="I1591" i="63"/>
  <c r="AF1591" i="63"/>
  <c r="AF1592" i="63"/>
  <c r="I1592" i="63" s="1"/>
  <c r="AF1593" i="63"/>
  <c r="I1593" i="63" s="1"/>
  <c r="AF1594" i="63"/>
  <c r="I1594" i="63" s="1"/>
  <c r="AF1595" i="63"/>
  <c r="I1595" i="63" s="1"/>
  <c r="AF1596" i="63"/>
  <c r="I1596" i="63" s="1"/>
  <c r="AF1597" i="63"/>
  <c r="I1597" i="63" s="1"/>
  <c r="AF1598" i="63"/>
  <c r="I1598" i="63" s="1"/>
  <c r="AF1599" i="63"/>
  <c r="I1599" i="63" s="1"/>
  <c r="I1600" i="63"/>
  <c r="AF1600" i="63"/>
  <c r="AF1601" i="63"/>
  <c r="I1601" i="63" s="1"/>
  <c r="AF1602" i="63"/>
  <c r="I1602" i="63" s="1"/>
  <c r="AF1603" i="63"/>
  <c r="I1603" i="63" s="1"/>
  <c r="AF1604" i="63"/>
  <c r="I1604" i="63" s="1"/>
  <c r="AF1605" i="63"/>
  <c r="I1605" i="63" s="1"/>
  <c r="AF1606" i="63"/>
  <c r="I1606" i="63" s="1"/>
  <c r="AF1607" i="63"/>
  <c r="I1607" i="63" s="1"/>
  <c r="AF1608" i="63"/>
  <c r="I1608" i="63" s="1"/>
  <c r="AF1609" i="63"/>
  <c r="I1609" i="63" s="1"/>
  <c r="AF1610" i="63"/>
  <c r="I1610" i="63" s="1"/>
  <c r="AF1611" i="63"/>
  <c r="I1611" i="63" s="1"/>
  <c r="AF1612" i="63"/>
  <c r="I1612" i="63" s="1"/>
  <c r="AF1613" i="63"/>
  <c r="I1613" i="63" s="1"/>
  <c r="AF1614" i="63"/>
  <c r="I1614" i="63" s="1"/>
  <c r="AF1615" i="63"/>
  <c r="I1615" i="63" s="1"/>
  <c r="AF1616" i="63"/>
  <c r="I1616" i="63" s="1"/>
  <c r="AF1617" i="63"/>
  <c r="I1617" i="63" s="1"/>
  <c r="AF1618" i="63"/>
  <c r="I1618" i="63" s="1"/>
  <c r="AF1619" i="63"/>
  <c r="I1619" i="63" s="1"/>
  <c r="AF1620" i="63"/>
  <c r="I1620" i="63" s="1"/>
  <c r="AF1621" i="63"/>
  <c r="I1621" i="63" s="1"/>
  <c r="AF1622" i="63"/>
  <c r="I1622" i="63" s="1"/>
  <c r="AF1623" i="63"/>
  <c r="I1623" i="63" s="1"/>
  <c r="AF1624" i="63"/>
  <c r="I1624" i="63" s="1"/>
  <c r="AF1625" i="63"/>
  <c r="I1625" i="63" s="1"/>
  <c r="AF1626" i="63"/>
  <c r="I1626" i="63" s="1"/>
  <c r="AF1627" i="63"/>
  <c r="I1627" i="63" s="1"/>
  <c r="AF1628" i="63"/>
  <c r="I1628" i="63" s="1"/>
  <c r="AF1629" i="63"/>
  <c r="I1629" i="63" s="1"/>
  <c r="AF1630" i="63"/>
  <c r="I1630" i="63" s="1"/>
  <c r="AF1631" i="63"/>
  <c r="I1631" i="63" s="1"/>
  <c r="AF1632" i="63"/>
  <c r="I1632" i="63" s="1"/>
  <c r="AF1633" i="63"/>
  <c r="I1633" i="63" s="1"/>
  <c r="AF1634" i="63"/>
  <c r="I1634" i="63" s="1"/>
  <c r="AF1635" i="63"/>
  <c r="I1635" i="63" s="1"/>
  <c r="AF1636" i="63"/>
  <c r="I1636" i="63" s="1"/>
  <c r="AF1637" i="63"/>
  <c r="I1637" i="63" s="1"/>
  <c r="AF1638" i="63"/>
  <c r="I1638" i="63" s="1"/>
  <c r="AF1639" i="63"/>
  <c r="I1639" i="63" s="1"/>
  <c r="AF1640" i="63"/>
  <c r="I1640" i="63" s="1"/>
  <c r="AF1641" i="63"/>
  <c r="I1641" i="63" s="1"/>
  <c r="AF1642" i="63"/>
  <c r="I1642" i="63" s="1"/>
  <c r="AF1643" i="63"/>
  <c r="I1643" i="63" s="1"/>
  <c r="AF1644" i="63"/>
  <c r="I1644" i="63" s="1"/>
  <c r="AF1645" i="63"/>
  <c r="I1645" i="63" s="1"/>
  <c r="AF1646" i="63"/>
  <c r="I1646" i="63" s="1"/>
  <c r="AF1647" i="63"/>
  <c r="I1647" i="63" s="1"/>
  <c r="AF1648" i="63"/>
  <c r="I1648" i="63" s="1"/>
  <c r="AF1649" i="63"/>
  <c r="I1649" i="63" s="1"/>
  <c r="I1650" i="63"/>
  <c r="AF1650" i="63"/>
  <c r="AF1651" i="63"/>
  <c r="I1651" i="63" s="1"/>
  <c r="AF1652" i="63"/>
  <c r="I1652" i="63" s="1"/>
  <c r="AF1653" i="63"/>
  <c r="I1653" i="63" s="1"/>
  <c r="AF1654" i="63"/>
  <c r="I1654" i="63" s="1"/>
  <c r="AF1655" i="63"/>
  <c r="I1655" i="63" s="1"/>
  <c r="AF1656" i="63"/>
  <c r="I1656" i="63" s="1"/>
  <c r="AF1657" i="63"/>
  <c r="I1657" i="63" s="1"/>
  <c r="AF1658" i="63"/>
  <c r="I1658" i="63" s="1"/>
  <c r="AF1659" i="63"/>
  <c r="I1659" i="63" s="1"/>
  <c r="AF1660" i="63"/>
  <c r="I1660" i="63" s="1"/>
  <c r="AF1661" i="63"/>
  <c r="I1661" i="63" s="1"/>
  <c r="AF1662" i="63"/>
  <c r="I1662" i="63" s="1"/>
  <c r="AF1663" i="63"/>
  <c r="I1663" i="63" s="1"/>
  <c r="AF1664" i="63"/>
  <c r="I1664" i="63" s="1"/>
  <c r="AF1665" i="63"/>
  <c r="I1665" i="63" s="1"/>
  <c r="I1666" i="63"/>
  <c r="AF1666" i="63"/>
  <c r="AF1667" i="63"/>
  <c r="I1667" i="63" s="1"/>
  <c r="I1668" i="63"/>
  <c r="AF1668" i="63"/>
  <c r="AF1669" i="63"/>
  <c r="I1669" i="63" s="1"/>
  <c r="AF1670" i="63"/>
  <c r="I1670" i="63" s="1"/>
  <c r="AF1671" i="63"/>
  <c r="I1671" i="63" s="1"/>
  <c r="AF1672" i="63"/>
  <c r="I1672" i="63" s="1"/>
  <c r="AF1673" i="63"/>
  <c r="I1673" i="63" s="1"/>
  <c r="AF1674" i="63"/>
  <c r="I1674" i="63" s="1"/>
  <c r="I1675" i="63"/>
  <c r="AF1675" i="63"/>
  <c r="AF1676" i="63"/>
  <c r="I1676" i="63" s="1"/>
  <c r="AF1677" i="63"/>
  <c r="I1677" i="63" s="1"/>
  <c r="AF1678" i="63"/>
  <c r="I1678" i="63" s="1"/>
  <c r="AF1679" i="63"/>
  <c r="I1679" i="63" s="1"/>
  <c r="AF1680" i="63"/>
  <c r="I1680" i="63" s="1"/>
  <c r="AF1681" i="63"/>
  <c r="I1681" i="63" s="1"/>
  <c r="AF1682" i="63"/>
  <c r="I1682" i="63" s="1"/>
  <c r="AF1683" i="63"/>
  <c r="I1683" i="63" s="1"/>
  <c r="AF1684" i="63"/>
  <c r="I1684" i="63" s="1"/>
  <c r="AF1685" i="63"/>
  <c r="I1685" i="63" s="1"/>
  <c r="AF1686" i="63"/>
  <c r="I1686" i="63" s="1"/>
  <c r="I1687" i="63"/>
  <c r="AF1687" i="63"/>
  <c r="AF1688" i="63"/>
  <c r="I1688" i="63" s="1"/>
  <c r="AF1689" i="63"/>
  <c r="I1689" i="63" s="1"/>
  <c r="AF1690" i="63"/>
  <c r="I1690" i="63" s="1"/>
  <c r="AF1691" i="63"/>
  <c r="I1691" i="63" s="1"/>
  <c r="AF1692" i="63"/>
  <c r="I1692" i="63" s="1"/>
  <c r="AF1693" i="63"/>
  <c r="I1693" i="63" s="1"/>
  <c r="AF1694" i="63"/>
  <c r="I1694" i="63" s="1"/>
  <c r="AF1695" i="63"/>
  <c r="I1695" i="63" s="1"/>
  <c r="AF1696" i="63"/>
  <c r="I1696" i="63" s="1"/>
  <c r="AF1697" i="63"/>
  <c r="I1697" i="63" s="1"/>
  <c r="I1698" i="63"/>
  <c r="AF1698" i="63"/>
  <c r="AF1699" i="63"/>
  <c r="I1699" i="63" s="1"/>
  <c r="AF1700" i="63"/>
  <c r="I1700" i="63" s="1"/>
  <c r="AF1701" i="63"/>
  <c r="I1701" i="63" s="1"/>
  <c r="AF1702" i="63"/>
  <c r="I1702" i="63" s="1"/>
  <c r="AF1703" i="63"/>
  <c r="I1703" i="63" s="1"/>
  <c r="AF1704" i="63"/>
  <c r="I1704" i="63" s="1"/>
  <c r="AF1705" i="63"/>
  <c r="I1705" i="63" s="1"/>
  <c r="AF1706" i="63"/>
  <c r="I1706" i="63" s="1"/>
  <c r="AF1707" i="63"/>
  <c r="I1707" i="63" s="1"/>
  <c r="AF1708" i="63"/>
  <c r="I1708" i="63" s="1"/>
  <c r="AF1709" i="63"/>
  <c r="I1709" i="63" s="1"/>
  <c r="AF1710" i="63"/>
  <c r="I1710" i="63" s="1"/>
  <c r="AF1711" i="63"/>
  <c r="I1711" i="63" s="1"/>
  <c r="AF1712" i="63"/>
  <c r="I1712" i="63" s="1"/>
  <c r="AF1713" i="63"/>
  <c r="I1713" i="63" s="1"/>
  <c r="AF1714" i="63"/>
  <c r="I1714" i="63" s="1"/>
  <c r="AF1715" i="63"/>
  <c r="I1715" i="63" s="1"/>
  <c r="AF1716" i="63"/>
  <c r="I1716" i="63" s="1"/>
  <c r="AF1717" i="63"/>
  <c r="I1717" i="63" s="1"/>
  <c r="AF1718" i="63"/>
  <c r="I1718" i="63" s="1"/>
  <c r="AF1719" i="63"/>
  <c r="I1719" i="63" s="1"/>
  <c r="AF1720" i="63"/>
  <c r="I1720" i="63" s="1"/>
  <c r="AF1721" i="63"/>
  <c r="I1721" i="63" s="1"/>
  <c r="AF1722" i="63"/>
  <c r="I1722" i="63" s="1"/>
  <c r="AF1723" i="63"/>
  <c r="I1723" i="63" s="1"/>
  <c r="AF1724" i="63"/>
  <c r="I1724" i="63" s="1"/>
  <c r="AF1725" i="63"/>
  <c r="I1725" i="63" s="1"/>
  <c r="AF1726" i="63"/>
  <c r="I1726" i="63" s="1"/>
  <c r="AF1727" i="63"/>
  <c r="I1727" i="63" s="1"/>
  <c r="AF1728" i="63"/>
  <c r="I1728" i="63" s="1"/>
  <c r="AF1729" i="63"/>
  <c r="I1729" i="63" s="1"/>
  <c r="AF1730" i="63"/>
  <c r="I1730" i="63" s="1"/>
  <c r="AF1731" i="63"/>
  <c r="I1731" i="63" s="1"/>
  <c r="I1732" i="63"/>
  <c r="AF1732" i="63"/>
  <c r="AF1733" i="63"/>
  <c r="I1733" i="63" s="1"/>
  <c r="AF1734" i="63"/>
  <c r="I1734" i="63" s="1"/>
  <c r="AF1735" i="63"/>
  <c r="I1735" i="63" s="1"/>
  <c r="AF1736" i="63"/>
  <c r="I1736" i="63" s="1"/>
  <c r="AF1737" i="63"/>
  <c r="I1737" i="63" s="1"/>
  <c r="AF1738" i="63"/>
  <c r="I1738" i="63" s="1"/>
  <c r="I1739" i="63"/>
  <c r="AF1739" i="63"/>
  <c r="AF1740" i="63"/>
  <c r="I1740" i="63" s="1"/>
  <c r="AF1741" i="63"/>
  <c r="I1741" i="63" s="1"/>
  <c r="AF1742" i="63"/>
  <c r="I1742" i="63" s="1"/>
  <c r="AF1743" i="63"/>
  <c r="I1743" i="63" s="1"/>
  <c r="AF1744" i="63"/>
  <c r="I1744" i="63" s="1"/>
  <c r="AF1745" i="63"/>
  <c r="I1745" i="63" s="1"/>
  <c r="AF1746" i="63"/>
  <c r="I1746" i="63" s="1"/>
  <c r="AF1747" i="63"/>
  <c r="I1747" i="63" s="1"/>
  <c r="AF1748" i="63"/>
  <c r="I1748" i="63" s="1"/>
  <c r="AF1749" i="63"/>
  <c r="I1749" i="63" s="1"/>
  <c r="AF1750" i="63"/>
  <c r="I1750" i="63" s="1"/>
  <c r="I1751" i="63"/>
  <c r="AF1751" i="63"/>
  <c r="AF1752" i="63"/>
  <c r="I1752" i="63" s="1"/>
  <c r="AF1753" i="63"/>
  <c r="I1753" i="63" s="1"/>
  <c r="AF1754" i="63"/>
  <c r="I1754" i="63" s="1"/>
  <c r="AF1755" i="63"/>
  <c r="I1755" i="63" s="1"/>
  <c r="AF1756" i="63"/>
  <c r="I1756" i="63" s="1"/>
  <c r="AF1757" i="63"/>
  <c r="I1757" i="63" s="1"/>
  <c r="AF1758" i="63"/>
  <c r="I1758" i="63" s="1"/>
  <c r="AF1759" i="63"/>
  <c r="I1759" i="63" s="1"/>
  <c r="AF1760" i="63"/>
  <c r="I1760" i="63" s="1"/>
  <c r="AF1761" i="63"/>
  <c r="I1761" i="63" s="1"/>
  <c r="I1762" i="63"/>
  <c r="AF1762" i="63"/>
  <c r="AF1763" i="63"/>
  <c r="I1763" i="63" s="1"/>
  <c r="AF1764" i="63"/>
  <c r="I1764" i="63" s="1"/>
  <c r="AF1765" i="63"/>
  <c r="I1765" i="63" s="1"/>
  <c r="AF1766" i="63"/>
  <c r="I1766" i="63" s="1"/>
  <c r="AF1767" i="63"/>
  <c r="I1767" i="63" s="1"/>
  <c r="AF1768" i="63"/>
  <c r="I1768" i="63" s="1"/>
  <c r="AF1769" i="63"/>
  <c r="I1769" i="63" s="1"/>
  <c r="AF1770" i="63"/>
  <c r="I1770" i="63" s="1"/>
  <c r="AF1771" i="63"/>
  <c r="I1771" i="63" s="1"/>
  <c r="I1772" i="63"/>
  <c r="AF1772" i="63"/>
  <c r="AF1773" i="63"/>
  <c r="I1773" i="63" s="1"/>
  <c r="I1774" i="63"/>
  <c r="AF1774" i="63"/>
  <c r="AF1775" i="63"/>
  <c r="I1775" i="63" s="1"/>
  <c r="AF1776" i="63"/>
  <c r="I1776" i="63" s="1"/>
  <c r="AF1777" i="63"/>
  <c r="I1777" i="63" s="1"/>
  <c r="I1778" i="63"/>
  <c r="AF1778" i="63"/>
  <c r="AF1779" i="63"/>
  <c r="I1779" i="63" s="1"/>
  <c r="I1780" i="63"/>
  <c r="AF1780" i="63"/>
  <c r="AF1781" i="63"/>
  <c r="I1781" i="63" s="1"/>
  <c r="I1782" i="63"/>
  <c r="AF1782" i="63"/>
  <c r="AF1783" i="63"/>
  <c r="I1783" i="63" s="1"/>
  <c r="AF1784" i="63"/>
  <c r="I1784" i="63" s="1"/>
  <c r="AF1785" i="63"/>
  <c r="I1785" i="63" s="1"/>
  <c r="I1786" i="63"/>
  <c r="AF1786" i="63"/>
  <c r="AF1787" i="63"/>
  <c r="I1787" i="63" s="1"/>
  <c r="I1788" i="63"/>
  <c r="AF1788" i="63"/>
  <c r="AF1789" i="63"/>
  <c r="I1789" i="63" s="1"/>
  <c r="AF1790" i="63"/>
  <c r="I1790" i="63" s="1"/>
  <c r="AF1791" i="63"/>
  <c r="I1791" i="63" s="1"/>
  <c r="AF1792" i="63"/>
  <c r="I1792" i="63" s="1"/>
  <c r="AF1793" i="63"/>
  <c r="I1793" i="63" s="1"/>
  <c r="I1794" i="63"/>
  <c r="AF1794" i="63"/>
  <c r="AF1795" i="63"/>
  <c r="I1795" i="63" s="1"/>
  <c r="I1796" i="63"/>
  <c r="AF1796" i="63"/>
  <c r="AF1797" i="63"/>
  <c r="I1797" i="63" s="1"/>
  <c r="AF1798" i="63"/>
  <c r="I1798" i="63" s="1"/>
  <c r="AF1799" i="63"/>
  <c r="I1799" i="63" s="1"/>
  <c r="AF1800" i="63"/>
  <c r="I1800" i="63" s="1"/>
  <c r="AF1801" i="63"/>
  <c r="I1801" i="63" s="1"/>
  <c r="I1802" i="63"/>
  <c r="AF1802" i="63"/>
  <c r="AF1803" i="63"/>
  <c r="I1803" i="63" s="1"/>
  <c r="AF1804" i="63"/>
  <c r="I1804" i="63" s="1"/>
  <c r="AF1805" i="63"/>
  <c r="I1805" i="63" s="1"/>
  <c r="I1806" i="63"/>
  <c r="AF1806" i="63"/>
  <c r="AF1807" i="63"/>
  <c r="I1807" i="63" s="1"/>
  <c r="I1808" i="63"/>
  <c r="AF1808" i="63"/>
  <c r="AF1809" i="63"/>
  <c r="I1809" i="63" s="1"/>
  <c r="I1810" i="63"/>
  <c r="AF1810" i="63"/>
  <c r="AF1811" i="63"/>
  <c r="I1811" i="63" s="1"/>
  <c r="AF1812" i="63"/>
  <c r="I1812" i="63" s="1"/>
  <c r="AF1813" i="63"/>
  <c r="I1813" i="63" s="1"/>
  <c r="AF1814" i="63"/>
  <c r="I1814" i="63" s="1"/>
  <c r="AF1815" i="63"/>
  <c r="I1815" i="63" s="1"/>
  <c r="AF1816" i="63"/>
  <c r="I1816" i="63" s="1"/>
  <c r="AF1817" i="63"/>
  <c r="I1817" i="63" s="1"/>
  <c r="I1818" i="63"/>
  <c r="AF1818" i="63"/>
  <c r="AF1819" i="63"/>
  <c r="I1819" i="63" s="1"/>
  <c r="AF1820" i="63"/>
  <c r="I1820" i="63" s="1"/>
  <c r="AF1821" i="63"/>
  <c r="I1821" i="63" s="1"/>
  <c r="AF1822" i="63"/>
  <c r="I1822" i="63" s="1"/>
  <c r="AF1823" i="63"/>
  <c r="I1823" i="63" s="1"/>
  <c r="I1824" i="63"/>
  <c r="AF1824" i="63"/>
  <c r="AF1825" i="63"/>
  <c r="I1825" i="63" s="1"/>
  <c r="I1826" i="63"/>
  <c r="AF1826" i="63"/>
  <c r="AF1827" i="63"/>
  <c r="I1827" i="63" s="1"/>
  <c r="AF1828" i="63"/>
  <c r="I1828" i="63" s="1"/>
  <c r="AF1829" i="63"/>
  <c r="I1829" i="63" s="1"/>
  <c r="I1830" i="63"/>
  <c r="AF1830" i="63"/>
  <c r="AF1831" i="63"/>
  <c r="I1831" i="63" s="1"/>
  <c r="AF1832" i="63"/>
  <c r="I1832" i="63" s="1"/>
  <c r="AF1833" i="63"/>
  <c r="I1833" i="63" s="1"/>
  <c r="AF1834" i="63"/>
  <c r="I1834" i="63" s="1"/>
  <c r="AF1835" i="63"/>
  <c r="I1835" i="63" s="1"/>
  <c r="I1836" i="63"/>
  <c r="AF1836" i="63"/>
  <c r="AF1837" i="63"/>
  <c r="I1837" i="63" s="1"/>
  <c r="AF1838" i="63"/>
  <c r="I1838" i="63" s="1"/>
  <c r="AF1839" i="63"/>
  <c r="I1839" i="63" s="1"/>
  <c r="I1840" i="63"/>
  <c r="AF1840" i="63"/>
  <c r="AF1841" i="63"/>
  <c r="I1841" i="63" s="1"/>
  <c r="AF1842" i="63"/>
  <c r="I1842" i="63" s="1"/>
  <c r="AF1843" i="63"/>
  <c r="I1843" i="63" s="1"/>
  <c r="AF1844" i="63"/>
  <c r="I1844" i="63" s="1"/>
  <c r="AF1845" i="63"/>
  <c r="I1845" i="63" s="1"/>
  <c r="I1846" i="63"/>
  <c r="AF1846" i="63"/>
  <c r="AF1847" i="63"/>
  <c r="I1847" i="63" s="1"/>
  <c r="AF1848" i="63"/>
  <c r="I1848" i="63" s="1"/>
  <c r="AF1849" i="63"/>
  <c r="I1849" i="63" s="1"/>
  <c r="AF1850" i="63"/>
  <c r="I1850" i="63" s="1"/>
  <c r="AF1851" i="63"/>
  <c r="I1851" i="63" s="1"/>
  <c r="I1852" i="63"/>
  <c r="AF1852" i="63"/>
  <c r="AF1853" i="63"/>
  <c r="I1853" i="63" s="1"/>
  <c r="AF1854" i="63"/>
  <c r="I1854" i="63" s="1"/>
  <c r="AF1855" i="63"/>
  <c r="I1855" i="63" s="1"/>
  <c r="AF1856" i="63"/>
  <c r="I1856" i="63" s="1"/>
  <c r="AF1857" i="63"/>
  <c r="I1857" i="63" s="1"/>
  <c r="AF1858" i="63"/>
  <c r="I1858" i="63" s="1"/>
  <c r="AF1859" i="63"/>
  <c r="I1859" i="63" s="1"/>
  <c r="AF1860" i="63"/>
  <c r="I1860" i="63" s="1"/>
  <c r="AF1861" i="63"/>
  <c r="I1861" i="63" s="1"/>
  <c r="I1862" i="63"/>
  <c r="AF1862" i="63"/>
  <c r="AF1863" i="63"/>
  <c r="I1863" i="63" s="1"/>
  <c r="AF1864" i="63"/>
  <c r="I1864" i="63" s="1"/>
  <c r="AF1865" i="63"/>
  <c r="I1865" i="63" s="1"/>
  <c r="AF1866" i="63"/>
  <c r="I1866" i="63" s="1"/>
  <c r="AF1867" i="63"/>
  <c r="I1867" i="63" s="1"/>
  <c r="I1868" i="63"/>
  <c r="AF1868" i="63"/>
  <c r="AF1869" i="63"/>
  <c r="I1869" i="63" s="1"/>
  <c r="AF1870" i="63"/>
  <c r="I1870" i="63" s="1"/>
  <c r="AF1871" i="63"/>
  <c r="I1871" i="63" s="1"/>
  <c r="AF1872" i="63"/>
  <c r="I1872" i="63" s="1"/>
  <c r="AF1873" i="63"/>
  <c r="I1873" i="63" s="1"/>
  <c r="AF1874" i="63"/>
  <c r="I1874" i="63" s="1"/>
  <c r="AF1875" i="63"/>
  <c r="I1875" i="63" s="1"/>
  <c r="AF1876" i="63"/>
  <c r="I1876" i="63" s="1"/>
  <c r="AF1877" i="63"/>
  <c r="I1877" i="63" s="1"/>
  <c r="I1878" i="63"/>
  <c r="AF1878" i="63"/>
  <c r="AF1879" i="63"/>
  <c r="I1879" i="63" s="1"/>
  <c r="I1880" i="63"/>
  <c r="AF1880" i="63"/>
  <c r="AF1881" i="63"/>
  <c r="I1881" i="63" s="1"/>
  <c r="AF1882" i="63"/>
  <c r="I1882" i="63" s="1"/>
  <c r="AF1883" i="63"/>
  <c r="I1883" i="63" s="1"/>
  <c r="I1884" i="63"/>
  <c r="AF1884" i="63"/>
  <c r="AF1885" i="63"/>
  <c r="I1885" i="63" s="1"/>
  <c r="AF1886" i="63"/>
  <c r="I1886" i="63" s="1"/>
  <c r="AF1887" i="63"/>
  <c r="I1887" i="63" s="1"/>
  <c r="AF1888" i="63"/>
  <c r="I1888" i="63" s="1"/>
  <c r="AF1889" i="63"/>
  <c r="I1889" i="63" s="1"/>
  <c r="AF1890" i="63"/>
  <c r="I1890" i="63" s="1"/>
  <c r="AF1891" i="63"/>
  <c r="I1891" i="63" s="1"/>
  <c r="AF1892" i="63"/>
  <c r="I1892" i="63" s="1"/>
  <c r="AF1893" i="63"/>
  <c r="I1893" i="63" s="1"/>
  <c r="I1894" i="63"/>
  <c r="AF1894" i="63"/>
  <c r="AF1895" i="63"/>
  <c r="I1895" i="63" s="1"/>
  <c r="I1896" i="63"/>
  <c r="AF1896" i="63"/>
  <c r="AF1897" i="63"/>
  <c r="I1897" i="63" s="1"/>
  <c r="AF1898" i="63"/>
  <c r="I1898" i="63" s="1"/>
  <c r="AF1899" i="63"/>
  <c r="I1899" i="63" s="1"/>
  <c r="I1900" i="63"/>
  <c r="AF1900" i="63"/>
  <c r="AF1901" i="63"/>
  <c r="I1901" i="63" s="1"/>
  <c r="I1902" i="63"/>
  <c r="AF1902" i="63"/>
  <c r="AF1903" i="63"/>
  <c r="I1903" i="63" s="1"/>
  <c r="AF1904" i="63"/>
  <c r="I1904" i="63" s="1"/>
  <c r="AF1905" i="63"/>
  <c r="I1905" i="63" s="1"/>
  <c r="AF1906" i="63"/>
  <c r="I1906" i="63" s="1"/>
  <c r="AF1907" i="63"/>
  <c r="I1907" i="63" s="1"/>
  <c r="I1908" i="63"/>
  <c r="AF1908" i="63"/>
  <c r="AF1909" i="63"/>
  <c r="I1909" i="63" s="1"/>
  <c r="I1910" i="63"/>
  <c r="AF1910" i="63"/>
  <c r="AF1911" i="63"/>
  <c r="I1911" i="63" s="1"/>
  <c r="AF1912" i="63"/>
  <c r="I1912" i="63" s="1"/>
  <c r="AF1913" i="63"/>
  <c r="I1913" i="63" s="1"/>
  <c r="AF1914" i="63"/>
  <c r="I1914" i="63" s="1"/>
  <c r="AF1915" i="63"/>
  <c r="I1915" i="63" s="1"/>
  <c r="I1916" i="63"/>
  <c r="AF1916" i="63"/>
  <c r="AF1917" i="63"/>
  <c r="I1917" i="63" s="1"/>
  <c r="I1918" i="63"/>
  <c r="AF1918" i="63"/>
  <c r="AF1919" i="63"/>
  <c r="I1919" i="63" s="1"/>
  <c r="AF1920" i="63"/>
  <c r="I1920" i="63" s="1"/>
  <c r="AF1921" i="63"/>
  <c r="I1921" i="63" s="1"/>
  <c r="AF1922" i="63"/>
  <c r="I1922" i="63" s="1"/>
  <c r="AF1923" i="63"/>
  <c r="I1923" i="63" s="1"/>
  <c r="I1924" i="63"/>
  <c r="AF1924" i="63"/>
  <c r="AF1925" i="63"/>
  <c r="I1925" i="63" s="1"/>
  <c r="I1926" i="63"/>
  <c r="AF1926" i="63"/>
  <c r="AF1927" i="63"/>
  <c r="I1927" i="63" s="1"/>
  <c r="AF1928" i="63"/>
  <c r="I1928" i="63" s="1"/>
  <c r="AF1929" i="63"/>
  <c r="I1929" i="63" s="1"/>
  <c r="I1930" i="63"/>
  <c r="AF1930" i="63"/>
  <c r="AF1931" i="63"/>
  <c r="I1931" i="63" s="1"/>
  <c r="I1932" i="63"/>
  <c r="AF1932" i="63"/>
  <c r="AF1933" i="63"/>
  <c r="I1933" i="63" s="1"/>
  <c r="AF1934" i="63"/>
  <c r="I1934" i="63" s="1"/>
  <c r="AF1935" i="63"/>
  <c r="I1935" i="63" s="1"/>
  <c r="AF1936" i="63"/>
  <c r="I1936" i="63" s="1"/>
  <c r="AF1937" i="63"/>
  <c r="I1937" i="63" s="1"/>
  <c r="AF1938" i="63"/>
  <c r="I1938" i="63" s="1"/>
  <c r="AF1939" i="63"/>
  <c r="I1939" i="63" s="1"/>
  <c r="AF1940" i="63"/>
  <c r="I1940" i="63" s="1"/>
  <c r="AF1941" i="63"/>
  <c r="I1941" i="63" s="1"/>
  <c r="I1942" i="63"/>
  <c r="AF1942" i="63"/>
  <c r="AF1943" i="63"/>
  <c r="I1943" i="63" s="1"/>
  <c r="AF1944" i="63"/>
  <c r="I1944" i="63" s="1"/>
  <c r="AF1945" i="63"/>
  <c r="I1945" i="63" s="1"/>
  <c r="I1946" i="63"/>
  <c r="AF1946" i="63"/>
  <c r="AF1947" i="63"/>
  <c r="I1947" i="63" s="1"/>
  <c r="I1948" i="63"/>
  <c r="AF1948" i="63"/>
  <c r="AF1949" i="63"/>
  <c r="I1949" i="63" s="1"/>
  <c r="AF1950" i="63"/>
  <c r="I1950" i="63" s="1"/>
  <c r="AF1951" i="63"/>
  <c r="I1951" i="63" s="1"/>
  <c r="I1952" i="63"/>
  <c r="AF1952" i="63"/>
  <c r="AF1953" i="63"/>
  <c r="I1953" i="63" s="1"/>
  <c r="AF1954" i="63"/>
  <c r="I1954" i="63" s="1"/>
  <c r="AF1955" i="63"/>
  <c r="I1955" i="63" s="1"/>
  <c r="AF1956" i="63"/>
  <c r="I1956" i="63" s="1"/>
  <c r="AF1957" i="63"/>
  <c r="I1957" i="63" s="1"/>
  <c r="I1958" i="63"/>
  <c r="AF1958" i="63"/>
  <c r="AF1959" i="63"/>
  <c r="I1959" i="63" s="1"/>
  <c r="AF1960" i="63"/>
  <c r="I1960" i="63" s="1"/>
  <c r="AF1961" i="63"/>
  <c r="I1961" i="63" s="1"/>
  <c r="AF1962" i="63"/>
  <c r="I1962" i="63" s="1"/>
  <c r="AF1963" i="63"/>
  <c r="I1963" i="63" s="1"/>
  <c r="I1964" i="63"/>
  <c r="AF1964" i="63"/>
  <c r="AF1965" i="63"/>
  <c r="I1965" i="63" s="1"/>
  <c r="AF1966" i="63"/>
  <c r="I1966" i="63" s="1"/>
  <c r="AF1967" i="63"/>
  <c r="I1967" i="63" s="1"/>
  <c r="I1968" i="63"/>
  <c r="AF1968" i="63"/>
  <c r="AF1969" i="63"/>
  <c r="I1969" i="63" s="1"/>
  <c r="AF1970" i="63"/>
  <c r="I1970" i="63" s="1"/>
  <c r="AF1971" i="63"/>
  <c r="I1971" i="63" s="1"/>
  <c r="AF1972" i="63"/>
  <c r="I1972" i="63" s="1"/>
  <c r="AF1973" i="63"/>
  <c r="I1973" i="63" s="1"/>
  <c r="I1974" i="63"/>
  <c r="AF1974" i="63"/>
  <c r="AF1975" i="63"/>
  <c r="I1975" i="63" s="1"/>
  <c r="AF1976" i="63"/>
  <c r="I1976" i="63" s="1"/>
  <c r="AF1977" i="63"/>
  <c r="I1977" i="63" s="1"/>
  <c r="AF1978" i="63"/>
  <c r="I1978" i="63" s="1"/>
  <c r="AF1979" i="63"/>
  <c r="I1979" i="63" s="1"/>
  <c r="I1980" i="63"/>
  <c r="AF1980" i="63"/>
  <c r="AF1981" i="63"/>
  <c r="I1981" i="63" s="1"/>
  <c r="AF1982" i="63"/>
  <c r="I1982" i="63" s="1"/>
  <c r="AF1983" i="63"/>
  <c r="I1983" i="63" s="1"/>
  <c r="AF1984" i="63"/>
  <c r="I1984" i="63" s="1"/>
  <c r="AF1985" i="63"/>
  <c r="I1985" i="63" s="1"/>
  <c r="AF1986" i="63"/>
  <c r="I1986" i="63" s="1"/>
  <c r="AF1987" i="63"/>
  <c r="I1987" i="63" s="1"/>
  <c r="AF1988" i="63"/>
  <c r="I1988" i="63" s="1"/>
  <c r="AF1989" i="63"/>
  <c r="I1989" i="63" s="1"/>
  <c r="I1990" i="63"/>
  <c r="AF1990" i="63"/>
  <c r="AF1991" i="63"/>
  <c r="I1991" i="63" s="1"/>
  <c r="AF1992" i="63"/>
  <c r="I1992" i="63" s="1"/>
  <c r="AF1993" i="63"/>
  <c r="I1993" i="63" s="1"/>
  <c r="AF1994" i="63"/>
  <c r="I1994" i="63" s="1"/>
  <c r="AF1995" i="63"/>
  <c r="I1995" i="63" s="1"/>
  <c r="I1996" i="63"/>
  <c r="AF1996" i="63"/>
  <c r="AF1997" i="63"/>
  <c r="I1997" i="63" s="1"/>
  <c r="AF1998" i="63"/>
  <c r="I1998" i="63" s="1"/>
  <c r="AF1999" i="63"/>
  <c r="I1999" i="63" s="1"/>
  <c r="AF2000" i="63"/>
  <c r="I2000" i="63" s="1"/>
  <c r="AF2001" i="63"/>
  <c r="I2001" i="63" s="1"/>
  <c r="AF2002" i="63"/>
  <c r="I2002" i="63" s="1"/>
  <c r="AF2003" i="63"/>
  <c r="I2003" i="63" s="1"/>
  <c r="AF2004" i="63"/>
  <c r="I2004" i="63" s="1"/>
  <c r="AF2005" i="63"/>
  <c r="I2005" i="63" s="1"/>
  <c r="I2006" i="63"/>
  <c r="AF2006" i="63"/>
  <c r="AF2007" i="63"/>
  <c r="I2007" i="63" s="1"/>
  <c r="I2008" i="63"/>
  <c r="AF2008" i="63"/>
  <c r="AF2009" i="63"/>
  <c r="I2009" i="63" s="1"/>
  <c r="AF2010" i="63"/>
  <c r="I2010" i="63" s="1"/>
  <c r="AF2011" i="63"/>
  <c r="I2011" i="63" s="1"/>
  <c r="I2012" i="63"/>
  <c r="AF2012" i="63"/>
  <c r="AF2013" i="63"/>
  <c r="I2013" i="63" s="1"/>
  <c r="AF2014" i="63"/>
  <c r="I2014" i="63" s="1"/>
  <c r="AF2015" i="63"/>
  <c r="I2015" i="63" s="1"/>
  <c r="AF2016" i="63"/>
  <c r="I2016" i="63" s="1"/>
  <c r="AF2017" i="63"/>
  <c r="I2017" i="63" s="1"/>
  <c r="AF2018" i="63"/>
  <c r="I2018" i="63" s="1"/>
  <c r="AF2019" i="63"/>
  <c r="I2019" i="63" s="1"/>
  <c r="AF2020" i="63"/>
  <c r="I2020" i="63" s="1"/>
  <c r="AF2021" i="63"/>
  <c r="I2021" i="63" s="1"/>
  <c r="I2022" i="63"/>
  <c r="AF2022" i="63"/>
  <c r="AF2023" i="63"/>
  <c r="I2023" i="63" s="1"/>
  <c r="AF4" i="63"/>
  <c r="I4" i="63" s="1"/>
  <c r="AF3" i="63"/>
  <c r="I3" i="63" s="1"/>
  <c r="AA2" i="63" l="1"/>
  <c r="AE2" i="63" l="1"/>
  <c r="B2" i="63" l="1"/>
  <c r="R2" i="24" l="1"/>
  <c r="AC42" i="24"/>
  <c r="U2" i="24" l="1"/>
  <c r="Z4" i="24" l="1"/>
  <c r="Z5" i="24"/>
  <c r="Z6" i="24"/>
  <c r="Z7" i="24"/>
  <c r="Z8" i="24"/>
  <c r="Z3" i="24"/>
  <c r="W4" i="24"/>
  <c r="W5" i="24"/>
  <c r="W6" i="24"/>
  <c r="W7" i="24"/>
  <c r="W8" i="24"/>
  <c r="W3" i="24"/>
  <c r="AC4" i="24"/>
  <c r="AC5" i="24"/>
  <c r="AC6" i="24"/>
  <c r="AC7" i="24"/>
  <c r="AC8" i="24"/>
  <c r="AC3" i="24"/>
  <c r="Y32" i="24" l="1"/>
  <c r="V32" i="24"/>
  <c r="Y31" i="24"/>
  <c r="V31" i="24"/>
  <c r="Y22" i="24" l="1"/>
  <c r="Y13" i="24"/>
  <c r="V13" i="24"/>
  <c r="Y17" i="24" l="1"/>
  <c r="V17" i="24"/>
  <c r="V22" i="24"/>
  <c r="Y34" i="24"/>
  <c r="V34" i="24"/>
  <c r="Y35" i="24"/>
  <c r="V35" i="24"/>
  <c r="Y30" i="24" l="1"/>
  <c r="Y33" i="24"/>
  <c r="Y26" i="24"/>
  <c r="Y15" i="24"/>
  <c r="V26" i="24"/>
  <c r="V15" i="24"/>
  <c r="V30" i="24"/>
  <c r="W30" i="24" s="1"/>
  <c r="V33" i="24"/>
  <c r="R2" i="25" l="1"/>
  <c r="Y25" i="24" l="1"/>
  <c r="V25" i="24"/>
  <c r="Z21" i="24"/>
  <c r="AB21" i="24"/>
  <c r="AC21" i="24"/>
  <c r="W21" i="24"/>
  <c r="Z40" i="24"/>
  <c r="W40" i="24"/>
  <c r="Y16" i="24" l="1"/>
  <c r="V16" i="24"/>
  <c r="Y38" i="25"/>
  <c r="V38" i="25"/>
  <c r="AC41" i="24" l="1"/>
  <c r="AC40" i="24"/>
  <c r="Z38" i="24"/>
  <c r="AB38" i="24"/>
  <c r="AC38" i="24"/>
  <c r="W38" i="24"/>
  <c r="Z37" i="24" l="1"/>
  <c r="AB37" i="24"/>
  <c r="AC37" i="24"/>
  <c r="W37" i="24"/>
  <c r="Z39" i="24"/>
  <c r="AB39" i="24"/>
  <c r="AC39" i="24"/>
  <c r="Z27" i="24"/>
  <c r="AB27" i="24"/>
  <c r="AC27" i="24"/>
  <c r="W27" i="24"/>
  <c r="W39" i="24"/>
  <c r="Y27" i="25" l="1"/>
  <c r="V27" i="25"/>
  <c r="Y14" i="24" l="1"/>
  <c r="Y2" i="24" s="1"/>
  <c r="V14" i="24"/>
  <c r="W15" i="24"/>
  <c r="Y3" i="25"/>
  <c r="Y6" i="25"/>
  <c r="AC6" i="25" s="1"/>
  <c r="Y13" i="25"/>
  <c r="AB13" i="25" s="1"/>
  <c r="Y14" i="25"/>
  <c r="Z14" i="25" s="1"/>
  <c r="Y16" i="25"/>
  <c r="Z16" i="25" s="1"/>
  <c r="Y18" i="25"/>
  <c r="Z18" i="25" s="1"/>
  <c r="Y35" i="25"/>
  <c r="Y42" i="25"/>
  <c r="Z42" i="25" s="1"/>
  <c r="V3" i="25"/>
  <c r="V6" i="25"/>
  <c r="V14" i="25"/>
  <c r="W14" i="25" s="1"/>
  <c r="V16" i="25"/>
  <c r="W16" i="25" s="1"/>
  <c r="V18" i="25"/>
  <c r="U33" i="25" s="1"/>
  <c r="V35" i="25"/>
  <c r="W38" i="25"/>
  <c r="V42" i="25"/>
  <c r="W42" i="25" s="1"/>
  <c r="AC34" i="25"/>
  <c r="AC36" i="25"/>
  <c r="AC37" i="25"/>
  <c r="AC39" i="25"/>
  <c r="AC40" i="25"/>
  <c r="AC41" i="25"/>
  <c r="AC19" i="25"/>
  <c r="AC20" i="25"/>
  <c r="AC21" i="25"/>
  <c r="AC22" i="25"/>
  <c r="AC23" i="25"/>
  <c r="AC24" i="25"/>
  <c r="AC25" i="25"/>
  <c r="AC26" i="25"/>
  <c r="AC27" i="25"/>
  <c r="AC28" i="25"/>
  <c r="AC29" i="25"/>
  <c r="AC30" i="25"/>
  <c r="AC31" i="25"/>
  <c r="AC32" i="25"/>
  <c r="AC4" i="25"/>
  <c r="AC5" i="25"/>
  <c r="AC7" i="25"/>
  <c r="AC8" i="25"/>
  <c r="AC9" i="25"/>
  <c r="AC10" i="25"/>
  <c r="AC11" i="25"/>
  <c r="AC12" i="25"/>
  <c r="AC15" i="25"/>
  <c r="AC9" i="24"/>
  <c r="AC10" i="24"/>
  <c r="AC11" i="24"/>
  <c r="AC12" i="24"/>
  <c r="AC16" i="24"/>
  <c r="AC17" i="24"/>
  <c r="AC18" i="24"/>
  <c r="AC19" i="24"/>
  <c r="AC20" i="24"/>
  <c r="AC22" i="24"/>
  <c r="AC23" i="24"/>
  <c r="AC24" i="24"/>
  <c r="AC25" i="24"/>
  <c r="AC26" i="24"/>
  <c r="AC28" i="24"/>
  <c r="AC29" i="24"/>
  <c r="AC30" i="24"/>
  <c r="AC31" i="24"/>
  <c r="AC32" i="24"/>
  <c r="AC33" i="24"/>
  <c r="AC34" i="24"/>
  <c r="AC35" i="24"/>
  <c r="AC36" i="24"/>
  <c r="AB20" i="24"/>
  <c r="AB22" i="24"/>
  <c r="AB23" i="24"/>
  <c r="AB24" i="24"/>
  <c r="AB25" i="24"/>
  <c r="AB26" i="24"/>
  <c r="AB28" i="24"/>
  <c r="AB29" i="24"/>
  <c r="AB30" i="24"/>
  <c r="AB31" i="24"/>
  <c r="AB32" i="24"/>
  <c r="AB33" i="24"/>
  <c r="AB34" i="24"/>
  <c r="AB35" i="24"/>
  <c r="AB36" i="24"/>
  <c r="W22" i="24"/>
  <c r="W23" i="24"/>
  <c r="W24" i="24"/>
  <c r="W25" i="24"/>
  <c r="W26" i="24"/>
  <c r="W28" i="24"/>
  <c r="W29" i="24"/>
  <c r="W31" i="24"/>
  <c r="W32" i="24"/>
  <c r="W33" i="24"/>
  <c r="W34" i="24"/>
  <c r="W35" i="24"/>
  <c r="W36" i="24"/>
  <c r="Z23" i="24"/>
  <c r="Z24" i="24"/>
  <c r="Z25" i="24"/>
  <c r="Z26" i="24"/>
  <c r="Z28" i="24"/>
  <c r="Z29" i="24"/>
  <c r="Z30" i="24"/>
  <c r="Z31" i="24"/>
  <c r="Z32" i="24"/>
  <c r="Z33" i="24"/>
  <c r="Z34" i="24"/>
  <c r="Z35" i="24"/>
  <c r="Z36" i="24"/>
  <c r="W16" i="24"/>
  <c r="W17" i="24"/>
  <c r="Z16" i="24"/>
  <c r="Z17" i="24"/>
  <c r="Q31" i="24"/>
  <c r="AB17" i="24"/>
  <c r="AB18" i="24"/>
  <c r="AB19" i="24"/>
  <c r="AB16" i="24"/>
  <c r="W18" i="24"/>
  <c r="W19" i="24"/>
  <c r="W20" i="24"/>
  <c r="Z18" i="24"/>
  <c r="Z19" i="24"/>
  <c r="Z20" i="24"/>
  <c r="Z22" i="24"/>
  <c r="C2" i="24"/>
  <c r="AB25" i="25"/>
  <c r="W29" i="25"/>
  <c r="W27" i="25"/>
  <c r="W26" i="25"/>
  <c r="W25" i="25"/>
  <c r="W11" i="25"/>
  <c r="W7" i="25"/>
  <c r="Z11" i="24"/>
  <c r="Z9" i="24"/>
  <c r="Z12" i="24"/>
  <c r="Z10" i="24"/>
  <c r="W12" i="24"/>
  <c r="W11" i="24"/>
  <c r="W10" i="24"/>
  <c r="W9" i="24"/>
  <c r="Z36" i="25"/>
  <c r="Z27" i="25"/>
  <c r="Z26" i="25"/>
  <c r="Z25" i="25"/>
  <c r="Z11" i="25"/>
  <c r="Z7" i="25"/>
  <c r="Z5" i="25"/>
  <c r="W5" i="25"/>
  <c r="AB9" i="24"/>
  <c r="AB11" i="24"/>
  <c r="AB12" i="24"/>
  <c r="W32" i="25"/>
  <c r="Z32" i="25"/>
  <c r="AB32" i="25"/>
  <c r="Q44" i="25"/>
  <c r="Z34" i="25"/>
  <c r="W34" i="25"/>
  <c r="Z30" i="25"/>
  <c r="W30" i="25"/>
  <c r="Z24" i="25"/>
  <c r="W24" i="25"/>
  <c r="Z4" i="25"/>
  <c r="W8" i="25"/>
  <c r="W9" i="25"/>
  <c r="W10" i="25"/>
  <c r="W12" i="25"/>
  <c r="W13" i="25"/>
  <c r="W15" i="25"/>
  <c r="W4" i="25"/>
  <c r="Q33" i="25"/>
  <c r="Q17" i="25"/>
  <c r="AB30" i="25"/>
  <c r="AB24" i="25"/>
  <c r="AB8" i="25"/>
  <c r="Z8" i="25"/>
  <c r="Z41" i="25"/>
  <c r="AB40" i="25"/>
  <c r="Z40" i="25"/>
  <c r="W40" i="25"/>
  <c r="AB39" i="25"/>
  <c r="Z39" i="25"/>
  <c r="W39" i="25"/>
  <c r="AB37" i="25"/>
  <c r="Z37" i="25"/>
  <c r="W37" i="25"/>
  <c r="AB36" i="25"/>
  <c r="W36" i="25"/>
  <c r="AB34" i="25"/>
  <c r="AB31" i="25"/>
  <c r="Z31" i="25"/>
  <c r="W31" i="25"/>
  <c r="AB29" i="25"/>
  <c r="Z29" i="25"/>
  <c r="AB28" i="25"/>
  <c r="Z28" i="25"/>
  <c r="W28" i="25"/>
  <c r="AB27" i="25"/>
  <c r="AB26" i="25"/>
  <c r="Z23" i="25"/>
  <c r="AB21" i="25"/>
  <c r="Z21" i="25"/>
  <c r="W21" i="25"/>
  <c r="AB20" i="25"/>
  <c r="Z20" i="25"/>
  <c r="W20" i="25"/>
  <c r="AB19" i="25"/>
  <c r="Z19" i="25"/>
  <c r="W19" i="25"/>
  <c r="AB15" i="25"/>
  <c r="Z15" i="25"/>
  <c r="AB12" i="25"/>
  <c r="Z12" i="25"/>
  <c r="AB10" i="25"/>
  <c r="Z10" i="25"/>
  <c r="AB9" i="25"/>
  <c r="Z9" i="25"/>
  <c r="AL7" i="25"/>
  <c r="AM7" i="25" s="1"/>
  <c r="AB7" i="25"/>
  <c r="AL6" i="25"/>
  <c r="AM6" i="25" s="1"/>
  <c r="AB5" i="25"/>
  <c r="C2" i="25"/>
  <c r="AB41" i="25"/>
  <c r="AB23" i="25"/>
  <c r="Z22" i="25"/>
  <c r="AB22" i="25"/>
  <c r="W41" i="25"/>
  <c r="W23" i="25"/>
  <c r="AB11" i="25"/>
  <c r="W22" i="25"/>
  <c r="Q2" i="24"/>
  <c r="AB10" i="24"/>
  <c r="AG13" i="24"/>
  <c r="AH13" i="24" s="1"/>
  <c r="AG12" i="24"/>
  <c r="AH12" i="24" s="1"/>
  <c r="V2" i="24" l="1"/>
  <c r="AB2" i="24" s="1"/>
  <c r="AC14" i="24"/>
  <c r="AC3" i="25"/>
  <c r="X17" i="25"/>
  <c r="Y2" i="25"/>
  <c r="AC2" i="25" s="1"/>
  <c r="AC35" i="25"/>
  <c r="X44" i="25"/>
  <c r="W3" i="25"/>
  <c r="V2" i="25"/>
  <c r="Z14" i="24"/>
  <c r="W35" i="25"/>
  <c r="U44" i="25"/>
  <c r="AC18" i="25"/>
  <c r="AA33" i="25" s="1"/>
  <c r="X33" i="25"/>
  <c r="AB14" i="24"/>
  <c r="Q2" i="25"/>
  <c r="W18" i="25"/>
  <c r="Z13" i="25"/>
  <c r="AC13" i="25"/>
  <c r="Z35" i="25"/>
  <c r="AB13" i="24"/>
  <c r="AB42" i="25"/>
  <c r="AC14" i="25"/>
  <c r="W13" i="24"/>
  <c r="AC13" i="24"/>
  <c r="AB35" i="25"/>
  <c r="AB3" i="25"/>
  <c r="W6" i="25"/>
  <c r="AC16" i="25"/>
  <c r="AC42" i="25"/>
  <c r="Z3" i="25"/>
  <c r="U17" i="25"/>
  <c r="AB38" i="25"/>
  <c r="W14" i="24"/>
  <c r="AC38" i="25"/>
  <c r="AB16" i="25"/>
  <c r="Z38" i="25"/>
  <c r="AB6" i="25"/>
  <c r="AB14" i="25"/>
  <c r="AB18" i="25"/>
  <c r="AB15" i="24"/>
  <c r="Z6" i="25"/>
  <c r="Z13" i="24"/>
  <c r="Z15" i="24"/>
  <c r="AC15" i="24"/>
  <c r="U2" i="25" l="1"/>
  <c r="AC2" i="24"/>
  <c r="X2" i="25"/>
  <c r="AB2" i="25" s="1"/>
  <c r="AA17" i="25"/>
  <c r="AA44" i="25"/>
</calcChain>
</file>

<file path=xl/sharedStrings.xml><?xml version="1.0" encoding="utf-8"?>
<sst xmlns="http://schemas.openxmlformats.org/spreadsheetml/2006/main" count="724" uniqueCount="274">
  <si>
    <t>No.</t>
  </si>
  <si>
    <t>Remark</t>
  </si>
  <si>
    <t>Job In Hand</t>
  </si>
  <si>
    <t>Invoice</t>
  </si>
  <si>
    <t>Total Invoice</t>
  </si>
  <si>
    <t>Cons Invoice</t>
  </si>
  <si>
    <t>SI Invoice</t>
  </si>
  <si>
    <t>Job No.</t>
  </si>
  <si>
    <t>Description 1</t>
  </si>
  <si>
    <t>Description 2</t>
  </si>
  <si>
    <t xml:space="preserve">Open Job </t>
  </si>
  <si>
    <t>Date</t>
  </si>
  <si>
    <t>%</t>
  </si>
  <si>
    <t>Progress Payment Issued</t>
  </si>
  <si>
    <t>Q1</t>
  </si>
  <si>
    <t>Q2</t>
  </si>
  <si>
    <t>Q3</t>
  </si>
  <si>
    <t>Q4</t>
  </si>
  <si>
    <t>แบ่ง Q</t>
  </si>
  <si>
    <t>Diff JIH Vs Inv</t>
  </si>
  <si>
    <t>Diff PP Vs Inv</t>
  </si>
  <si>
    <t>J13-0331</t>
  </si>
  <si>
    <t>Distributed Control System for B Boiler</t>
  </si>
  <si>
    <t xml:space="preserve">บจ.ไทย เทอร์โป เจนเนอร์เรเตอร์  </t>
  </si>
  <si>
    <t>J15-0409</t>
  </si>
  <si>
    <t>RBS Project (DCS&amp;FI Work)</t>
  </si>
  <si>
    <t>บริษัท สยาม ทาคูม่า จำกัด</t>
  </si>
  <si>
    <t>บริษัท ไทยรุ่งเรืองอุตสาหกรรม จำกัด</t>
  </si>
  <si>
    <t>J15-0626</t>
  </si>
  <si>
    <t>DCS Engineering for Power Plants</t>
  </si>
  <si>
    <t>บริษัท น้ำตาลครบุรี จำกัด (มหาชน)</t>
  </si>
  <si>
    <t>บริษัท อุตสาหกรรมน้ำตาลบ้านไร่ จำกัด</t>
  </si>
  <si>
    <t>J15-1015</t>
  </si>
  <si>
    <t xml:space="preserve">บริษัท ไทยรุ่งเรืองอุตสาหกรรม จำกัด </t>
  </si>
  <si>
    <t>Add. Speed Check Belt Conveyer for TRR</t>
  </si>
  <si>
    <t>J15-1217</t>
  </si>
  <si>
    <t xml:space="preserve">บริษัท ไทยรุ่งเรืองอุตสาหกรรม จำกัด  </t>
  </si>
  <si>
    <t>Scada Control System for Silo Plant</t>
  </si>
  <si>
    <t>Progress</t>
  </si>
  <si>
    <t>CVP-A &amp; C-Curing</t>
  </si>
  <si>
    <t>Wellman</t>
  </si>
  <si>
    <t>DCS for Vacuum pan Batch C15</t>
  </si>
  <si>
    <t>A-CVP 280M3 (KKS)</t>
  </si>
  <si>
    <t>เชื่อมต่อ Boiler Takuma เข้า Honeywell</t>
  </si>
  <si>
    <t>อุตสาหกรรมบ้านไร่</t>
  </si>
  <si>
    <t>น้ำตาลท่ามะกา</t>
  </si>
  <si>
    <t>น้ำตาลราชบุรี</t>
  </si>
  <si>
    <t>DISTRIBUTED CONTROL SYSTEM</t>
  </si>
  <si>
    <t>TANDAM B 16,000TCD MILLING CAPACITY</t>
  </si>
  <si>
    <t>AUTO CANE TANDUM A &amp; B</t>
  </si>
  <si>
    <t xml:space="preserve"> น้ำตาลบ้านโป่ง จำกัด</t>
  </si>
  <si>
    <t xml:space="preserve"> โรงงานน้ำตาลนิวกรุงไทย จำกัด</t>
  </si>
  <si>
    <t xml:space="preserve"> น้ำตาลและอ้อยตะวันออก จำกัด (มหาชน)</t>
  </si>
  <si>
    <t xml:space="preserve">CONTROL SYSTEM AND INSTRUMENT </t>
  </si>
  <si>
    <t>อุตสาหกรรมน้ำตาลสุพรรณบุรี</t>
  </si>
  <si>
    <t>J16-0775</t>
  </si>
  <si>
    <t>ADDITIONAL DCS SYSTEM FOR REFINE PLANT</t>
  </si>
  <si>
    <t>J16-0330</t>
  </si>
  <si>
    <t>J16-0533</t>
  </si>
  <si>
    <t xml:space="preserve">DISTRIBUTED CONTROL SYSTEM FOR BOILER, </t>
  </si>
  <si>
    <t>J16-0699</t>
  </si>
  <si>
    <t>J16-0710</t>
  </si>
  <si>
    <t>J16-0753</t>
  </si>
  <si>
    <t>J16-0782</t>
  </si>
  <si>
    <t>J16-0784</t>
  </si>
  <si>
    <t>J16-0866</t>
  </si>
  <si>
    <t>J16-0878</t>
  </si>
  <si>
    <t>THIP SUGAR KAMPHAENPHET</t>
  </si>
  <si>
    <t>J16-0950</t>
  </si>
  <si>
    <t>บริษัท รวมเกษตรกรอุตสาหกรรม จำกัด (มิตรภูหลวง)</t>
  </si>
  <si>
    <t>UPGRADE RFID READER FOR CCS</t>
  </si>
  <si>
    <t>J16-0973</t>
  </si>
  <si>
    <t>บริษัท น้ำตาลทิพย์กำแพงเพชร จำกัด</t>
  </si>
  <si>
    <t xml:space="preserve">DCS  LINK SYSTEM FOR SUGAR PROCESS </t>
  </si>
  <si>
    <t>บริษัท น้ำตาลบ้านโป่ง จำกัด</t>
  </si>
  <si>
    <t>J16-1017</t>
  </si>
  <si>
    <t>DILUTE FOR VACUUM PAN 4 BATCH PAN</t>
  </si>
  <si>
    <t>J16-0563</t>
  </si>
  <si>
    <t>J16-0566</t>
  </si>
  <si>
    <t>J16-0577</t>
  </si>
  <si>
    <t>FIELD INSTRUMENT - งานถัง Dilute น้ำเหลือง A1</t>
  </si>
  <si>
    <t>FIELD INSTRUMENT งานถัง Dilute น้ำเหลือง A ใช้งานหม้อปั่น C2</t>
  </si>
  <si>
    <t>FIELD INSTRUMENTงานถัง Dilute น้ำเหลือง A2</t>
  </si>
  <si>
    <t>บริษัท รวมเกษตรกรอุตสาหกรรม จำกัด(ภูเขียว)</t>
  </si>
  <si>
    <t>J16-1132</t>
  </si>
  <si>
    <t>INSTALLATION AUTO LOCK DUMP NO.1-5</t>
  </si>
  <si>
    <t>J15-1193</t>
  </si>
  <si>
    <t>J15-1336</t>
  </si>
  <si>
    <t>บ้านโป่งเอ็นจิเนียริ่ง</t>
  </si>
  <si>
    <t>J16-1122</t>
  </si>
  <si>
    <t>บริษัท ธนารักษ์ จำกัด</t>
  </si>
  <si>
    <t>Sale     Department</t>
  </si>
  <si>
    <t>ยอดแบ่งกับ PPC 4.5:50%,1.4:100%</t>
  </si>
  <si>
    <t>ยอดแบ่งกับ PPC , SED=45%</t>
  </si>
  <si>
    <t>ยอดแบ่งกับ PPC    ,SED=49.1%</t>
  </si>
  <si>
    <t>ยอดแบ่งกับ PPC , SED=50.17</t>
  </si>
  <si>
    <t>J16-0882</t>
  </si>
  <si>
    <t>ISD</t>
  </si>
  <si>
    <t>CONTROL SYSTEM FOR BOILER ( ES ENERGY )</t>
  </si>
  <si>
    <t>PHULUANG BLOCK 2</t>
  </si>
  <si>
    <t>BPE2  ADDITIONAL  SCREW MOTOR 23Units</t>
  </si>
  <si>
    <t>J16-1291</t>
  </si>
  <si>
    <t>บริษัท บ้านโป่งเอ็นจิเนียริ่ง จำกัด</t>
  </si>
  <si>
    <t>J16-0429</t>
  </si>
  <si>
    <t>บริษัท น้ำตาลขอนแก่น จำกัด (มหาชน)</t>
  </si>
  <si>
    <t>J16-1016</t>
  </si>
  <si>
    <t>บริษัท รวมเกษตรกรอุตสาหกรรม จำกัด</t>
  </si>
  <si>
    <t>ยอดแบ่งกับ PPC    ,SED=65%</t>
  </si>
  <si>
    <t>J16-1135</t>
  </si>
  <si>
    <t>J16-1272</t>
  </si>
  <si>
    <t>J16-1281</t>
  </si>
  <si>
    <t>(A)New HMI and Card Reader System</t>
  </si>
  <si>
    <t>FIBER OPTIC INSTALLATION</t>
  </si>
  <si>
    <t>Sumbox For Weighing Terminals</t>
  </si>
  <si>
    <t>PSD</t>
  </si>
  <si>
    <t>INSTALLATIONS SYSTEM CONTROL CLATIFIER FOR EVAPORATOR</t>
  </si>
  <si>
    <t xml:space="preserve">Program DCS ของลูกหีบราง 2 </t>
  </si>
  <si>
    <t>ADDITIONAL  FOR CONDITIONING SILO</t>
  </si>
  <si>
    <t>J16-1423</t>
  </si>
  <si>
    <t>Automation &amp; Monitoring Electrical System</t>
  </si>
  <si>
    <t>J17-0062</t>
  </si>
  <si>
    <t>J17-0065</t>
  </si>
  <si>
    <t xml:space="preserve"> Distributed Control System and Touch Screen for R-Vacuum pan 2 batch</t>
  </si>
  <si>
    <t>ENGINEERING FEE Revamp Program To Ls Plant</t>
  </si>
  <si>
    <t>บริษัท เกษตรไทย อินเตอร์เนชั่นแนล ชูการ์</t>
  </si>
  <si>
    <t>J16-1150</t>
  </si>
  <si>
    <t>บริษัท ซีอาร์ เอเซีย (ประเทศไทย) จำกัด</t>
  </si>
  <si>
    <t>J16-1134</t>
  </si>
  <si>
    <t>GC8 Truck  loading HMI &amp; Card reader Project</t>
  </si>
  <si>
    <t>บริษัท พีทีที โกลบอล เคมิคอล จำกัด (มหาชน)</t>
  </si>
  <si>
    <t>NEW LDPE FEEDER (W803)</t>
  </si>
  <si>
    <t>Control System &amp; Field Instrument for Conditioning Silo</t>
  </si>
  <si>
    <t>J15-0305</t>
  </si>
  <si>
    <t>บริษัท เวลแมน จำกัด</t>
  </si>
  <si>
    <t>CONTROL SYSTEM AND FIELD INSTRUMENT FOR  CONDITIONING SILO</t>
  </si>
  <si>
    <t>J16-0814</t>
  </si>
  <si>
    <t>โครงการที่ 6 SERVER TO WALLROOM</t>
  </si>
  <si>
    <t xml:space="preserve"> น้ำตาลราชบุรี จำกัด</t>
  </si>
  <si>
    <t>J16-1013</t>
  </si>
  <si>
    <t>INSTALLATION PH FOR CONDENSER</t>
  </si>
  <si>
    <t>บริษัท น้ำตาลท่ามะกา จำกัด</t>
  </si>
  <si>
    <t>PJD</t>
  </si>
  <si>
    <t>บริษัท โรงงานน้ำตาลนิวกรุงไทย จำกัด</t>
  </si>
  <si>
    <t>Down Payment</t>
  </si>
  <si>
    <t>FAT</t>
  </si>
  <si>
    <t>Site Work</t>
  </si>
  <si>
    <t>Finish</t>
  </si>
  <si>
    <t>After</t>
  </si>
  <si>
    <t>Commissioning</t>
  </si>
  <si>
    <t>หีบ</t>
  </si>
  <si>
    <t>Document Submit</t>
  </si>
  <si>
    <t>Delivery Instrument</t>
  </si>
  <si>
    <t>Delivery System</t>
  </si>
  <si>
    <t>Project Team</t>
  </si>
  <si>
    <t>Chakrit</t>
  </si>
  <si>
    <t>Nipon</t>
  </si>
  <si>
    <t>Nithinan</t>
  </si>
  <si>
    <t>Suriyon</t>
  </si>
  <si>
    <t>บริษัท ไทย เทอร์โบ เจนเนอร์เรเตอร์ จำกัด</t>
  </si>
  <si>
    <t>J17-0223</t>
  </si>
  <si>
    <t>บริษัท อิชิตะ จำกัด</t>
  </si>
  <si>
    <t>J17-0208</t>
  </si>
  <si>
    <t>ENGINEERING FEE Check Interlock for Milling no.2</t>
  </si>
  <si>
    <t>J17-0297</t>
  </si>
  <si>
    <t>UAPC EXTENSION PROCESS CAPACITY  UAC ADVANCE POLYMER &amp; CHEMICALS</t>
  </si>
  <si>
    <t>UAC ADVANCE POLYMER &amp; CHEMICALS COMPANY LIMITED</t>
  </si>
  <si>
    <t xml:space="preserve"> </t>
  </si>
  <si>
    <t>J17-0025</t>
  </si>
  <si>
    <t>GSG DCS PROGRAMMING SYSTEM ADDITIONAL PROJECT</t>
  </si>
  <si>
    <t>Almendra</t>
  </si>
  <si>
    <t>J17-0616</t>
  </si>
  <si>
    <t xml:space="preserve">DEVELOP SCADA TO DISTRIBUTED CONTROL SYSTEM FOR 4 VACUUM PAN </t>
  </si>
  <si>
    <t>บริษัท โรงงานน้ำตาลบุรีรัมย์ จำกัด</t>
  </si>
  <si>
    <t>J17-0630</t>
  </si>
  <si>
    <t>Upgrade DCS software from CS3000 To CentumVPR6</t>
  </si>
  <si>
    <t>MITR LAO SUGAR CO.,LTD.</t>
  </si>
  <si>
    <t>Progress Work</t>
  </si>
  <si>
    <t>J17-0687</t>
  </si>
  <si>
    <t>ENGINEERING  &amp; SERVICE FEE (LINE 3 : Addition for Re-Config. Commu.)</t>
  </si>
  <si>
    <t>J17-0694</t>
  </si>
  <si>
    <t>J17-0731</t>
  </si>
  <si>
    <t>บริษัท อุตสาหกรรมน้ำตาลสุพรรณบุรี จำกัด</t>
  </si>
  <si>
    <t>งานเพิ่มระบบ CONTROL SYSTEM FOR 65 TPH EXISTING B</t>
  </si>
  <si>
    <t>J17-0737</t>
  </si>
  <si>
    <t>J17-0748</t>
  </si>
  <si>
    <t>บริษัท น้ำตาลไทยเอกลักษณ์ จำกัด</t>
  </si>
  <si>
    <t xml:space="preserve">Automatic Vacuum Pan Control </t>
  </si>
  <si>
    <t>J17-0794</t>
  </si>
  <si>
    <t>Takuma Boiler</t>
  </si>
  <si>
    <t>CCS SYSTEM PROJECT CORE SAMPLING SYSTEM PROJECT (CCS)</t>
  </si>
  <si>
    <t>J17-0798</t>
  </si>
  <si>
    <t>BOILER CONTROL SYSTEM 1 Unit</t>
  </si>
  <si>
    <t>บริษัท เอราวัณ เพาเวอร์ จำกัด</t>
  </si>
  <si>
    <t>J17-0809</t>
  </si>
  <si>
    <t>J17-0817</t>
  </si>
  <si>
    <t>CORE SAMPLING SYSTEM PROJECT (CCS)</t>
  </si>
  <si>
    <t>บริษัท น้ำตาลนครเพชร จำกัด</t>
  </si>
  <si>
    <t>โครงการ PJ17-01-KSL-LS200  (POI-6003/00005)</t>
  </si>
  <si>
    <t>โครงการ PJ17-01-KSL-LS201  (POI-6003/00006)</t>
  </si>
  <si>
    <t>SCADA CONTROL SYSTEM FOR BOILER  (PODP6006002)</t>
  </si>
  <si>
    <t>SCADA CONTROL SYSTEM FOR BOILER  (LRDP6006001)</t>
  </si>
  <si>
    <t xml:space="preserve">Distributed Control System for Vacuum Pan </t>
  </si>
  <si>
    <t>บริษัท ก้องเกียรติวิศวกลการ จำกัด (มิตรลาว)</t>
  </si>
  <si>
    <t>J17-0818</t>
  </si>
  <si>
    <t>CONTINUOUS VACUUM PAN 4 SET</t>
  </si>
  <si>
    <t>100%ปี2017</t>
  </si>
  <si>
    <t>รอคุยกับลูกค้า</t>
  </si>
  <si>
    <t>90%ปี2017</t>
  </si>
  <si>
    <t>J17-0822</t>
  </si>
  <si>
    <t>J17-0824</t>
  </si>
  <si>
    <t xml:space="preserve">DCS FOR VACUUM PAN </t>
  </si>
  <si>
    <t>Distributed Control System For  Evaporator,Heater,Clearify Process</t>
  </si>
  <si>
    <t>J17-0874</t>
  </si>
  <si>
    <t>DCS EXPANSION PLANT 34000TON/DAY</t>
  </si>
  <si>
    <t>บริษัท น้ำตาลและอ้อยตะวันออก จำกัด (มหาชน)</t>
  </si>
  <si>
    <t>J17-0900</t>
  </si>
  <si>
    <t>CS3000 SOFTWARE UPGRADE TO CENTUM VP R6</t>
  </si>
  <si>
    <t>J17-0902</t>
  </si>
  <si>
    <t>J17-0867</t>
  </si>
  <si>
    <t>TANDAM B 40,000 TCD MILLING CAPACITY Vacuum Pam #5</t>
  </si>
  <si>
    <t>TANDAM B 40,000 TCD MILLING  CAPACITY STEAM TRANFORMOR</t>
  </si>
  <si>
    <t>J17-0799</t>
  </si>
  <si>
    <t>Thai Tank Terminal Limited</t>
  </si>
  <si>
    <t>Thai Tank Terminal New HMI and Card Reader System</t>
  </si>
  <si>
    <t>J17-1016</t>
  </si>
  <si>
    <t>OVERHAUL PANEL CONTROLเครื่องกดถุง LINE3 AT COMPLEX4</t>
  </si>
  <si>
    <t>บริษัท ไออาร์พีซี จำกัด (มหาชน)</t>
  </si>
  <si>
    <t>SCADA CONTROL SYSTEM FOR BOILER  (LRDP6008009)</t>
  </si>
  <si>
    <t>J17-0988</t>
  </si>
  <si>
    <t>ADDITIONAL WORK FOR PP3 SILICA AND SILICATE FEEDING IMPROVEMENT</t>
  </si>
  <si>
    <t>บริษัท น้ำตาลสิงห์บุรี จำกัด</t>
  </si>
  <si>
    <t>J17-1002</t>
  </si>
  <si>
    <t>บริษัท ทรี มาสเตอร์ส จำกัด</t>
  </si>
  <si>
    <t>J17-1150</t>
  </si>
  <si>
    <t>J17-1169</t>
  </si>
  <si>
    <t>ADDITIONAL DISTRIBUTED CONTROL SYSTEM FOR  POWER PLANT</t>
  </si>
  <si>
    <t>Ratchaburi Sugar (Ash Conveyor Modification)</t>
  </si>
  <si>
    <t>PCS FOR RETAIL PACKING</t>
  </si>
  <si>
    <t>ยอดแบ่งกับ PPC  ,CES=13003928</t>
  </si>
  <si>
    <t>ยอดแบ่งกับ PPC CES= 5,297,000</t>
  </si>
  <si>
    <t>ยอดแบ่งกับ PPC CES= 2,230,000</t>
  </si>
  <si>
    <t>ยอดแบ่งกับ PPC ,CES=16,697,614.04</t>
  </si>
  <si>
    <t>ยอดแบ่งกับ PPC CES= 2,102,000</t>
  </si>
  <si>
    <t>ยอดแบ่งกับ PPC CES= 1,625,000</t>
  </si>
  <si>
    <t>ยอดแบ่งกับ PPC CES= 214,500</t>
  </si>
  <si>
    <t xml:space="preserve">ยอดแบ่งกับ PPC CES= 70,000 </t>
  </si>
  <si>
    <t>ยอดแบ่งกับ PPC,CES=45%</t>
  </si>
  <si>
    <t>ยอดแบ่งกับ PPC,CES=65%</t>
  </si>
  <si>
    <t>บริษัท น้ำตาลกุมภวาปี จำกัด</t>
  </si>
  <si>
    <t>J17-1314</t>
  </si>
  <si>
    <t>MODIFLY PROGRAM-VACUUM PAN</t>
  </si>
  <si>
    <t>Project Name</t>
  </si>
  <si>
    <t>Customer</t>
  </si>
  <si>
    <t>As-Built</t>
  </si>
  <si>
    <t>Current Project Mile Stone</t>
  </si>
  <si>
    <t>% Invoice</t>
  </si>
  <si>
    <t>Intrument Delivered @ CTL</t>
  </si>
  <si>
    <t>System Delivered @ CTL</t>
  </si>
  <si>
    <t>Down Payment/KOM</t>
  </si>
  <si>
    <t xml:space="preserve"> Installation work complete</t>
  </si>
  <si>
    <t>PO Field Instrument to Vendor</t>
  </si>
  <si>
    <t>Startup</t>
  </si>
  <si>
    <t>Warranty</t>
  </si>
  <si>
    <t>Open Job</t>
  </si>
  <si>
    <t>Remaining</t>
  </si>
  <si>
    <t>Responsible</t>
  </si>
  <si>
    <t>% CIS Cost</t>
  </si>
  <si>
    <t>% ENG Cost</t>
  </si>
  <si>
    <t>% AIS Cost</t>
  </si>
  <si>
    <t>Job ENG In Hand</t>
  </si>
  <si>
    <t>Job CIS In Hand</t>
  </si>
  <si>
    <t>Job AIS In Hand</t>
  </si>
  <si>
    <t>Job Total In Hand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</si>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</sst>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d\-mmm\-yy;@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6"/>
      <color rgb="FF0000FF"/>
      <name val="Angsana New"/>
      <family val="1"/>
    </font>
    <font>
      <b/>
      <u/>
      <sz val="14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u/>
      <sz val="16"/>
      <color theme="1"/>
      <name val="Calibri"/>
      <family val="2"/>
      <scheme val="minor"/>
    </font>
    <font>
      <sz val="11"/>
      <color theme="1" tint="0.24994659260841701"/>
      <name val="Cambria"/>
      <family val="2"/>
      <scheme val="major"/>
    </font>
    <font>
      <b/>
      <sz val="14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4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0" tint="-0.14999847407452621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double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0" fillId="0" borderId="0"/>
    <xf numFmtId="9" fontId="12" fillId="0" borderId="0" applyFont="0" applyFill="0" applyBorder="0" applyAlignment="0" applyProtection="0"/>
    <xf numFmtId="0" fontId="12" fillId="0" borderId="0"/>
    <xf numFmtId="0" fontId="22" fillId="0" borderId="0" applyNumberFormat="0" applyFill="0" applyBorder="0" applyProtection="0">
      <alignment vertical="center"/>
    </xf>
    <xf numFmtId="43" fontId="2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788">
    <xf numFmtId="0" fontId="0" fillId="0" borderId="0" xfId="0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0" fillId="3" borderId="3" xfId="0" applyNumberFormat="1" applyFill="1" applyBorder="1" applyAlignment="1">
      <alignment horizontal="center"/>
    </xf>
    <xf numFmtId="4" fontId="1" fillId="4" borderId="3" xfId="0" applyNumberFormat="1" applyFont="1" applyFill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1" fillId="4" borderId="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4" fontId="4" fillId="5" borderId="5" xfId="0" applyNumberFormat="1" applyFont="1" applyFill="1" applyBorder="1" applyAlignment="1">
      <alignment horizontal="center"/>
    </xf>
    <xf numFmtId="4" fontId="5" fillId="5" borderId="6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4" fontId="0" fillId="6" borderId="3" xfId="0" applyNumberFormat="1" applyFill="1" applyBorder="1" applyAlignment="1">
      <alignment horizontal="center"/>
    </xf>
    <xf numFmtId="4" fontId="1" fillId="6" borderId="3" xfId="0" applyNumberFormat="1" applyFont="1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4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0" fontId="7" fillId="3" borderId="13" xfId="0" applyNumberFormat="1" applyFont="1" applyFill="1" applyBorder="1" applyAlignment="1">
      <alignment horizontal="center"/>
    </xf>
    <xf numFmtId="4" fontId="7" fillId="4" borderId="13" xfId="0" applyNumberFormat="1" applyFont="1" applyFill="1" applyBorder="1" applyAlignment="1">
      <alignment horizontal="center"/>
    </xf>
    <xf numFmtId="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6" borderId="13" xfId="0" applyFont="1" applyFill="1" applyBorder="1"/>
    <xf numFmtId="0" fontId="6" fillId="6" borderId="20" xfId="0" applyFont="1" applyFill="1" applyBorder="1" applyAlignment="1">
      <alignment horizontal="center"/>
    </xf>
    <xf numFmtId="0" fontId="8" fillId="6" borderId="18" xfId="0" applyFont="1" applyFill="1" applyBorder="1"/>
    <xf numFmtId="4" fontId="8" fillId="6" borderId="18" xfId="0" applyNumberFormat="1" applyFont="1" applyFill="1" applyBorder="1" applyAlignment="1">
      <alignment horizontal="left"/>
    </xf>
    <xf numFmtId="4" fontId="7" fillId="3" borderId="18" xfId="0" applyNumberFormat="1" applyFont="1" applyFill="1" applyBorder="1" applyAlignment="1">
      <alignment horizontal="center"/>
    </xf>
    <xf numFmtId="10" fontId="7" fillId="3" borderId="18" xfId="0" applyNumberFormat="1" applyFont="1" applyFill="1" applyBorder="1" applyAlignment="1">
      <alignment horizontal="center"/>
    </xf>
    <xf numFmtId="4" fontId="7" fillId="4" borderId="18" xfId="0" applyNumberFormat="1" applyFont="1" applyFill="1" applyBorder="1" applyAlignment="1">
      <alignment horizontal="center"/>
    </xf>
    <xf numFmtId="10" fontId="7" fillId="4" borderId="19" xfId="0" applyNumberFormat="1" applyFont="1" applyFill="1" applyBorder="1" applyAlignment="1">
      <alignment horizontal="center"/>
    </xf>
    <xf numFmtId="4" fontId="7" fillId="5" borderId="19" xfId="0" applyNumberFormat="1" applyFont="1" applyFill="1" applyBorder="1" applyAlignment="1">
      <alignment horizontal="center"/>
    </xf>
    <xf numFmtId="10" fontId="7" fillId="3" borderId="21" xfId="0" applyNumberFormat="1" applyFont="1" applyFill="1" applyBorder="1" applyAlignment="1">
      <alignment horizontal="center"/>
    </xf>
    <xf numFmtId="4" fontId="7" fillId="4" borderId="21" xfId="0" applyNumberFormat="1" applyFont="1" applyFill="1" applyBorder="1" applyAlignment="1">
      <alignment horizontal="center"/>
    </xf>
    <xf numFmtId="0" fontId="8" fillId="6" borderId="21" xfId="0" applyFont="1" applyFill="1" applyBorder="1"/>
    <xf numFmtId="4" fontId="8" fillId="6" borderId="21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" fillId="6" borderId="7" xfId="0" applyFont="1" applyFill="1" applyBorder="1"/>
    <xf numFmtId="4" fontId="8" fillId="6" borderId="7" xfId="0" applyNumberFormat="1" applyFont="1" applyFill="1" applyBorder="1" applyAlignment="1">
      <alignment horizontal="left"/>
    </xf>
    <xf numFmtId="4" fontId="8" fillId="6" borderId="7" xfId="0" applyNumberFormat="1" applyFont="1" applyFill="1" applyBorder="1" applyAlignment="1">
      <alignment horizontal="center"/>
    </xf>
    <xf numFmtId="165" fontId="8" fillId="6" borderId="7" xfId="0" applyNumberFormat="1" applyFont="1" applyFill="1" applyBorder="1" applyAlignment="1">
      <alignment horizontal="center"/>
    </xf>
    <xf numFmtId="4" fontId="7" fillId="3" borderId="7" xfId="0" applyNumberFormat="1" applyFont="1" applyFill="1" applyBorder="1" applyAlignment="1">
      <alignment horizontal="center"/>
    </xf>
    <xf numFmtId="10" fontId="7" fillId="3" borderId="7" xfId="0" applyNumberFormat="1" applyFont="1" applyFill="1" applyBorder="1" applyAlignment="1">
      <alignment horizontal="center"/>
    </xf>
    <xf numFmtId="4" fontId="7" fillId="4" borderId="7" xfId="0" applyNumberFormat="1" applyFont="1" applyFill="1" applyBorder="1" applyAlignment="1">
      <alignment horizontal="center"/>
    </xf>
    <xf numFmtId="10" fontId="7" fillId="4" borderId="7" xfId="0" applyNumberFormat="1" applyFont="1" applyFill="1" applyBorder="1" applyAlignment="1">
      <alignment horizontal="center"/>
    </xf>
    <xf numFmtId="4" fontId="0" fillId="6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4" fontId="2" fillId="3" borderId="7" xfId="0" applyNumberFormat="1" applyFont="1" applyFill="1" applyBorder="1" applyAlignment="1">
      <alignment horizontal="center"/>
    </xf>
    <xf numFmtId="4" fontId="0" fillId="4" borderId="7" xfId="0" applyNumberFormat="1" applyFill="1" applyBorder="1" applyAlignment="1">
      <alignment horizontal="center"/>
    </xf>
    <xf numFmtId="4" fontId="2" fillId="4" borderId="7" xfId="0" applyNumberFormat="1" applyFont="1" applyFill="1" applyBorder="1" applyAlignment="1">
      <alignment horizontal="center"/>
    </xf>
    <xf numFmtId="0" fontId="0" fillId="0" borderId="7" xfId="0" applyBorder="1"/>
    <xf numFmtId="4" fontId="8" fillId="6" borderId="7" xfId="0" applyNumberFormat="1" applyFont="1" applyFill="1" applyBorder="1"/>
    <xf numFmtId="4" fontId="2" fillId="4" borderId="3" xfId="0" applyNumberFormat="1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7" fillId="5" borderId="7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4" fontId="1" fillId="4" borderId="7" xfId="0" applyNumberFormat="1" applyFont="1" applyFill="1" applyBorder="1" applyAlignment="1">
      <alignment horizontal="center"/>
    </xf>
    <xf numFmtId="10" fontId="0" fillId="4" borderId="7" xfId="0" applyNumberFormat="1" applyFill="1" applyBorder="1" applyAlignment="1">
      <alignment horizontal="center"/>
    </xf>
    <xf numFmtId="4" fontId="0" fillId="5" borderId="7" xfId="0" applyNumberFormat="1" applyFill="1" applyBorder="1" applyAlignment="1">
      <alignment horizontal="center"/>
    </xf>
    <xf numFmtId="4" fontId="7" fillId="5" borderId="27" xfId="0" applyNumberFormat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4" fontId="8" fillId="6" borderId="27" xfId="0" applyNumberFormat="1" applyFont="1" applyFill="1" applyBorder="1" applyAlignment="1">
      <alignment horizontal="center"/>
    </xf>
    <xf numFmtId="10" fontId="7" fillId="3" borderId="27" xfId="0" applyNumberFormat="1" applyFont="1" applyFill="1" applyBorder="1" applyAlignment="1">
      <alignment horizontal="center"/>
    </xf>
    <xf numFmtId="4" fontId="0" fillId="4" borderId="27" xfId="0" applyNumberFormat="1" applyFill="1" applyBorder="1" applyAlignment="1">
      <alignment horizontal="center"/>
    </xf>
    <xf numFmtId="10" fontId="7" fillId="4" borderId="27" xfId="0" applyNumberFormat="1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8" fillId="6" borderId="29" xfId="0" applyFont="1" applyFill="1" applyBorder="1"/>
    <xf numFmtId="4" fontId="8" fillId="6" borderId="29" xfId="0" applyNumberFormat="1" applyFont="1" applyFill="1" applyBorder="1" applyAlignment="1">
      <alignment horizontal="left"/>
    </xf>
    <xf numFmtId="4" fontId="8" fillId="6" borderId="29" xfId="0" applyNumberFormat="1" applyFont="1" applyFill="1" applyBorder="1" applyAlignment="1">
      <alignment horizontal="center"/>
    </xf>
    <xf numFmtId="165" fontId="8" fillId="6" borderId="29" xfId="0" applyNumberFormat="1" applyFont="1" applyFill="1" applyBorder="1" applyAlignment="1">
      <alignment horizontal="center"/>
    </xf>
    <xf numFmtId="4" fontId="0" fillId="3" borderId="29" xfId="0" applyNumberFormat="1" applyFill="1" applyBorder="1" applyAlignment="1">
      <alignment horizontal="center"/>
    </xf>
    <xf numFmtId="10" fontId="7" fillId="3" borderId="29" xfId="0" applyNumberFormat="1" applyFont="1" applyFill="1" applyBorder="1" applyAlignment="1">
      <alignment horizontal="center"/>
    </xf>
    <xf numFmtId="4" fontId="2" fillId="4" borderId="29" xfId="0" applyNumberFormat="1" applyFont="1" applyFill="1" applyBorder="1" applyAlignment="1">
      <alignment horizontal="center"/>
    </xf>
    <xf numFmtId="4" fontId="0" fillId="4" borderId="29" xfId="0" applyNumberFormat="1" applyFill="1" applyBorder="1" applyAlignment="1">
      <alignment horizontal="center"/>
    </xf>
    <xf numFmtId="10" fontId="7" fillId="4" borderId="29" xfId="0" applyNumberFormat="1" applyFont="1" applyFill="1" applyBorder="1" applyAlignment="1">
      <alignment horizontal="center"/>
    </xf>
    <xf numFmtId="165" fontId="8" fillId="6" borderId="21" xfId="0" applyNumberFormat="1" applyFont="1" applyFill="1" applyBorder="1" applyAlignment="1">
      <alignment horizontal="center"/>
    </xf>
    <xf numFmtId="4" fontId="7" fillId="6" borderId="0" xfId="0" applyNumberFormat="1" applyFont="1" applyFill="1" applyAlignment="1">
      <alignment horizontal="center"/>
    </xf>
    <xf numFmtId="3" fontId="7" fillId="6" borderId="0" xfId="0" applyNumberFormat="1" applyFont="1" applyFill="1" applyAlignment="1">
      <alignment horizontal="center"/>
    </xf>
    <xf numFmtId="0" fontId="7" fillId="6" borderId="0" xfId="0" applyFont="1" applyFill="1"/>
    <xf numFmtId="4" fontId="7" fillId="8" borderId="7" xfId="0" applyNumberFormat="1" applyFont="1" applyFill="1" applyBorder="1" applyAlignment="1">
      <alignment horizontal="center"/>
    </xf>
    <xf numFmtId="10" fontId="7" fillId="8" borderId="7" xfId="0" applyNumberFormat="1" applyFont="1" applyFill="1" applyBorder="1" applyAlignment="1">
      <alignment horizontal="center"/>
    </xf>
    <xf numFmtId="4" fontId="7" fillId="9" borderId="7" xfId="0" applyNumberFormat="1" applyFont="1" applyFill="1" applyBorder="1" applyAlignment="1">
      <alignment horizontal="center"/>
    </xf>
    <xf numFmtId="10" fontId="7" fillId="9" borderId="7" xfId="0" applyNumberFormat="1" applyFont="1" applyFill="1" applyBorder="1" applyAlignment="1">
      <alignment horizontal="center"/>
    </xf>
    <xf numFmtId="4" fontId="7" fillId="10" borderId="7" xfId="0" applyNumberFormat="1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4" fontId="7" fillId="5" borderId="32" xfId="0" applyNumberFormat="1" applyFont="1" applyFill="1" applyBorder="1" applyAlignment="1">
      <alignment horizontal="center"/>
    </xf>
    <xf numFmtId="4" fontId="0" fillId="0" borderId="33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0" fontId="0" fillId="0" borderId="33" xfId="0" applyBorder="1"/>
    <xf numFmtId="4" fontId="0" fillId="0" borderId="35" xfId="0" applyNumberFormat="1" applyBorder="1" applyAlignment="1">
      <alignment horizontal="center"/>
    </xf>
    <xf numFmtId="0" fontId="6" fillId="6" borderId="36" xfId="0" applyFont="1" applyFill="1" applyBorder="1" applyAlignment="1">
      <alignment horizontal="center"/>
    </xf>
    <xf numFmtId="4" fontId="7" fillId="10" borderId="27" xfId="0" applyNumberFormat="1" applyFont="1" applyFill="1" applyBorder="1" applyAlignment="1">
      <alignment horizontal="center"/>
    </xf>
    <xf numFmtId="4" fontId="7" fillId="8" borderId="15" xfId="0" applyNumberFormat="1" applyFont="1" applyFill="1" applyBorder="1" applyAlignment="1">
      <alignment horizontal="center"/>
    </xf>
    <xf numFmtId="0" fontId="8" fillId="6" borderId="25" xfId="0" applyFont="1" applyFill="1" applyBorder="1"/>
    <xf numFmtId="4" fontId="8" fillId="6" borderId="25" xfId="0" applyNumberFormat="1" applyFont="1" applyFill="1" applyBorder="1" applyAlignment="1">
      <alignment horizontal="left"/>
    </xf>
    <xf numFmtId="4" fontId="7" fillId="0" borderId="38" xfId="0" applyNumberFormat="1" applyFont="1" applyBorder="1" applyAlignment="1">
      <alignment horizontal="center"/>
    </xf>
    <xf numFmtId="4" fontId="1" fillId="6" borderId="7" xfId="0" applyNumberFormat="1" applyFont="1" applyFill="1" applyBorder="1" applyAlignment="1">
      <alignment horizontal="center"/>
    </xf>
    <xf numFmtId="4" fontId="2" fillId="3" borderId="39" xfId="0" applyNumberFormat="1" applyFont="1" applyFill="1" applyBorder="1" applyAlignment="1">
      <alignment horizontal="center"/>
    </xf>
    <xf numFmtId="4" fontId="2" fillId="3" borderId="36" xfId="0" applyNumberFormat="1" applyFont="1" applyFill="1" applyBorder="1" applyAlignment="1">
      <alignment horizontal="center"/>
    </xf>
    <xf numFmtId="4" fontId="2" fillId="3" borderId="37" xfId="0" applyNumberFormat="1" applyFont="1" applyFill="1" applyBorder="1" applyAlignment="1">
      <alignment horizontal="center"/>
    </xf>
    <xf numFmtId="0" fontId="6" fillId="6" borderId="41" xfId="0" applyFont="1" applyFill="1" applyBorder="1" applyAlignment="1">
      <alignment horizontal="center"/>
    </xf>
    <xf numFmtId="0" fontId="6" fillId="6" borderId="42" xfId="0" applyFont="1" applyFill="1" applyBorder="1" applyAlignment="1">
      <alignment horizontal="center"/>
    </xf>
    <xf numFmtId="4" fontId="7" fillId="6" borderId="40" xfId="0" applyNumberFormat="1" applyFont="1" applyFill="1" applyBorder="1" applyAlignment="1">
      <alignment horizontal="center"/>
    </xf>
    <xf numFmtId="165" fontId="7" fillId="6" borderId="40" xfId="0" applyNumberFormat="1" applyFont="1" applyFill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4" fontId="2" fillId="3" borderId="43" xfId="0" applyNumberFormat="1" applyFont="1" applyFill="1" applyBorder="1" applyAlignment="1">
      <alignment horizontal="center"/>
    </xf>
    <xf numFmtId="4" fontId="11" fillId="0" borderId="7" xfId="0" applyNumberFormat="1" applyFont="1" applyBorder="1" applyAlignment="1">
      <alignment horizontal="center"/>
    </xf>
    <xf numFmtId="43" fontId="0" fillId="8" borderId="0" xfId="1" applyFont="1" applyFill="1" applyAlignment="1">
      <alignment horizontal="center"/>
    </xf>
    <xf numFmtId="43" fontId="0" fillId="9" borderId="0" xfId="1" applyFont="1" applyFill="1" applyAlignment="1">
      <alignment horizontal="center"/>
    </xf>
    <xf numFmtId="10" fontId="7" fillId="6" borderId="7" xfId="0" applyNumberFormat="1" applyFon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3" fontId="0" fillId="6" borderId="0" xfId="0" applyNumberFormat="1" applyFill="1" applyAlignment="1">
      <alignment horizontal="center"/>
    </xf>
    <xf numFmtId="0" fontId="0" fillId="6" borderId="7" xfId="0" applyFill="1" applyBorder="1"/>
    <xf numFmtId="4" fontId="0" fillId="8" borderId="7" xfId="0" applyNumberFormat="1" applyFill="1" applyBorder="1" applyAlignment="1">
      <alignment horizontal="center"/>
    </xf>
    <xf numFmtId="4" fontId="2" fillId="8" borderId="36" xfId="0" applyNumberFormat="1" applyFont="1" applyFill="1" applyBorder="1" applyAlignment="1">
      <alignment horizontal="center"/>
    </xf>
    <xf numFmtId="4" fontId="2" fillId="9" borderId="7" xfId="0" applyNumberFormat="1" applyFont="1" applyFill="1" applyBorder="1" applyAlignment="1">
      <alignment horizontal="center"/>
    </xf>
    <xf numFmtId="4" fontId="0" fillId="9" borderId="7" xfId="0" applyNumberFormat="1" applyFill="1" applyBorder="1" applyAlignment="1">
      <alignment horizontal="center"/>
    </xf>
    <xf numFmtId="4" fontId="7" fillId="8" borderId="18" xfId="0" applyNumberFormat="1" applyFont="1" applyFill="1" applyBorder="1" applyAlignment="1">
      <alignment horizontal="center"/>
    </xf>
    <xf numFmtId="4" fontId="8" fillId="6" borderId="18" xfId="0" applyNumberFormat="1" applyFont="1" applyFill="1" applyBorder="1" applyAlignment="1">
      <alignment horizontal="center"/>
    </xf>
    <xf numFmtId="4" fontId="7" fillId="9" borderId="13" xfId="0" applyNumberFormat="1" applyFont="1" applyFill="1" applyBorder="1" applyAlignment="1">
      <alignment horizontal="center"/>
    </xf>
    <xf numFmtId="4" fontId="7" fillId="9" borderId="21" xfId="0" applyNumberFormat="1" applyFont="1" applyFill="1" applyBorder="1" applyAlignment="1">
      <alignment horizontal="center"/>
    </xf>
    <xf numFmtId="4" fontId="8" fillId="6" borderId="13" xfId="0" applyNumberFormat="1" applyFont="1" applyFill="1" applyBorder="1" applyAlignment="1">
      <alignment horizontal="center"/>
    </xf>
    <xf numFmtId="165" fontId="8" fillId="6" borderId="18" xfId="0" applyNumberFormat="1" applyFont="1" applyFill="1" applyBorder="1" applyAlignment="1">
      <alignment horizontal="center"/>
    </xf>
    <xf numFmtId="165" fontId="8" fillId="6" borderId="13" xfId="0" applyNumberFormat="1" applyFont="1" applyFill="1" applyBorder="1" applyAlignment="1">
      <alignment horizontal="center"/>
    </xf>
    <xf numFmtId="4" fontId="0" fillId="8" borderId="13" xfId="0" applyNumberFormat="1" applyFill="1" applyBorder="1" applyAlignment="1">
      <alignment horizontal="center"/>
    </xf>
    <xf numFmtId="4" fontId="0" fillId="9" borderId="13" xfId="0" applyNumberFormat="1" applyFill="1" applyBorder="1" applyAlignment="1">
      <alignment horizontal="center"/>
    </xf>
    <xf numFmtId="4" fontId="2" fillId="3" borderId="21" xfId="0" applyNumberFormat="1" applyFont="1" applyFill="1" applyBorder="1" applyAlignment="1">
      <alignment horizontal="center"/>
    </xf>
    <xf numFmtId="4" fontId="1" fillId="6" borderId="43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4" fontId="8" fillId="6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0" fontId="1" fillId="6" borderId="48" xfId="0" applyFont="1" applyFill="1" applyBorder="1" applyAlignment="1">
      <alignment horizontal="center"/>
    </xf>
    <xf numFmtId="4" fontId="2" fillId="3" borderId="25" xfId="0" applyNumberFormat="1" applyFont="1" applyFill="1" applyBorder="1" applyAlignment="1">
      <alignment horizontal="center"/>
    </xf>
    <xf numFmtId="10" fontId="7" fillId="3" borderId="25" xfId="0" applyNumberFormat="1" applyFont="1" applyFill="1" applyBorder="1" applyAlignment="1">
      <alignment horizontal="center"/>
    </xf>
    <xf numFmtId="4" fontId="7" fillId="4" borderId="25" xfId="0" applyNumberFormat="1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6" fillId="11" borderId="36" xfId="0" applyFont="1" applyFill="1" applyBorder="1" applyAlignment="1">
      <alignment horizontal="center"/>
    </xf>
    <xf numFmtId="0" fontId="8" fillId="11" borderId="7" xfId="0" applyFont="1" applyFill="1" applyBorder="1"/>
    <xf numFmtId="4" fontId="8" fillId="11" borderId="7" xfId="0" applyNumberFormat="1" applyFont="1" applyFill="1" applyBorder="1" applyAlignment="1">
      <alignment horizontal="left"/>
    </xf>
    <xf numFmtId="4" fontId="2" fillId="11" borderId="7" xfId="0" applyNumberFormat="1" applyFont="1" applyFill="1" applyBorder="1" applyAlignment="1">
      <alignment horizontal="center"/>
    </xf>
    <xf numFmtId="4" fontId="8" fillId="11" borderId="7" xfId="0" applyNumberFormat="1" applyFont="1" applyFill="1" applyBorder="1" applyAlignment="1">
      <alignment horizontal="center"/>
    </xf>
    <xf numFmtId="165" fontId="8" fillId="11" borderId="7" xfId="0" applyNumberFormat="1" applyFont="1" applyFill="1" applyBorder="1" applyAlignment="1">
      <alignment horizontal="center"/>
    </xf>
    <xf numFmtId="4" fontId="1" fillId="11" borderId="7" xfId="0" applyNumberFormat="1" applyFont="1" applyFill="1" applyBorder="1" applyAlignment="1">
      <alignment horizontal="center"/>
    </xf>
    <xf numFmtId="4" fontId="2" fillId="11" borderId="36" xfId="0" applyNumberFormat="1" applyFont="1" applyFill="1" applyBorder="1" applyAlignment="1">
      <alignment horizontal="center"/>
    </xf>
    <xf numFmtId="4" fontId="0" fillId="11" borderId="7" xfId="0" applyNumberFormat="1" applyFill="1" applyBorder="1" applyAlignment="1">
      <alignment horizontal="center"/>
    </xf>
    <xf numFmtId="10" fontId="7" fillId="11" borderId="7" xfId="0" applyNumberFormat="1" applyFont="1" applyFill="1" applyBorder="1" applyAlignment="1">
      <alignment horizontal="center"/>
    </xf>
    <xf numFmtId="4" fontId="7" fillId="11" borderId="7" xfId="0" applyNumberFormat="1" applyFont="1" applyFill="1" applyBorder="1" applyAlignment="1">
      <alignment horizontal="center"/>
    </xf>
    <xf numFmtId="4" fontId="0" fillId="11" borderId="0" xfId="0" applyNumberFormat="1" applyFill="1" applyAlignment="1">
      <alignment horizontal="center"/>
    </xf>
    <xf numFmtId="3" fontId="0" fillId="11" borderId="0" xfId="0" applyNumberFormat="1" applyFill="1" applyAlignment="1">
      <alignment horizontal="center"/>
    </xf>
    <xf numFmtId="0" fontId="0" fillId="11" borderId="0" xfId="0" applyFill="1"/>
    <xf numFmtId="4" fontId="8" fillId="11" borderId="7" xfId="0" applyNumberFormat="1" applyFont="1" applyFill="1" applyBorder="1"/>
    <xf numFmtId="0" fontId="0" fillId="11" borderId="7" xfId="0" applyFill="1" applyBorder="1"/>
    <xf numFmtId="0" fontId="6" fillId="11" borderId="7" xfId="0" applyFont="1" applyFill="1" applyBorder="1" applyAlignment="1">
      <alignment horizontal="center"/>
    </xf>
    <xf numFmtId="4" fontId="2" fillId="10" borderId="5" xfId="0" applyNumberFormat="1" applyFont="1" applyFill="1" applyBorder="1" applyAlignment="1">
      <alignment horizontal="center"/>
    </xf>
    <xf numFmtId="4" fontId="1" fillId="10" borderId="6" xfId="0" applyNumberFormat="1" applyFont="1" applyFill="1" applyBorder="1" applyAlignment="1">
      <alignment horizontal="center"/>
    </xf>
    <xf numFmtId="4" fontId="7" fillId="10" borderId="19" xfId="0" applyNumberFormat="1" applyFont="1" applyFill="1" applyBorder="1" applyAlignment="1">
      <alignment horizontal="center"/>
    </xf>
    <xf numFmtId="4" fontId="0" fillId="10" borderId="24" xfId="0" applyNumberFormat="1" applyFill="1" applyBorder="1" applyAlignment="1">
      <alignment horizontal="center"/>
    </xf>
    <xf numFmtId="4" fontId="10" fillId="10" borderId="40" xfId="0" applyNumberFormat="1" applyFont="1" applyFill="1" applyBorder="1" applyAlignment="1">
      <alignment horizontal="center"/>
    </xf>
    <xf numFmtId="4" fontId="2" fillId="10" borderId="7" xfId="0" applyNumberFormat="1" applyFont="1" applyFill="1" applyBorder="1" applyAlignment="1">
      <alignment horizontal="center"/>
    </xf>
    <xf numFmtId="4" fontId="2" fillId="10" borderId="29" xfId="0" applyNumberFormat="1" applyFont="1" applyFill="1" applyBorder="1" applyAlignment="1">
      <alignment horizontal="center"/>
    </xf>
    <xf numFmtId="10" fontId="7" fillId="11" borderId="27" xfId="0" applyNumberFormat="1" applyFont="1" applyFill="1" applyBorder="1" applyAlignment="1">
      <alignment horizontal="center"/>
    </xf>
    <xf numFmtId="4" fontId="0" fillId="11" borderId="27" xfId="0" applyNumberFormat="1" applyFill="1" applyBorder="1" applyAlignment="1">
      <alignment horizontal="center"/>
    </xf>
    <xf numFmtId="4" fontId="7" fillId="11" borderId="27" xfId="0" applyNumberFormat="1" applyFont="1" applyFill="1" applyBorder="1" applyAlignment="1">
      <alignment horizontal="center"/>
    </xf>
    <xf numFmtId="4" fontId="2" fillId="11" borderId="43" xfId="0" applyNumberFormat="1" applyFont="1" applyFill="1" applyBorder="1" applyAlignment="1">
      <alignment horizontal="center"/>
    </xf>
    <xf numFmtId="9" fontId="0" fillId="6" borderId="0" xfId="3" applyFont="1" applyFill="1" applyAlignment="1">
      <alignment horizontal="center"/>
    </xf>
    <xf numFmtId="9" fontId="7" fillId="6" borderId="0" xfId="3" applyFont="1" applyFill="1" applyAlignment="1">
      <alignment horizontal="center"/>
    </xf>
    <xf numFmtId="9" fontId="0" fillId="0" borderId="0" xfId="3" applyFont="1" applyAlignment="1">
      <alignment horizontal="center"/>
    </xf>
    <xf numFmtId="4" fontId="8" fillId="11" borderId="26" xfId="0" applyNumberFormat="1" applyFont="1" applyFill="1" applyBorder="1" applyAlignment="1">
      <alignment horizontal="center"/>
    </xf>
    <xf numFmtId="4" fontId="8" fillId="6" borderId="26" xfId="0" applyNumberFormat="1" applyFont="1" applyFill="1" applyBorder="1" applyAlignment="1">
      <alignment horizontal="center"/>
    </xf>
    <xf numFmtId="4" fontId="8" fillId="0" borderId="26" xfId="0" applyNumberFormat="1" applyFont="1" applyBorder="1" applyAlignment="1">
      <alignment horizontal="center"/>
    </xf>
    <xf numFmtId="4" fontId="0" fillId="0" borderId="26" xfId="0" applyNumberFormat="1" applyBorder="1" applyAlignment="1">
      <alignment horizontal="center"/>
    </xf>
    <xf numFmtId="4" fontId="0" fillId="0" borderId="32" xfId="0" applyNumberFormat="1" applyBorder="1" applyAlignment="1">
      <alignment horizontal="center"/>
    </xf>
    <xf numFmtId="9" fontId="7" fillId="6" borderId="49" xfId="3" applyFont="1" applyFill="1" applyBorder="1" applyAlignment="1">
      <alignment horizontal="center"/>
    </xf>
    <xf numFmtId="9" fontId="0" fillId="6" borderId="49" xfId="3" applyFont="1" applyFill="1" applyBorder="1" applyAlignment="1">
      <alignment horizontal="center"/>
    </xf>
    <xf numFmtId="9" fontId="0" fillId="6" borderId="0" xfId="3" applyFont="1" applyFill="1" applyAlignment="1">
      <alignment horizontal="center" wrapText="1"/>
    </xf>
    <xf numFmtId="9" fontId="0" fillId="2" borderId="49" xfId="3" applyFont="1" applyFill="1" applyBorder="1" applyAlignment="1">
      <alignment horizontal="center"/>
    </xf>
    <xf numFmtId="9" fontId="0" fillId="6" borderId="1" xfId="3" applyFont="1" applyFill="1" applyBorder="1" applyAlignment="1">
      <alignment horizontal="center"/>
    </xf>
    <xf numFmtId="9" fontId="0" fillId="6" borderId="25" xfId="3" applyFont="1" applyFill="1" applyBorder="1" applyAlignment="1">
      <alignment horizontal="center" vertical="top" wrapText="1"/>
    </xf>
    <xf numFmtId="0" fontId="8" fillId="11" borderId="26" xfId="0" applyFont="1" applyFill="1" applyBorder="1" applyAlignment="1">
      <alignment horizontal="center"/>
    </xf>
    <xf numFmtId="4" fontId="8" fillId="6" borderId="32" xfId="0" applyNumberFormat="1" applyFont="1" applyFill="1" applyBorder="1" applyAlignment="1">
      <alignment horizontal="center"/>
    </xf>
    <xf numFmtId="4" fontId="8" fillId="11" borderId="28" xfId="0" applyNumberFormat="1" applyFont="1" applyFill="1" applyBorder="1" applyAlignment="1">
      <alignment horizontal="center"/>
    </xf>
    <xf numFmtId="9" fontId="0" fillId="0" borderId="49" xfId="3" applyFont="1" applyBorder="1" applyAlignment="1">
      <alignment horizontal="center" vertical="center"/>
    </xf>
    <xf numFmtId="4" fontId="0" fillId="6" borderId="5" xfId="0" applyNumberFormat="1" applyFill="1" applyBorder="1" applyAlignment="1">
      <alignment horizontal="center"/>
    </xf>
    <xf numFmtId="4" fontId="0" fillId="6" borderId="6" xfId="0" applyNumberFormat="1" applyFill="1" applyBorder="1" applyAlignment="1">
      <alignment horizontal="center" vertical="top" wrapText="1"/>
    </xf>
    <xf numFmtId="4" fontId="8" fillId="6" borderId="50" xfId="0" applyNumberFormat="1" applyFont="1" applyFill="1" applyBorder="1" applyAlignment="1">
      <alignment horizontal="center"/>
    </xf>
    <xf numFmtId="4" fontId="8" fillId="6" borderId="38" xfId="0" applyNumberFormat="1" applyFont="1" applyFill="1" applyBorder="1" applyAlignment="1">
      <alignment horizontal="center"/>
    </xf>
    <xf numFmtId="4" fontId="8" fillId="11" borderId="38" xfId="0" applyNumberFormat="1" applyFont="1" applyFill="1" applyBorder="1" applyAlignment="1">
      <alignment horizontal="center"/>
    </xf>
    <xf numFmtId="0" fontId="8" fillId="11" borderId="38" xfId="0" applyFont="1" applyFill="1" applyBorder="1" applyAlignment="1">
      <alignment horizontal="center"/>
    </xf>
    <xf numFmtId="4" fontId="8" fillId="6" borderId="33" xfId="0" applyNumberFormat="1" applyFont="1" applyFill="1" applyBorder="1" applyAlignment="1">
      <alignment horizontal="center"/>
    </xf>
    <xf numFmtId="4" fontId="8" fillId="11" borderId="30" xfId="0" applyNumberFormat="1" applyFont="1" applyFill="1" applyBorder="1" applyAlignment="1">
      <alignment horizontal="center"/>
    </xf>
    <xf numFmtId="4" fontId="0" fillId="6" borderId="38" xfId="0" applyNumberFormat="1" applyFill="1" applyBorder="1" applyAlignment="1">
      <alignment horizontal="center"/>
    </xf>
    <xf numFmtId="4" fontId="0" fillId="6" borderId="8" xfId="0" applyNumberFormat="1" applyFill="1" applyBorder="1" applyAlignment="1">
      <alignment horizontal="center"/>
    </xf>
    <xf numFmtId="4" fontId="9" fillId="6" borderId="10" xfId="0" applyNumberFormat="1" applyFont="1" applyFill="1" applyBorder="1" applyAlignment="1">
      <alignment horizontal="center"/>
    </xf>
    <xf numFmtId="4" fontId="7" fillId="6" borderId="17" xfId="0" applyNumberFormat="1" applyFont="1" applyFill="1" applyBorder="1" applyAlignment="1">
      <alignment horizontal="center"/>
    </xf>
    <xf numFmtId="4" fontId="7" fillId="6" borderId="51" xfId="0" applyNumberFormat="1" applyFont="1" applyFill="1" applyBorder="1" applyAlignment="1">
      <alignment horizontal="center"/>
    </xf>
    <xf numFmtId="4" fontId="2" fillId="6" borderId="10" xfId="0" applyNumberFormat="1" applyFont="1" applyFill="1" applyBorder="1" applyAlignment="1">
      <alignment horizontal="center"/>
    </xf>
    <xf numFmtId="4" fontId="7" fillId="6" borderId="23" xfId="0" applyNumberFormat="1" applyFont="1" applyFill="1" applyBorder="1" applyAlignment="1">
      <alignment horizontal="center"/>
    </xf>
    <xf numFmtId="4" fontId="2" fillId="6" borderId="51" xfId="0" applyNumberFormat="1" applyFont="1" applyFill="1" applyBorder="1" applyAlignment="1">
      <alignment horizontal="center"/>
    </xf>
    <xf numFmtId="4" fontId="2" fillId="11" borderId="51" xfId="0" applyNumberFormat="1" applyFont="1" applyFill="1" applyBorder="1" applyAlignment="1">
      <alignment horizontal="center"/>
    </xf>
    <xf numFmtId="4" fontId="2" fillId="6" borderId="31" xfId="0" applyNumberFormat="1" applyFont="1" applyFill="1" applyBorder="1" applyAlignment="1">
      <alignment horizontal="center"/>
    </xf>
    <xf numFmtId="4" fontId="0" fillId="6" borderId="52" xfId="0" applyNumberFormat="1" applyFill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4" fontId="8" fillId="6" borderId="19" xfId="0" applyNumberFormat="1" applyFont="1" applyFill="1" applyBorder="1" applyAlignment="1">
      <alignment horizontal="center"/>
    </xf>
    <xf numFmtId="0" fontId="6" fillId="6" borderId="53" xfId="0" applyFont="1" applyFill="1" applyBorder="1" applyAlignment="1">
      <alignment horizontal="center"/>
    </xf>
    <xf numFmtId="9" fontId="0" fillId="0" borderId="54" xfId="3" applyFont="1" applyBorder="1" applyAlignment="1">
      <alignment horizontal="center" vertical="center"/>
    </xf>
    <xf numFmtId="9" fontId="0" fillId="6" borderId="54" xfId="3" applyFont="1" applyFill="1" applyBorder="1" applyAlignment="1">
      <alignment horizontal="center"/>
    </xf>
    <xf numFmtId="9" fontId="0" fillId="7" borderId="54" xfId="3" applyFont="1" applyFill="1" applyBorder="1" applyAlignment="1">
      <alignment horizontal="center" vertical="center"/>
    </xf>
    <xf numFmtId="9" fontId="0" fillId="7" borderId="49" xfId="3" applyFont="1" applyFill="1" applyBorder="1" applyAlignment="1">
      <alignment horizontal="center" vertical="center"/>
    </xf>
    <xf numFmtId="9" fontId="0" fillId="0" borderId="55" xfId="3" applyFont="1" applyBorder="1" applyAlignment="1">
      <alignment horizontal="center" vertical="center"/>
    </xf>
    <xf numFmtId="9" fontId="0" fillId="0" borderId="56" xfId="3" applyFont="1" applyBorder="1" applyAlignment="1">
      <alignment horizontal="center" vertical="center"/>
    </xf>
    <xf numFmtId="4" fontId="2" fillId="3" borderId="40" xfId="0" applyNumberFormat="1" applyFont="1" applyFill="1" applyBorder="1" applyAlignment="1">
      <alignment horizontal="center"/>
    </xf>
    <xf numFmtId="4" fontId="7" fillId="3" borderId="40" xfId="0" applyNumberFormat="1" applyFont="1" applyFill="1" applyBorder="1" applyAlignment="1">
      <alignment horizontal="center"/>
    </xf>
    <xf numFmtId="10" fontId="7" fillId="3" borderId="40" xfId="0" applyNumberFormat="1" applyFont="1" applyFill="1" applyBorder="1" applyAlignment="1">
      <alignment horizontal="center"/>
    </xf>
    <xf numFmtId="4" fontId="2" fillId="4" borderId="40" xfId="0" applyNumberFormat="1" applyFont="1" applyFill="1" applyBorder="1" applyAlignment="1">
      <alignment horizontal="center"/>
    </xf>
    <xf numFmtId="4" fontId="7" fillId="4" borderId="40" xfId="0" applyNumberFormat="1" applyFont="1" applyFill="1" applyBorder="1" applyAlignment="1">
      <alignment horizontal="center"/>
    </xf>
    <xf numFmtId="10" fontId="7" fillId="4" borderId="57" xfId="0" applyNumberFormat="1" applyFont="1" applyFill="1" applyBorder="1" applyAlignment="1">
      <alignment horizontal="center"/>
    </xf>
    <xf numFmtId="4" fontId="7" fillId="5" borderId="57" xfId="0" applyNumberFormat="1" applyFont="1" applyFill="1" applyBorder="1" applyAlignment="1">
      <alignment horizontal="center"/>
    </xf>
    <xf numFmtId="4" fontId="7" fillId="5" borderId="40" xfId="0" applyNumberFormat="1" applyFont="1" applyFill="1" applyBorder="1" applyAlignment="1">
      <alignment horizontal="center"/>
    </xf>
    <xf numFmtId="4" fontId="11" fillId="0" borderId="24" xfId="0" applyNumberFormat="1" applyFont="1" applyBorder="1" applyAlignment="1">
      <alignment horizontal="center"/>
    </xf>
    <xf numFmtId="9" fontId="7" fillId="6" borderId="56" xfId="3" applyFont="1" applyFill="1" applyBorder="1" applyAlignment="1">
      <alignment horizontal="center"/>
    </xf>
    <xf numFmtId="0" fontId="1" fillId="11" borderId="43" xfId="0" applyFont="1" applyFill="1" applyBorder="1" applyAlignment="1">
      <alignment horizontal="center"/>
    </xf>
    <xf numFmtId="0" fontId="1" fillId="11" borderId="46" xfId="0" applyFont="1" applyFill="1" applyBorder="1" applyAlignment="1">
      <alignment horizontal="center"/>
    </xf>
    <xf numFmtId="0" fontId="8" fillId="11" borderId="25" xfId="0" applyFont="1" applyFill="1" applyBorder="1"/>
    <xf numFmtId="4" fontId="8" fillId="11" borderId="25" xfId="0" applyNumberFormat="1" applyFont="1" applyFill="1" applyBorder="1" applyAlignment="1">
      <alignment horizontal="left"/>
    </xf>
    <xf numFmtId="4" fontId="8" fillId="11" borderId="24" xfId="0" applyNumberFormat="1" applyFont="1" applyFill="1" applyBorder="1" applyAlignment="1">
      <alignment horizontal="center"/>
    </xf>
    <xf numFmtId="4" fontId="8" fillId="11" borderId="0" xfId="0" applyNumberFormat="1" applyFont="1" applyFill="1" applyAlignment="1">
      <alignment horizontal="center"/>
    </xf>
    <xf numFmtId="4" fontId="8" fillId="11" borderId="48" xfId="0" applyNumberFormat="1" applyFont="1" applyFill="1" applyBorder="1" applyAlignment="1">
      <alignment horizontal="center"/>
    </xf>
    <xf numFmtId="9" fontId="0" fillId="0" borderId="58" xfId="3" applyFont="1" applyBorder="1" applyAlignment="1">
      <alignment horizontal="center" vertical="center"/>
    </xf>
    <xf numFmtId="9" fontId="0" fillId="0" borderId="59" xfId="3" applyFont="1" applyBorder="1" applyAlignment="1">
      <alignment horizontal="center" vertical="center"/>
    </xf>
    <xf numFmtId="4" fontId="8" fillId="11" borderId="25" xfId="0" applyNumberFormat="1" applyFont="1" applyFill="1" applyBorder="1" applyAlignment="1">
      <alignment horizontal="center"/>
    </xf>
    <xf numFmtId="165" fontId="8" fillId="11" borderId="25" xfId="0" applyNumberFormat="1" applyFont="1" applyFill="1" applyBorder="1" applyAlignment="1">
      <alignment horizontal="center"/>
    </xf>
    <xf numFmtId="4" fontId="1" fillId="11" borderId="43" xfId="0" applyNumberFormat="1" applyFont="1" applyFill="1" applyBorder="1" applyAlignment="1">
      <alignment horizontal="center"/>
    </xf>
    <xf numFmtId="4" fontId="0" fillId="11" borderId="25" xfId="0" applyNumberFormat="1" applyFill="1" applyBorder="1" applyAlignment="1">
      <alignment horizontal="center"/>
    </xf>
    <xf numFmtId="10" fontId="0" fillId="11" borderId="24" xfId="0" applyNumberFormat="1" applyFill="1" applyBorder="1" applyAlignment="1">
      <alignment horizontal="center"/>
    </xf>
    <xf numFmtId="4" fontId="0" fillId="11" borderId="24" xfId="0" applyNumberFormat="1" applyFill="1" applyBorder="1" applyAlignment="1">
      <alignment horizontal="center"/>
    </xf>
    <xf numFmtId="4" fontId="13" fillId="6" borderId="26" xfId="0" applyNumberFormat="1" applyFont="1" applyFill="1" applyBorder="1" applyAlignment="1">
      <alignment horizontal="center"/>
    </xf>
    <xf numFmtId="4" fontId="13" fillId="6" borderId="38" xfId="0" applyNumberFormat="1" applyFont="1" applyFill="1" applyBorder="1" applyAlignment="1">
      <alignment horizontal="center"/>
    </xf>
    <xf numFmtId="9" fontId="0" fillId="0" borderId="60" xfId="3" applyFont="1" applyBorder="1" applyAlignment="1">
      <alignment horizontal="center" vertical="center"/>
    </xf>
    <xf numFmtId="9" fontId="0" fillId="0" borderId="61" xfId="3" applyFont="1" applyBorder="1" applyAlignment="1">
      <alignment horizontal="center" vertical="center"/>
    </xf>
    <xf numFmtId="10" fontId="7" fillId="4" borderId="26" xfId="0" applyNumberFormat="1" applyFont="1" applyFill="1" applyBorder="1" applyAlignment="1">
      <alignment horizontal="center"/>
    </xf>
    <xf numFmtId="4" fontId="7" fillId="5" borderId="26" xfId="0" applyNumberFormat="1" applyFont="1" applyFill="1" applyBorder="1" applyAlignment="1">
      <alignment horizontal="center"/>
    </xf>
    <xf numFmtId="9" fontId="7" fillId="6" borderId="38" xfId="3" applyFont="1" applyFill="1" applyBorder="1" applyAlignment="1">
      <alignment horizontal="center"/>
    </xf>
    <xf numFmtId="3" fontId="7" fillId="0" borderId="38" xfId="0" applyNumberFormat="1" applyFont="1" applyBorder="1" applyAlignment="1">
      <alignment horizontal="center"/>
    </xf>
    <xf numFmtId="0" fontId="7" fillId="0" borderId="38" xfId="0" applyFont="1" applyBorder="1"/>
    <xf numFmtId="4" fontId="13" fillId="11" borderId="26" xfId="0" applyNumberFormat="1" applyFont="1" applyFill="1" applyBorder="1" applyAlignment="1">
      <alignment horizontal="center"/>
    </xf>
    <xf numFmtId="4" fontId="13" fillId="11" borderId="38" xfId="0" applyNumberFormat="1" applyFont="1" applyFill="1" applyBorder="1" applyAlignment="1">
      <alignment horizontal="center"/>
    </xf>
    <xf numFmtId="4" fontId="7" fillId="11" borderId="26" xfId="0" applyNumberFormat="1" applyFont="1" applyFill="1" applyBorder="1" applyAlignment="1">
      <alignment horizontal="center"/>
    </xf>
    <xf numFmtId="4" fontId="7" fillId="11" borderId="38" xfId="0" applyNumberFormat="1" applyFont="1" applyFill="1" applyBorder="1" applyAlignment="1">
      <alignment horizontal="center"/>
    </xf>
    <xf numFmtId="3" fontId="7" fillId="11" borderId="38" xfId="0" applyNumberFormat="1" applyFont="1" applyFill="1" applyBorder="1" applyAlignment="1">
      <alignment horizontal="center"/>
    </xf>
    <xf numFmtId="0" fontId="7" fillId="11" borderId="38" xfId="0" applyFont="1" applyFill="1" applyBorder="1"/>
    <xf numFmtId="4" fontId="8" fillId="6" borderId="36" xfId="0" applyNumberFormat="1" applyFont="1" applyFill="1" applyBorder="1" applyAlignment="1">
      <alignment horizontal="center"/>
    </xf>
    <xf numFmtId="4" fontId="13" fillId="6" borderId="36" xfId="0" applyNumberFormat="1" applyFont="1" applyFill="1" applyBorder="1" applyAlignment="1">
      <alignment horizontal="center"/>
    </xf>
    <xf numFmtId="4" fontId="8" fillId="6" borderId="46" xfId="0" applyNumberFormat="1" applyFont="1" applyFill="1" applyBorder="1" applyAlignment="1">
      <alignment horizontal="center"/>
    </xf>
    <xf numFmtId="4" fontId="8" fillId="6" borderId="37" xfId="0" applyNumberFormat="1" applyFont="1" applyFill="1" applyBorder="1" applyAlignment="1">
      <alignment horizontal="center"/>
    </xf>
    <xf numFmtId="4" fontId="0" fillId="6" borderId="36" xfId="0" applyNumberFormat="1" applyFill="1" applyBorder="1" applyAlignment="1">
      <alignment horizontal="center"/>
    </xf>
    <xf numFmtId="4" fontId="0" fillId="6" borderId="46" xfId="0" applyNumberFormat="1" applyFill="1" applyBorder="1" applyAlignment="1">
      <alignment horizontal="center"/>
    </xf>
    <xf numFmtId="4" fontId="13" fillId="6" borderId="7" xfId="0" applyNumberFormat="1" applyFont="1" applyFill="1" applyBorder="1" applyAlignment="1">
      <alignment horizontal="center"/>
    </xf>
    <xf numFmtId="4" fontId="13" fillId="11" borderId="7" xfId="0" applyNumberFormat="1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4" fontId="0" fillId="6" borderId="39" xfId="0" applyNumberFormat="1" applyFill="1" applyBorder="1" applyAlignment="1">
      <alignment horizontal="center"/>
    </xf>
    <xf numFmtId="4" fontId="8" fillId="6" borderId="66" xfId="0" applyNumberFormat="1" applyFont="1" applyFill="1" applyBorder="1" applyAlignment="1">
      <alignment horizontal="center"/>
    </xf>
    <xf numFmtId="4" fontId="0" fillId="6" borderId="67" xfId="0" applyNumberFormat="1" applyFill="1" applyBorder="1" applyAlignment="1">
      <alignment horizontal="center"/>
    </xf>
    <xf numFmtId="4" fontId="0" fillId="6" borderId="66" xfId="0" applyNumberFormat="1" applyFill="1" applyBorder="1" applyAlignment="1">
      <alignment horizontal="center"/>
    </xf>
    <xf numFmtId="0" fontId="15" fillId="0" borderId="68" xfId="0" applyFont="1" applyBorder="1" applyAlignment="1">
      <alignment horizontal="center" vertical="center"/>
    </xf>
    <xf numFmtId="9" fontId="15" fillId="0" borderId="68" xfId="3" applyFont="1" applyBorder="1" applyAlignment="1">
      <alignment horizontal="center" vertical="center"/>
    </xf>
    <xf numFmtId="9" fontId="0" fillId="6" borderId="67" xfId="3" applyFont="1" applyFill="1" applyBorder="1" applyAlignment="1">
      <alignment horizontal="center" vertical="top" wrapText="1"/>
    </xf>
    <xf numFmtId="9" fontId="0" fillId="0" borderId="69" xfId="3" applyFont="1" applyBorder="1" applyAlignment="1">
      <alignment horizontal="center" vertical="center"/>
    </xf>
    <xf numFmtId="9" fontId="0" fillId="0" borderId="70" xfId="3" applyFont="1" applyBorder="1" applyAlignment="1">
      <alignment horizontal="center" vertical="center"/>
    </xf>
    <xf numFmtId="4" fontId="13" fillId="11" borderId="36" xfId="0" applyNumberFormat="1" applyFont="1" applyFill="1" applyBorder="1" applyAlignment="1">
      <alignment horizontal="center"/>
    </xf>
    <xf numFmtId="9" fontId="0" fillId="11" borderId="60" xfId="3" applyFont="1" applyFill="1" applyBorder="1" applyAlignment="1">
      <alignment horizontal="center" vertical="center"/>
    </xf>
    <xf numFmtId="9" fontId="0" fillId="11" borderId="61" xfId="3" applyFont="1" applyFill="1" applyBorder="1" applyAlignment="1">
      <alignment horizontal="center" vertical="center"/>
    </xf>
    <xf numFmtId="4" fontId="7" fillId="11" borderId="51" xfId="0" applyNumberFormat="1" applyFont="1" applyFill="1" applyBorder="1" applyAlignment="1">
      <alignment horizontal="center"/>
    </xf>
    <xf numFmtId="10" fontId="7" fillId="11" borderId="26" xfId="0" applyNumberFormat="1" applyFont="1" applyFill="1" applyBorder="1" applyAlignment="1">
      <alignment horizontal="center"/>
    </xf>
    <xf numFmtId="9" fontId="7" fillId="11" borderId="38" xfId="3" applyFont="1" applyFill="1" applyBorder="1" applyAlignment="1">
      <alignment horizontal="center"/>
    </xf>
    <xf numFmtId="4" fontId="2" fillId="3" borderId="13" xfId="0" applyNumberFormat="1" applyFont="1" applyFill="1" applyBorder="1" applyAlignment="1">
      <alignment horizontal="center"/>
    </xf>
    <xf numFmtId="10" fontId="7" fillId="4" borderId="21" xfId="0" applyNumberFormat="1" applyFont="1" applyFill="1" applyBorder="1" applyAlignment="1">
      <alignment horizontal="center"/>
    </xf>
    <xf numFmtId="4" fontId="7" fillId="5" borderId="21" xfId="0" applyNumberFormat="1" applyFont="1" applyFill="1" applyBorder="1" applyAlignment="1">
      <alignment horizontal="center"/>
    </xf>
    <xf numFmtId="4" fontId="7" fillId="5" borderId="13" xfId="0" applyNumberFormat="1" applyFont="1" applyFill="1" applyBorder="1" applyAlignment="1">
      <alignment horizontal="center"/>
    </xf>
    <xf numFmtId="9" fontId="0" fillId="12" borderId="60" xfId="3" applyFont="1" applyFill="1" applyBorder="1" applyAlignment="1">
      <alignment horizontal="center" vertical="center"/>
    </xf>
    <xf numFmtId="9" fontId="0" fillId="12" borderId="61" xfId="3" applyFont="1" applyFill="1" applyBorder="1" applyAlignment="1">
      <alignment horizontal="center" vertical="center"/>
    </xf>
    <xf numFmtId="4" fontId="1" fillId="12" borderId="7" xfId="0" applyNumberFormat="1" applyFont="1" applyFill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4" fontId="8" fillId="12" borderId="50" xfId="0" applyNumberFormat="1" applyFont="1" applyFill="1" applyBorder="1" applyAlignment="1">
      <alignment horizontal="center"/>
    </xf>
    <xf numFmtId="165" fontId="8" fillId="12" borderId="27" xfId="0" applyNumberFormat="1" applyFont="1" applyFill="1" applyBorder="1" applyAlignment="1">
      <alignment horizontal="center"/>
    </xf>
    <xf numFmtId="4" fontId="7" fillId="12" borderId="0" xfId="0" applyNumberFormat="1" applyFont="1" applyFill="1" applyAlignment="1">
      <alignment horizontal="center"/>
    </xf>
    <xf numFmtId="3" fontId="7" fillId="12" borderId="0" xfId="0" applyNumberFormat="1" applyFont="1" applyFill="1" applyAlignment="1">
      <alignment horizontal="center"/>
    </xf>
    <xf numFmtId="0" fontId="7" fillId="12" borderId="0" xfId="0" applyFont="1" applyFill="1"/>
    <xf numFmtId="4" fontId="8" fillId="11" borderId="36" xfId="0" applyNumberFormat="1" applyFont="1" applyFill="1" applyBorder="1" applyAlignment="1">
      <alignment horizontal="center"/>
    </xf>
    <xf numFmtId="9" fontId="0" fillId="11" borderId="54" xfId="3" applyFont="1" applyFill="1" applyBorder="1" applyAlignment="1">
      <alignment horizontal="center" vertical="center"/>
    </xf>
    <xf numFmtId="9" fontId="0" fillId="11" borderId="49" xfId="3" applyFont="1" applyFill="1" applyBorder="1" applyAlignment="1">
      <alignment horizontal="center" vertical="center"/>
    </xf>
    <xf numFmtId="9" fontId="0" fillId="11" borderId="49" xfId="3" applyFont="1" applyFill="1" applyBorder="1" applyAlignment="1">
      <alignment horizontal="center"/>
    </xf>
    <xf numFmtId="9" fontId="7" fillId="11" borderId="49" xfId="3" applyFont="1" applyFill="1" applyBorder="1" applyAlignment="1">
      <alignment horizontal="center"/>
    </xf>
    <xf numFmtId="4" fontId="7" fillId="11" borderId="0" xfId="0" applyNumberFormat="1" applyFont="1" applyFill="1" applyAlignment="1">
      <alignment horizontal="center"/>
    </xf>
    <xf numFmtId="3" fontId="7" fillId="11" borderId="0" xfId="0" applyNumberFormat="1" applyFont="1" applyFill="1" applyAlignment="1">
      <alignment horizontal="center"/>
    </xf>
    <xf numFmtId="0" fontId="7" fillId="11" borderId="0" xfId="0" applyFont="1" applyFill="1"/>
    <xf numFmtId="0" fontId="7" fillId="11" borderId="7" xfId="0" applyFont="1" applyFill="1" applyBorder="1"/>
    <xf numFmtId="4" fontId="7" fillId="11" borderId="28" xfId="0" applyNumberFormat="1" applyFont="1" applyFill="1" applyBorder="1" applyAlignment="1">
      <alignment horizontal="center"/>
    </xf>
    <xf numFmtId="4" fontId="0" fillId="11" borderId="30" xfId="0" applyNumberFormat="1" applyFill="1" applyBorder="1" applyAlignment="1">
      <alignment horizontal="center"/>
    </xf>
    <xf numFmtId="3" fontId="0" fillId="11" borderId="30" xfId="0" applyNumberFormat="1" applyFill="1" applyBorder="1" applyAlignment="1">
      <alignment horizontal="center"/>
    </xf>
    <xf numFmtId="0" fontId="0" fillId="11" borderId="30" xfId="0" applyFill="1" applyBorder="1"/>
    <xf numFmtId="4" fontId="0" fillId="6" borderId="0" xfId="0" applyNumberFormat="1" applyFill="1" applyAlignment="1">
      <alignment horizontal="center" vertical="top" wrapText="1"/>
    </xf>
    <xf numFmtId="4" fontId="8" fillId="12" borderId="15" xfId="0" applyNumberFormat="1" applyFont="1" applyFill="1" applyBorder="1" applyAlignment="1">
      <alignment horizontal="center"/>
    </xf>
    <xf numFmtId="4" fontId="8" fillId="12" borderId="27" xfId="0" applyNumberFormat="1" applyFont="1" applyFill="1" applyBorder="1" applyAlignment="1">
      <alignment horizontal="center"/>
    </xf>
    <xf numFmtId="4" fontId="7" fillId="12" borderId="15" xfId="0" applyNumberFormat="1" applyFont="1" applyFill="1" applyBorder="1" applyAlignment="1">
      <alignment horizontal="center"/>
    </xf>
    <xf numFmtId="165" fontId="8" fillId="6" borderId="27" xfId="0" applyNumberFormat="1" applyFont="1" applyFill="1" applyBorder="1" applyAlignment="1">
      <alignment horizontal="center"/>
    </xf>
    <xf numFmtId="10" fontId="7" fillId="12" borderId="15" xfId="0" applyNumberFormat="1" applyFont="1" applyFill="1" applyBorder="1" applyAlignment="1">
      <alignment horizontal="center"/>
    </xf>
    <xf numFmtId="4" fontId="7" fillId="12" borderId="16" xfId="0" applyNumberFormat="1" applyFont="1" applyFill="1" applyBorder="1" applyAlignment="1">
      <alignment horizontal="center"/>
    </xf>
    <xf numFmtId="4" fontId="8" fillId="11" borderId="7" xfId="0" applyNumberFormat="1" applyFont="1" applyFill="1" applyBorder="1" applyAlignment="1">
      <alignment horizontal="left" wrapText="1"/>
    </xf>
    <xf numFmtId="9" fontId="7" fillId="11" borderId="61" xfId="3" applyFont="1" applyFill="1" applyBorder="1" applyAlignment="1">
      <alignment horizontal="center"/>
    </xf>
    <xf numFmtId="0" fontId="8" fillId="11" borderId="7" xfId="0" applyFont="1" applyFill="1" applyBorder="1" applyAlignment="1">
      <alignment vertical="center"/>
    </xf>
    <xf numFmtId="4" fontId="8" fillId="11" borderId="7" xfId="0" applyNumberFormat="1" applyFont="1" applyFill="1" applyBorder="1" applyAlignment="1">
      <alignment horizontal="left" vertical="center"/>
    </xf>
    <xf numFmtId="4" fontId="8" fillId="11" borderId="26" xfId="0" applyNumberFormat="1" applyFont="1" applyFill="1" applyBorder="1" applyAlignment="1">
      <alignment horizontal="center" vertical="center"/>
    </xf>
    <xf numFmtId="4" fontId="8" fillId="11" borderId="7" xfId="0" applyNumberFormat="1" applyFont="1" applyFill="1" applyBorder="1" applyAlignment="1">
      <alignment horizontal="center" vertical="center"/>
    </xf>
    <xf numFmtId="4" fontId="8" fillId="11" borderId="36" xfId="0" applyNumberFormat="1" applyFont="1" applyFill="1" applyBorder="1" applyAlignment="1">
      <alignment horizontal="center" vertical="center"/>
    </xf>
    <xf numFmtId="4" fontId="8" fillId="11" borderId="38" xfId="0" applyNumberFormat="1" applyFont="1" applyFill="1" applyBorder="1" applyAlignment="1">
      <alignment horizontal="center" vertical="center"/>
    </xf>
    <xf numFmtId="166" fontId="14" fillId="11" borderId="7" xfId="0" applyNumberFormat="1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/>
    </xf>
    <xf numFmtId="4" fontId="8" fillId="11" borderId="51" xfId="0" applyNumberFormat="1" applyFont="1" applyFill="1" applyBorder="1" applyAlignment="1">
      <alignment horizontal="center"/>
    </xf>
    <xf numFmtId="10" fontId="0" fillId="11" borderId="7" xfId="0" applyNumberFormat="1" applyFill="1" applyBorder="1" applyAlignment="1">
      <alignment horizontal="center"/>
    </xf>
    <xf numFmtId="10" fontId="0" fillId="11" borderId="26" xfId="0" applyNumberFormat="1" applyFill="1" applyBorder="1" applyAlignment="1">
      <alignment horizontal="center"/>
    </xf>
    <xf numFmtId="4" fontId="0" fillId="11" borderId="38" xfId="0" applyNumberFormat="1" applyFill="1" applyBorder="1" applyAlignment="1">
      <alignment horizontal="center"/>
    </xf>
    <xf numFmtId="4" fontId="0" fillId="11" borderId="26" xfId="0" applyNumberFormat="1" applyFill="1" applyBorder="1" applyAlignment="1">
      <alignment horizontal="center"/>
    </xf>
    <xf numFmtId="9" fontId="12" fillId="11" borderId="61" xfId="3" applyFont="1" applyFill="1" applyBorder="1" applyAlignment="1">
      <alignment horizontal="center"/>
    </xf>
    <xf numFmtId="9" fontId="8" fillId="11" borderId="61" xfId="3" applyFont="1" applyFill="1" applyBorder="1" applyAlignment="1">
      <alignment horizontal="center"/>
    </xf>
    <xf numFmtId="3" fontId="8" fillId="11" borderId="38" xfId="0" applyNumberFormat="1" applyFont="1" applyFill="1" applyBorder="1" applyAlignment="1">
      <alignment horizontal="center"/>
    </xf>
    <xf numFmtId="0" fontId="8" fillId="11" borderId="38" xfId="0" applyFont="1" applyFill="1" applyBorder="1"/>
    <xf numFmtId="0" fontId="6" fillId="12" borderId="7" xfId="0" applyFont="1" applyFill="1" applyBorder="1" applyAlignment="1">
      <alignment horizontal="center"/>
    </xf>
    <xf numFmtId="0" fontId="8" fillId="12" borderId="7" xfId="0" applyFont="1" applyFill="1" applyBorder="1"/>
    <xf numFmtId="4" fontId="8" fillId="12" borderId="36" xfId="0" applyNumberFormat="1" applyFont="1" applyFill="1" applyBorder="1" applyAlignment="1">
      <alignment horizontal="center"/>
    </xf>
    <xf numFmtId="9" fontId="0" fillId="12" borderId="64" xfId="3" applyFont="1" applyFill="1" applyBorder="1" applyAlignment="1">
      <alignment horizontal="center" vertical="center"/>
    </xf>
    <xf numFmtId="9" fontId="0" fillId="12" borderId="71" xfId="3" applyFont="1" applyFill="1" applyBorder="1" applyAlignment="1">
      <alignment horizontal="center" vertical="center"/>
    </xf>
    <xf numFmtId="4" fontId="8" fillId="12" borderId="38" xfId="0" applyNumberFormat="1" applyFont="1" applyFill="1" applyBorder="1" applyAlignment="1">
      <alignment horizontal="center"/>
    </xf>
    <xf numFmtId="4" fontId="7" fillId="12" borderId="51" xfId="0" applyNumberFormat="1" applyFont="1" applyFill="1" applyBorder="1" applyAlignment="1">
      <alignment horizontal="center"/>
    </xf>
    <xf numFmtId="165" fontId="8" fillId="12" borderId="7" xfId="0" applyNumberFormat="1" applyFont="1" applyFill="1" applyBorder="1" applyAlignment="1">
      <alignment horizontal="center"/>
    </xf>
    <xf numFmtId="10" fontId="7" fillId="12" borderId="7" xfId="0" applyNumberFormat="1" applyFont="1" applyFill="1" applyBorder="1" applyAlignment="1">
      <alignment horizontal="center"/>
    </xf>
    <xf numFmtId="4" fontId="7" fillId="12" borderId="38" xfId="0" applyNumberFormat="1" applyFont="1" applyFill="1" applyBorder="1" applyAlignment="1">
      <alignment horizontal="center"/>
    </xf>
    <xf numFmtId="9" fontId="7" fillId="12" borderId="64" xfId="3" applyFont="1" applyFill="1" applyBorder="1" applyAlignment="1">
      <alignment horizontal="center"/>
    </xf>
    <xf numFmtId="9" fontId="7" fillId="12" borderId="61" xfId="3" applyFont="1" applyFill="1" applyBorder="1" applyAlignment="1">
      <alignment horizontal="center"/>
    </xf>
    <xf numFmtId="4" fontId="7" fillId="12" borderId="64" xfId="0" applyNumberFormat="1" applyFont="1" applyFill="1" applyBorder="1" applyAlignment="1">
      <alignment horizontal="center"/>
    </xf>
    <xf numFmtId="3" fontId="7" fillId="12" borderId="38" xfId="0" applyNumberFormat="1" applyFont="1" applyFill="1" applyBorder="1" applyAlignment="1">
      <alignment horizontal="center"/>
    </xf>
    <xf numFmtId="0" fontId="7" fillId="12" borderId="38" xfId="0" applyFont="1" applyFill="1" applyBorder="1"/>
    <xf numFmtId="4" fontId="13" fillId="12" borderId="7" xfId="0" applyNumberFormat="1" applyFont="1" applyFill="1" applyBorder="1" applyAlignment="1">
      <alignment horizontal="center"/>
    </xf>
    <xf numFmtId="4" fontId="13" fillId="12" borderId="38" xfId="0" applyNumberFormat="1" applyFont="1" applyFill="1" applyBorder="1" applyAlignment="1">
      <alignment horizontal="center"/>
    </xf>
    <xf numFmtId="4" fontId="2" fillId="12" borderId="51" xfId="0" applyNumberFormat="1" applyFont="1" applyFill="1" applyBorder="1" applyAlignment="1">
      <alignment horizontal="center"/>
    </xf>
    <xf numFmtId="9" fontId="7" fillId="12" borderId="38" xfId="3" applyFont="1" applyFill="1" applyBorder="1" applyAlignment="1">
      <alignment horizontal="center"/>
    </xf>
    <xf numFmtId="10" fontId="16" fillId="12" borderId="7" xfId="0" applyNumberFormat="1" applyFont="1" applyFill="1" applyBorder="1" applyAlignment="1">
      <alignment horizontal="center"/>
    </xf>
    <xf numFmtId="4" fontId="7" fillId="12" borderId="21" xfId="0" applyNumberFormat="1" applyFont="1" applyFill="1" applyBorder="1" applyAlignment="1">
      <alignment horizontal="center"/>
    </xf>
    <xf numFmtId="4" fontId="7" fillId="12" borderId="13" xfId="0" applyNumberFormat="1" applyFont="1" applyFill="1" applyBorder="1" applyAlignment="1">
      <alignment horizontal="center"/>
    </xf>
    <xf numFmtId="10" fontId="7" fillId="12" borderId="21" xfId="0" applyNumberFormat="1" applyFont="1" applyFill="1" applyBorder="1" applyAlignment="1">
      <alignment horizontal="center"/>
    </xf>
    <xf numFmtId="9" fontId="0" fillId="0" borderId="0" xfId="3" applyFont="1" applyBorder="1" applyAlignment="1">
      <alignment horizontal="center" vertical="center"/>
    </xf>
    <xf numFmtId="165" fontId="8" fillId="6" borderId="43" xfId="0" applyNumberFormat="1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11" fillId="11" borderId="7" xfId="0" applyNumberFormat="1" applyFont="1" applyFill="1" applyBorder="1" applyAlignment="1">
      <alignment horizontal="center"/>
    </xf>
    <xf numFmtId="4" fontId="1" fillId="11" borderId="27" xfId="0" applyNumberFormat="1" applyFont="1" applyFill="1" applyBorder="1" applyAlignment="1">
      <alignment horizontal="center"/>
    </xf>
    <xf numFmtId="4" fontId="0" fillId="6" borderId="29" xfId="0" applyNumberFormat="1" applyFill="1" applyBorder="1" applyAlignment="1">
      <alignment horizontal="center"/>
    </xf>
    <xf numFmtId="4" fontId="8" fillId="11" borderId="27" xfId="0" applyNumberFormat="1" applyFont="1" applyFill="1" applyBorder="1" applyAlignment="1">
      <alignment horizontal="center"/>
    </xf>
    <xf numFmtId="4" fontId="8" fillId="6" borderId="65" xfId="0" applyNumberFormat="1" applyFont="1" applyFill="1" applyBorder="1" applyAlignment="1">
      <alignment horizontal="center"/>
    </xf>
    <xf numFmtId="9" fontId="0" fillId="0" borderId="72" xfId="3" applyFont="1" applyBorder="1" applyAlignment="1">
      <alignment horizontal="center" vertical="center"/>
    </xf>
    <xf numFmtId="9" fontId="0" fillId="0" borderId="73" xfId="3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/>
    </xf>
    <xf numFmtId="4" fontId="7" fillId="13" borderId="7" xfId="0" applyNumberFormat="1" applyFont="1" applyFill="1" applyBorder="1" applyAlignment="1">
      <alignment horizontal="center"/>
    </xf>
    <xf numFmtId="10" fontId="0" fillId="13" borderId="25" xfId="0" applyNumberForma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9" fontId="7" fillId="6" borderId="63" xfId="3" applyFont="1" applyFill="1" applyBorder="1" applyAlignment="1">
      <alignment horizontal="center"/>
    </xf>
    <xf numFmtId="9" fontId="7" fillId="6" borderId="61" xfId="3" applyFont="1" applyFill="1" applyBorder="1" applyAlignment="1">
      <alignment horizontal="center"/>
    </xf>
    <xf numFmtId="9" fontId="12" fillId="6" borderId="61" xfId="3" applyFont="1" applyFill="1" applyBorder="1" applyAlignment="1">
      <alignment horizontal="center"/>
    </xf>
    <xf numFmtId="4" fontId="8" fillId="11" borderId="62" xfId="0" applyNumberFormat="1" applyFont="1" applyFill="1" applyBorder="1" applyAlignment="1">
      <alignment horizontal="center"/>
    </xf>
    <xf numFmtId="9" fontId="7" fillId="2" borderId="0" xfId="3" applyFont="1" applyFill="1" applyAlignment="1">
      <alignment horizontal="center"/>
    </xf>
    <xf numFmtId="9" fontId="7" fillId="2" borderId="38" xfId="3" applyFont="1" applyFill="1" applyBorder="1" applyAlignment="1">
      <alignment horizontal="center"/>
    </xf>
    <xf numFmtId="9" fontId="7" fillId="2" borderId="49" xfId="3" applyFont="1" applyFill="1" applyBorder="1" applyAlignment="1">
      <alignment horizontal="center"/>
    </xf>
    <xf numFmtId="4" fontId="13" fillId="0" borderId="43" xfId="0" applyNumberFormat="1" applyFont="1" applyBorder="1" applyAlignment="1">
      <alignment horizontal="center"/>
    </xf>
    <xf numFmtId="9" fontId="7" fillId="2" borderId="35" xfId="3" applyFont="1" applyFill="1" applyBorder="1" applyAlignment="1">
      <alignment horizontal="center"/>
    </xf>
    <xf numFmtId="9" fontId="0" fillId="0" borderId="7" xfId="3" applyFont="1" applyBorder="1" applyAlignment="1">
      <alignment horizontal="center" vertical="center"/>
    </xf>
    <xf numFmtId="9" fontId="0" fillId="12" borderId="7" xfId="3" applyFont="1" applyFill="1" applyBorder="1" applyAlignment="1">
      <alignment horizontal="center" vertical="center"/>
    </xf>
    <xf numFmtId="4" fontId="0" fillId="6" borderId="43" xfId="0" applyNumberForma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4" fontId="8" fillId="12" borderId="7" xfId="0" applyNumberFormat="1" applyFont="1" applyFill="1" applyBorder="1" applyAlignment="1">
      <alignment horizontal="center"/>
    </xf>
    <xf numFmtId="4" fontId="8" fillId="12" borderId="0" xfId="0" applyNumberFormat="1" applyFont="1" applyFill="1" applyAlignment="1">
      <alignment horizontal="center"/>
    </xf>
    <xf numFmtId="4" fontId="8" fillId="12" borderId="34" xfId="0" applyNumberFormat="1" applyFont="1" applyFill="1" applyBorder="1" applyAlignment="1">
      <alignment horizontal="center"/>
    </xf>
    <xf numFmtId="10" fontId="7" fillId="12" borderId="25" xfId="0" applyNumberFormat="1" applyFont="1" applyFill="1" applyBorder="1" applyAlignment="1">
      <alignment horizontal="center"/>
    </xf>
    <xf numFmtId="4" fontId="0" fillId="12" borderId="15" xfId="0" applyNumberFormat="1" applyFill="1" applyBorder="1" applyAlignment="1">
      <alignment horizontal="center"/>
    </xf>
    <xf numFmtId="4" fontId="8" fillId="12" borderId="21" xfId="0" applyNumberFormat="1" applyFont="1" applyFill="1" applyBorder="1" applyAlignment="1">
      <alignment horizontal="center"/>
    </xf>
    <xf numFmtId="4" fontId="2" fillId="12" borderId="13" xfId="0" applyNumberFormat="1" applyFont="1" applyFill="1" applyBorder="1" applyAlignment="1">
      <alignment horizontal="center"/>
    </xf>
    <xf numFmtId="4" fontId="7" fillId="12" borderId="25" xfId="0" applyNumberFormat="1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4" fontId="7" fillId="10" borderId="21" xfId="0" applyNumberFormat="1" applyFont="1" applyFill="1" applyBorder="1" applyAlignment="1">
      <alignment horizontal="center"/>
    </xf>
    <xf numFmtId="4" fontId="8" fillId="6" borderId="25" xfId="0" applyNumberFormat="1" applyFont="1" applyFill="1" applyBorder="1" applyAlignment="1">
      <alignment horizontal="center"/>
    </xf>
    <xf numFmtId="4" fontId="7" fillId="9" borderId="25" xfId="0" applyNumberFormat="1" applyFont="1" applyFill="1" applyBorder="1" applyAlignment="1">
      <alignment horizontal="center"/>
    </xf>
    <xf numFmtId="4" fontId="7" fillId="10" borderId="25" xfId="0" applyNumberFormat="1" applyFont="1" applyFill="1" applyBorder="1" applyAlignment="1">
      <alignment horizontal="center"/>
    </xf>
    <xf numFmtId="9" fontId="0" fillId="14" borderId="0" xfId="3" applyFont="1" applyFill="1" applyBorder="1" applyAlignment="1">
      <alignment horizontal="center" vertical="center"/>
    </xf>
    <xf numFmtId="4" fontId="8" fillId="14" borderId="25" xfId="0" applyNumberFormat="1" applyFont="1" applyFill="1" applyBorder="1" applyAlignment="1">
      <alignment horizontal="center"/>
    </xf>
    <xf numFmtId="165" fontId="8" fillId="14" borderId="25" xfId="0" applyNumberFormat="1" applyFont="1" applyFill="1" applyBorder="1" applyAlignment="1">
      <alignment horizontal="center"/>
    </xf>
    <xf numFmtId="4" fontId="1" fillId="14" borderId="25" xfId="0" applyNumberFormat="1" applyFont="1" applyFill="1" applyBorder="1" applyAlignment="1">
      <alignment horizontal="center"/>
    </xf>
    <xf numFmtId="4" fontId="7" fillId="14" borderId="25" xfId="0" applyNumberFormat="1" applyFont="1" applyFill="1" applyBorder="1" applyAlignment="1">
      <alignment horizontal="center"/>
    </xf>
    <xf numFmtId="10" fontId="7" fillId="14" borderId="25" xfId="0" applyNumberFormat="1" applyFont="1" applyFill="1" applyBorder="1" applyAlignment="1">
      <alignment horizontal="center"/>
    </xf>
    <xf numFmtId="4" fontId="7" fillId="14" borderId="0" xfId="0" applyNumberFormat="1" applyFont="1" applyFill="1" applyAlignment="1">
      <alignment horizontal="center"/>
    </xf>
    <xf numFmtId="3" fontId="7" fillId="14" borderId="0" xfId="0" applyNumberFormat="1" applyFont="1" applyFill="1" applyAlignment="1">
      <alignment horizontal="center"/>
    </xf>
    <xf numFmtId="0" fontId="7" fillId="14" borderId="0" xfId="0" applyFont="1" applyFill="1"/>
    <xf numFmtId="4" fontId="8" fillId="13" borderId="7" xfId="0" applyNumberFormat="1" applyFont="1" applyFill="1" applyBorder="1" applyAlignment="1">
      <alignment horizontal="left"/>
    </xf>
    <xf numFmtId="0" fontId="6" fillId="13" borderId="7" xfId="0" applyFont="1" applyFill="1" applyBorder="1" applyAlignment="1">
      <alignment horizontal="center"/>
    </xf>
    <xf numFmtId="0" fontId="6" fillId="13" borderId="36" xfId="0" applyFont="1" applyFill="1" applyBorder="1" applyAlignment="1">
      <alignment horizontal="center"/>
    </xf>
    <xf numFmtId="0" fontId="8" fillId="13" borderId="7" xfId="0" applyFont="1" applyFill="1" applyBorder="1"/>
    <xf numFmtId="4" fontId="8" fillId="13" borderId="26" xfId="0" applyNumberFormat="1" applyFont="1" applyFill="1" applyBorder="1" applyAlignment="1">
      <alignment horizontal="center"/>
    </xf>
    <xf numFmtId="4" fontId="8" fillId="13" borderId="7" xfId="0" applyNumberFormat="1" applyFont="1" applyFill="1" applyBorder="1" applyAlignment="1">
      <alignment horizontal="center"/>
    </xf>
    <xf numFmtId="4" fontId="8" fillId="13" borderId="36" xfId="0" applyNumberFormat="1" applyFont="1" applyFill="1" applyBorder="1" applyAlignment="1">
      <alignment horizontal="center"/>
    </xf>
    <xf numFmtId="9" fontId="0" fillId="13" borderId="54" xfId="3" applyFont="1" applyFill="1" applyBorder="1" applyAlignment="1">
      <alignment horizontal="center" vertical="center"/>
    </xf>
    <xf numFmtId="9" fontId="0" fillId="13" borderId="49" xfId="3" applyFont="1" applyFill="1" applyBorder="1" applyAlignment="1">
      <alignment horizontal="center" vertical="center"/>
    </xf>
    <xf numFmtId="4" fontId="8" fillId="13" borderId="38" xfId="0" applyNumberFormat="1" applyFont="1" applyFill="1" applyBorder="1" applyAlignment="1">
      <alignment horizontal="center"/>
    </xf>
    <xf numFmtId="4" fontId="2" fillId="13" borderId="51" xfId="0" applyNumberFormat="1" applyFont="1" applyFill="1" applyBorder="1" applyAlignment="1">
      <alignment horizontal="center"/>
    </xf>
    <xf numFmtId="165" fontId="8" fillId="13" borderId="7" xfId="0" applyNumberFormat="1" applyFont="1" applyFill="1" applyBorder="1" applyAlignment="1">
      <alignment horizontal="center"/>
    </xf>
    <xf numFmtId="4" fontId="1" fillId="13" borderId="7" xfId="0" applyNumberFormat="1" applyFont="1" applyFill="1" applyBorder="1" applyAlignment="1">
      <alignment horizontal="center"/>
    </xf>
    <xf numFmtId="4" fontId="2" fillId="13" borderId="36" xfId="0" applyNumberFormat="1" applyFont="1" applyFill="1" applyBorder="1" applyAlignment="1">
      <alignment horizontal="center"/>
    </xf>
    <xf numFmtId="4" fontId="0" fillId="13" borderId="7" xfId="0" applyNumberFormat="1" applyFill="1" applyBorder="1" applyAlignment="1">
      <alignment horizontal="center"/>
    </xf>
    <xf numFmtId="10" fontId="7" fillId="13" borderId="7" xfId="0" applyNumberFormat="1" applyFont="1" applyFill="1" applyBorder="1" applyAlignment="1">
      <alignment horizontal="center"/>
    </xf>
    <xf numFmtId="4" fontId="2" fillId="13" borderId="7" xfId="0" applyNumberFormat="1" applyFont="1" applyFill="1" applyBorder="1" applyAlignment="1">
      <alignment horizontal="center"/>
    </xf>
    <xf numFmtId="4" fontId="0" fillId="13" borderId="26" xfId="0" applyNumberFormat="1" applyFill="1" applyBorder="1" applyAlignment="1">
      <alignment horizontal="center"/>
    </xf>
    <xf numFmtId="9" fontId="7" fillId="13" borderId="38" xfId="3" applyFont="1" applyFill="1" applyBorder="1" applyAlignment="1">
      <alignment horizontal="center"/>
    </xf>
    <xf numFmtId="9" fontId="0" fillId="13" borderId="49" xfId="3" applyFont="1" applyFill="1" applyBorder="1" applyAlignment="1">
      <alignment horizontal="center"/>
    </xf>
    <xf numFmtId="4" fontId="0" fillId="13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0" fontId="0" fillId="13" borderId="0" xfId="0" applyFill="1"/>
    <xf numFmtId="4" fontId="13" fillId="13" borderId="43" xfId="0" applyNumberFormat="1" applyFont="1" applyFill="1" applyBorder="1" applyAlignment="1">
      <alignment horizontal="center"/>
    </xf>
    <xf numFmtId="4" fontId="8" fillId="13" borderId="74" xfId="0" applyNumberFormat="1" applyFont="1" applyFill="1" applyBorder="1" applyAlignment="1">
      <alignment horizontal="center"/>
    </xf>
    <xf numFmtId="9" fontId="0" fillId="13" borderId="43" xfId="3" applyFont="1" applyFill="1" applyBorder="1" applyAlignment="1">
      <alignment horizontal="center" vertical="center"/>
    </xf>
    <xf numFmtId="4" fontId="8" fillId="13" borderId="43" xfId="0" applyNumberFormat="1" applyFont="1" applyFill="1" applyBorder="1" applyAlignment="1">
      <alignment horizontal="center"/>
    </xf>
    <xf numFmtId="4" fontId="0" fillId="13" borderId="43" xfId="0" applyNumberFormat="1" applyFill="1" applyBorder="1" applyAlignment="1">
      <alignment horizontal="center"/>
    </xf>
    <xf numFmtId="165" fontId="8" fillId="13" borderId="43" xfId="0" applyNumberFormat="1" applyFont="1" applyFill="1" applyBorder="1" applyAlignment="1">
      <alignment horizontal="center"/>
    </xf>
    <xf numFmtId="4" fontId="1" fillId="13" borderId="43" xfId="0" applyNumberFormat="1" applyFont="1" applyFill="1" applyBorder="1" applyAlignment="1">
      <alignment horizontal="center"/>
    </xf>
    <xf numFmtId="10" fontId="7" fillId="13" borderId="25" xfId="0" applyNumberFormat="1" applyFont="1" applyFill="1" applyBorder="1" applyAlignment="1">
      <alignment horizontal="center"/>
    </xf>
    <xf numFmtId="4" fontId="11" fillId="13" borderId="43" xfId="0" applyNumberFormat="1" applyFont="1" applyFill="1" applyBorder="1" applyAlignment="1">
      <alignment horizontal="center"/>
    </xf>
    <xf numFmtId="4" fontId="2" fillId="13" borderId="43" xfId="0" applyNumberFormat="1" applyFont="1" applyFill="1" applyBorder="1" applyAlignment="1">
      <alignment horizontal="center"/>
    </xf>
    <xf numFmtId="10" fontId="7" fillId="13" borderId="27" xfId="0" applyNumberFormat="1" applyFont="1" applyFill="1" applyBorder="1" applyAlignment="1">
      <alignment horizontal="center"/>
    </xf>
    <xf numFmtId="4" fontId="0" fillId="13" borderId="27" xfId="0" applyNumberFormat="1" applyFill="1" applyBorder="1" applyAlignment="1">
      <alignment horizontal="center"/>
    </xf>
    <xf numFmtId="4" fontId="7" fillId="13" borderId="27" xfId="0" applyNumberFormat="1" applyFont="1" applyFill="1" applyBorder="1" applyAlignment="1">
      <alignment horizontal="center"/>
    </xf>
    <xf numFmtId="4" fontId="0" fillId="10" borderId="43" xfId="0" applyNumberFormat="1" applyFill="1" applyBorder="1" applyAlignment="1">
      <alignment horizontal="center"/>
    </xf>
    <xf numFmtId="4" fontId="8" fillId="6" borderId="43" xfId="0" applyNumberFormat="1" applyFont="1" applyFill="1" applyBorder="1" applyAlignment="1">
      <alignment horizontal="center"/>
    </xf>
    <xf numFmtId="4" fontId="13" fillId="13" borderId="7" xfId="0" applyNumberFormat="1" applyFont="1" applyFill="1" applyBorder="1" applyAlignment="1">
      <alignment horizontal="center"/>
    </xf>
    <xf numFmtId="4" fontId="13" fillId="13" borderId="38" xfId="0" applyNumberFormat="1" applyFont="1" applyFill="1" applyBorder="1" applyAlignment="1">
      <alignment horizontal="center"/>
    </xf>
    <xf numFmtId="9" fontId="0" fillId="13" borderId="0" xfId="3" applyFont="1" applyFill="1" applyBorder="1" applyAlignment="1">
      <alignment horizontal="center" vertical="center"/>
    </xf>
    <xf numFmtId="4" fontId="8" fillId="13" borderId="21" xfId="0" applyNumberFormat="1" applyFont="1" applyFill="1" applyBorder="1" applyAlignment="1">
      <alignment horizontal="center"/>
    </xf>
    <xf numFmtId="4" fontId="2" fillId="13" borderId="13" xfId="0" applyNumberFormat="1" applyFont="1" applyFill="1" applyBorder="1" applyAlignment="1">
      <alignment horizontal="center"/>
    </xf>
    <xf numFmtId="10" fontId="7" fillId="13" borderId="21" xfId="0" applyNumberFormat="1" applyFont="1" applyFill="1" applyBorder="1" applyAlignment="1">
      <alignment horizontal="center"/>
    </xf>
    <xf numFmtId="4" fontId="7" fillId="13" borderId="21" xfId="0" applyNumberFormat="1" applyFont="1" applyFill="1" applyBorder="1" applyAlignment="1">
      <alignment horizontal="center"/>
    </xf>
    <xf numFmtId="4" fontId="7" fillId="13" borderId="0" xfId="0" applyNumberFormat="1" applyFont="1" applyFill="1" applyAlignment="1">
      <alignment horizontal="center"/>
    </xf>
    <xf numFmtId="3" fontId="7" fillId="13" borderId="0" xfId="0" applyNumberFormat="1" applyFont="1" applyFill="1" applyAlignment="1">
      <alignment horizontal="center"/>
    </xf>
    <xf numFmtId="0" fontId="7" fillId="13" borderId="0" xfId="0" applyFont="1" applyFill="1"/>
    <xf numFmtId="4" fontId="2" fillId="13" borderId="25" xfId="0" applyNumberFormat="1" applyFont="1" applyFill="1" applyBorder="1" applyAlignment="1">
      <alignment horizontal="center"/>
    </xf>
    <xf numFmtId="4" fontId="7" fillId="13" borderId="25" xfId="0" applyNumberFormat="1" applyFont="1" applyFill="1" applyBorder="1" applyAlignment="1">
      <alignment horizontal="center"/>
    </xf>
    <xf numFmtId="4" fontId="13" fillId="0" borderId="25" xfId="0" applyNumberFormat="1" applyFont="1" applyBorder="1" applyAlignment="1">
      <alignment horizontal="center"/>
    </xf>
    <xf numFmtId="4" fontId="13" fillId="14" borderId="7" xfId="0" applyNumberFormat="1" applyFont="1" applyFill="1" applyBorder="1" applyAlignment="1">
      <alignment horizontal="center"/>
    </xf>
    <xf numFmtId="4" fontId="2" fillId="14" borderId="34" xfId="0" applyNumberFormat="1" applyFont="1" applyFill="1" applyBorder="1" applyAlignment="1">
      <alignment horizontal="center"/>
    </xf>
    <xf numFmtId="10" fontId="7" fillId="14" borderId="34" xfId="0" applyNumberFormat="1" applyFont="1" applyFill="1" applyBorder="1" applyAlignment="1">
      <alignment horizontal="center"/>
    </xf>
    <xf numFmtId="4" fontId="7" fillId="14" borderId="43" xfId="0" applyNumberFormat="1" applyFont="1" applyFill="1" applyBorder="1" applyAlignment="1">
      <alignment horizontal="center"/>
    </xf>
    <xf numFmtId="4" fontId="11" fillId="13" borderId="27" xfId="0" applyNumberFormat="1" applyFont="1" applyFill="1" applyBorder="1" applyAlignment="1">
      <alignment horizontal="center"/>
    </xf>
    <xf numFmtId="4" fontId="11" fillId="0" borderId="25" xfId="0" applyNumberFormat="1" applyFont="1" applyBorder="1" applyAlignment="1">
      <alignment horizontal="center"/>
    </xf>
    <xf numFmtId="4" fontId="7" fillId="10" borderId="34" xfId="0" applyNumberFormat="1" applyFont="1" applyFill="1" applyBorder="1" applyAlignment="1">
      <alignment horizontal="center"/>
    </xf>
    <xf numFmtId="4" fontId="7" fillId="14" borderId="7" xfId="0" applyNumberFormat="1" applyFont="1" applyFill="1" applyBorder="1" applyAlignment="1">
      <alignment horizontal="center"/>
    </xf>
    <xf numFmtId="4" fontId="7" fillId="5" borderId="43" xfId="0" applyNumberFormat="1" applyFont="1" applyFill="1" applyBorder="1" applyAlignment="1">
      <alignment horizontal="center"/>
    </xf>
    <xf numFmtId="4" fontId="7" fillId="13" borderId="43" xfId="0" applyNumberFormat="1" applyFont="1" applyFill="1" applyBorder="1" applyAlignment="1">
      <alignment horizontal="center"/>
    </xf>
    <xf numFmtId="4" fontId="7" fillId="13" borderId="34" xfId="0" applyNumberFormat="1" applyFont="1" applyFill="1" applyBorder="1" applyAlignment="1">
      <alignment horizontal="center"/>
    </xf>
    <xf numFmtId="4" fontId="7" fillId="4" borderId="43" xfId="0" applyNumberFormat="1" applyFont="1" applyFill="1" applyBorder="1" applyAlignment="1">
      <alignment horizontal="center"/>
    </xf>
    <xf numFmtId="4" fontId="7" fillId="9" borderId="34" xfId="0" applyNumberFormat="1" applyFont="1" applyFill="1" applyBorder="1" applyAlignment="1">
      <alignment horizontal="center"/>
    </xf>
    <xf numFmtId="4" fontId="7" fillId="4" borderId="34" xfId="0" applyNumberFormat="1" applyFont="1" applyFill="1" applyBorder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1" fillId="6" borderId="25" xfId="0" applyNumberFormat="1" applyFont="1" applyFill="1" applyBorder="1" applyAlignment="1">
      <alignment horizontal="center"/>
    </xf>
    <xf numFmtId="165" fontId="0" fillId="6" borderId="25" xfId="0" applyNumberFormat="1" applyFill="1" applyBorder="1" applyAlignment="1">
      <alignment horizontal="center"/>
    </xf>
    <xf numFmtId="4" fontId="0" fillId="3" borderId="25" xfId="0" applyNumberFormat="1" applyFill="1" applyBorder="1" applyAlignment="1">
      <alignment horizontal="center"/>
    </xf>
    <xf numFmtId="4" fontId="2" fillId="4" borderId="25" xfId="0" applyNumberFormat="1" applyFont="1" applyFill="1" applyBorder="1" applyAlignment="1">
      <alignment horizontal="center"/>
    </xf>
    <xf numFmtId="4" fontId="1" fillId="4" borderId="25" xfId="0" applyNumberFormat="1" applyFont="1" applyFill="1" applyBorder="1" applyAlignment="1">
      <alignment horizontal="center"/>
    </xf>
    <xf numFmtId="9" fontId="7" fillId="2" borderId="30" xfId="3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4" fontId="0" fillId="6" borderId="35" xfId="0" applyNumberFormat="1" applyFill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9" fontId="15" fillId="0" borderId="43" xfId="3" applyFont="1" applyBorder="1" applyAlignment="1">
      <alignment horizontal="center" vertical="center"/>
    </xf>
    <xf numFmtId="9" fontId="0" fillId="6" borderId="43" xfId="3" applyFont="1" applyFill="1" applyBorder="1" applyAlignment="1">
      <alignment horizontal="center"/>
    </xf>
    <xf numFmtId="4" fontId="0" fillId="6" borderId="76" xfId="0" applyNumberFormat="1" applyFill="1" applyBorder="1" applyAlignment="1">
      <alignment horizontal="center"/>
    </xf>
    <xf numFmtId="4" fontId="2" fillId="6" borderId="43" xfId="0" applyNumberFormat="1" applyFont="1" applyFill="1" applyBorder="1" applyAlignment="1">
      <alignment horizontal="center"/>
    </xf>
    <xf numFmtId="165" fontId="0" fillId="6" borderId="43" xfId="0" applyNumberFormat="1" applyFill="1" applyBorder="1" applyAlignment="1">
      <alignment horizontal="center"/>
    </xf>
    <xf numFmtId="4" fontId="0" fillId="3" borderId="43" xfId="0" applyNumberFormat="1" applyFill="1" applyBorder="1" applyAlignment="1">
      <alignment horizontal="center"/>
    </xf>
    <xf numFmtId="4" fontId="2" fillId="4" borderId="43" xfId="0" applyNumberFormat="1" applyFont="1" applyFill="1" applyBorder="1" applyAlignment="1">
      <alignment horizontal="center"/>
    </xf>
    <xf numFmtId="4" fontId="0" fillId="0" borderId="65" xfId="0" applyNumberFormat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4" fontId="0" fillId="6" borderId="74" xfId="0" applyNumberFormat="1" applyFill="1" applyBorder="1" applyAlignment="1">
      <alignment horizontal="center"/>
    </xf>
    <xf numFmtId="4" fontId="8" fillId="12" borderId="47" xfId="0" applyNumberFormat="1" applyFont="1" applyFill="1" applyBorder="1" applyAlignment="1">
      <alignment horizontal="left"/>
    </xf>
    <xf numFmtId="4" fontId="8" fillId="6" borderId="12" xfId="0" applyNumberFormat="1" applyFont="1" applyFill="1" applyBorder="1" applyAlignment="1">
      <alignment horizontal="left"/>
    </xf>
    <xf numFmtId="4" fontId="8" fillId="12" borderId="12" xfId="0" applyNumberFormat="1" applyFont="1" applyFill="1" applyBorder="1" applyAlignment="1">
      <alignment horizontal="left"/>
    </xf>
    <xf numFmtId="4" fontId="8" fillId="6" borderId="77" xfId="0" applyNumberFormat="1" applyFont="1" applyFill="1" applyBorder="1" applyAlignment="1">
      <alignment horizontal="left"/>
    </xf>
    <xf numFmtId="4" fontId="8" fillId="14" borderId="78" xfId="0" applyNumberFormat="1" applyFont="1" applyFill="1" applyBorder="1" applyAlignment="1">
      <alignment horizontal="left"/>
    </xf>
    <xf numFmtId="4" fontId="8" fillId="13" borderId="77" xfId="0" applyNumberFormat="1" applyFont="1" applyFill="1" applyBorder="1" applyAlignment="1">
      <alignment horizontal="left"/>
    </xf>
    <xf numFmtId="0" fontId="0" fillId="6" borderId="25" xfId="0" applyFill="1" applyBorder="1"/>
    <xf numFmtId="4" fontId="13" fillId="6" borderId="12" xfId="0" applyNumberFormat="1" applyFont="1" applyFill="1" applyBorder="1" applyAlignment="1">
      <alignment horizontal="center"/>
    </xf>
    <xf numFmtId="4" fontId="8" fillId="13" borderId="74" xfId="0" applyNumberFormat="1" applyFont="1" applyFill="1" applyBorder="1" applyAlignment="1">
      <alignment horizontal="center" vertical="center"/>
    </xf>
    <xf numFmtId="4" fontId="7" fillId="12" borderId="22" xfId="0" applyNumberFormat="1" applyFont="1" applyFill="1" applyBorder="1" applyAlignment="1">
      <alignment horizontal="center"/>
    </xf>
    <xf numFmtId="4" fontId="0" fillId="13" borderId="76" xfId="0" applyNumberFormat="1" applyFill="1" applyBorder="1" applyAlignment="1">
      <alignment horizontal="center"/>
    </xf>
    <xf numFmtId="4" fontId="0" fillId="13" borderId="74" xfId="0" applyNumberFormat="1" applyFill="1" applyBorder="1" applyAlignment="1">
      <alignment horizontal="center"/>
    </xf>
    <xf numFmtId="4" fontId="0" fillId="0" borderId="25" xfId="0" applyNumberFormat="1" applyBorder="1" applyAlignment="1">
      <alignment horizontal="center"/>
    </xf>
    <xf numFmtId="4" fontId="2" fillId="4" borderId="13" xfId="0" applyNumberFormat="1" applyFont="1" applyFill="1" applyBorder="1" applyAlignment="1">
      <alignment horizontal="center"/>
    </xf>
    <xf numFmtId="4" fontId="7" fillId="12" borderId="45" xfId="0" applyNumberFormat="1" applyFont="1" applyFill="1" applyBorder="1" applyAlignment="1">
      <alignment horizontal="center"/>
    </xf>
    <xf numFmtId="4" fontId="4" fillId="5" borderId="43" xfId="0" applyNumberFormat="1" applyFont="1" applyFill="1" applyBorder="1" applyAlignment="1">
      <alignment horizontal="center"/>
    </xf>
    <xf numFmtId="4" fontId="5" fillId="5" borderId="25" xfId="0" applyNumberFormat="1" applyFont="1" applyFill="1" applyBorder="1" applyAlignment="1">
      <alignment horizontal="center"/>
    </xf>
    <xf numFmtId="4" fontId="7" fillId="5" borderId="25" xfId="0" applyNumberFormat="1" applyFont="1" applyFill="1" applyBorder="1" applyAlignment="1">
      <alignment horizontal="center"/>
    </xf>
    <xf numFmtId="4" fontId="0" fillId="0" borderId="74" xfId="0" applyNumberFormat="1" applyBorder="1" applyAlignment="1">
      <alignment horizontal="center"/>
    </xf>
    <xf numFmtId="4" fontId="7" fillId="10" borderId="15" xfId="0" applyNumberFormat="1" applyFont="1" applyFill="1" applyBorder="1" applyAlignment="1">
      <alignment horizontal="center"/>
    </xf>
    <xf numFmtId="9" fontId="7" fillId="14" borderId="38" xfId="3" applyFont="1" applyFill="1" applyBorder="1" applyAlignment="1">
      <alignment horizontal="center"/>
    </xf>
    <xf numFmtId="4" fontId="2" fillId="0" borderId="43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4" fontId="1" fillId="0" borderId="13" xfId="0" applyNumberFormat="1" applyFont="1" applyBorder="1" applyAlignment="1">
      <alignment horizontal="center"/>
    </xf>
    <xf numFmtId="4" fontId="3" fillId="12" borderId="15" xfId="0" applyNumberFormat="1" applyFont="1" applyFill="1" applyBorder="1" applyAlignment="1">
      <alignment horizontal="center"/>
    </xf>
    <xf numFmtId="4" fontId="11" fillId="12" borderId="13" xfId="0" applyNumberFormat="1" applyFont="1" applyFill="1" applyBorder="1" applyAlignment="1">
      <alignment horizontal="center"/>
    </xf>
    <xf numFmtId="4" fontId="11" fillId="12" borderId="25" xfId="0" applyNumberFormat="1" applyFont="1" applyFill="1" applyBorder="1" applyAlignment="1">
      <alignment horizontal="center"/>
    </xf>
    <xf numFmtId="4" fontId="11" fillId="14" borderId="43" xfId="0" applyNumberFormat="1" applyFont="1" applyFill="1" applyBorder="1" applyAlignment="1">
      <alignment horizontal="center"/>
    </xf>
    <xf numFmtId="4" fontId="11" fillId="13" borderId="25" xfId="0" applyNumberFormat="1" applyFont="1" applyFill="1" applyBorder="1" applyAlignment="1">
      <alignment horizontal="center"/>
    </xf>
    <xf numFmtId="4" fontId="8" fillId="14" borderId="27" xfId="0" applyNumberFormat="1" applyFont="1" applyFill="1" applyBorder="1" applyAlignment="1">
      <alignment horizontal="center"/>
    </xf>
    <xf numFmtId="4" fontId="8" fillId="0" borderId="25" xfId="0" applyNumberFormat="1" applyFont="1" applyBorder="1" applyAlignment="1">
      <alignment horizontal="center"/>
    </xf>
    <xf numFmtId="9" fontId="0" fillId="6" borderId="13" xfId="3" applyFont="1" applyFill="1" applyBorder="1" applyAlignment="1">
      <alignment horizontal="center" vertical="top" wrapText="1"/>
    </xf>
    <xf numFmtId="9" fontId="0" fillId="12" borderId="15" xfId="3" applyFont="1" applyFill="1" applyBorder="1" applyAlignment="1">
      <alignment horizontal="center" vertical="center"/>
    </xf>
    <xf numFmtId="9" fontId="0" fillId="12" borderId="21" xfId="3" applyFont="1" applyFill="1" applyBorder="1" applyAlignment="1">
      <alignment horizontal="center" vertical="center"/>
    </xf>
    <xf numFmtId="9" fontId="0" fillId="13" borderId="7" xfId="3" applyFont="1" applyFill="1" applyBorder="1" applyAlignment="1">
      <alignment horizontal="center" vertical="center"/>
    </xf>
    <xf numFmtId="9" fontId="0" fillId="0" borderId="43" xfId="3" applyFont="1" applyBorder="1" applyAlignment="1">
      <alignment horizontal="center" vertical="center"/>
    </xf>
    <xf numFmtId="9" fontId="0" fillId="0" borderId="25" xfId="3" applyFont="1" applyFill="1" applyBorder="1" applyAlignment="1">
      <alignment horizontal="center" vertical="center"/>
    </xf>
    <xf numFmtId="9" fontId="0" fillId="6" borderId="25" xfId="3" applyFont="1" applyFill="1" applyBorder="1" applyAlignment="1">
      <alignment horizontal="center"/>
    </xf>
    <xf numFmtId="9" fontId="0" fillId="12" borderId="81" xfId="3" applyFont="1" applyFill="1" applyBorder="1" applyAlignment="1">
      <alignment horizontal="center" vertical="center"/>
    </xf>
    <xf numFmtId="9" fontId="0" fillId="12" borderId="13" xfId="3" applyFont="1" applyFill="1" applyBorder="1" applyAlignment="1">
      <alignment horizontal="center" vertical="center"/>
    </xf>
    <xf numFmtId="4" fontId="0" fillId="6" borderId="54" xfId="0" applyNumberFormat="1" applyFill="1" applyBorder="1" applyAlignment="1">
      <alignment horizontal="center" vertical="top" wrapText="1"/>
    </xf>
    <xf numFmtId="4" fontId="9" fillId="6" borderId="24" xfId="0" applyNumberFormat="1" applyFont="1" applyFill="1" applyBorder="1" applyAlignment="1">
      <alignment horizontal="center"/>
    </xf>
    <xf numFmtId="4" fontId="9" fillId="6" borderId="79" xfId="0" applyNumberFormat="1" applyFont="1" applyFill="1" applyBorder="1" applyAlignment="1">
      <alignment horizontal="center"/>
    </xf>
    <xf numFmtId="4" fontId="9" fillId="6" borderId="28" xfId="0" applyNumberFormat="1" applyFont="1" applyFill="1" applyBorder="1" applyAlignment="1">
      <alignment horizontal="center"/>
    </xf>
    <xf numFmtId="4" fontId="7" fillId="12" borderId="14" xfId="0" applyNumberFormat="1" applyFont="1" applyFill="1" applyBorder="1" applyAlignment="1">
      <alignment horizontal="center"/>
    </xf>
    <xf numFmtId="4" fontId="2" fillId="6" borderId="26" xfId="0" applyNumberFormat="1" applyFont="1" applyFill="1" applyBorder="1" applyAlignment="1">
      <alignment horizontal="center"/>
    </xf>
    <xf numFmtId="4" fontId="2" fillId="12" borderId="26" xfId="0" applyNumberFormat="1" applyFont="1" applyFill="1" applyBorder="1" applyAlignment="1">
      <alignment horizontal="center"/>
    </xf>
    <xf numFmtId="9" fontId="0" fillId="0" borderId="64" xfId="3" applyFont="1" applyBorder="1" applyAlignment="1">
      <alignment horizontal="center" vertical="center"/>
    </xf>
    <xf numFmtId="4" fontId="1" fillId="6" borderId="13" xfId="0" applyNumberFormat="1" applyFont="1" applyFill="1" applyBorder="1" applyAlignment="1">
      <alignment horizontal="center"/>
    </xf>
    <xf numFmtId="4" fontId="2" fillId="3" borderId="35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7" fillId="3" borderId="44" xfId="0" applyNumberFormat="1" applyFont="1" applyFill="1" applyBorder="1" applyAlignment="1">
      <alignment horizontal="center"/>
    </xf>
    <xf numFmtId="4" fontId="7" fillId="12" borderId="80" xfId="0" applyNumberFormat="1" applyFont="1" applyFill="1" applyBorder="1" applyAlignment="1">
      <alignment horizontal="center"/>
    </xf>
    <xf numFmtId="4" fontId="0" fillId="3" borderId="45" xfId="0" applyNumberFormat="1" applyFill="1" applyBorder="1" applyAlignment="1">
      <alignment horizontal="center"/>
    </xf>
    <xf numFmtId="4" fontId="0" fillId="13" borderId="44" xfId="0" applyNumberFormat="1" applyFill="1" applyBorder="1" applyAlignment="1">
      <alignment horizontal="center"/>
    </xf>
    <xf numFmtId="4" fontId="0" fillId="3" borderId="80" xfId="0" applyNumberFormat="1" applyFill="1" applyBorder="1" applyAlignment="1">
      <alignment horizontal="center"/>
    </xf>
    <xf numFmtId="4" fontId="0" fillId="14" borderId="82" xfId="0" applyNumberFormat="1" applyFill="1" applyBorder="1" applyAlignment="1">
      <alignment horizontal="center"/>
    </xf>
    <xf numFmtId="4" fontId="0" fillId="3" borderId="44" xfId="0" applyNumberFormat="1" applyFill="1" applyBorder="1" applyAlignment="1">
      <alignment horizontal="center"/>
    </xf>
    <xf numFmtId="4" fontId="0" fillId="13" borderId="35" xfId="0" applyNumberForma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9" fontId="7" fillId="6" borderId="13" xfId="3" applyFont="1" applyFill="1" applyBorder="1" applyAlignment="1">
      <alignment horizontal="center" vertical="top" wrapText="1"/>
    </xf>
    <xf numFmtId="4" fontId="0" fillId="6" borderId="13" xfId="0" applyNumberFormat="1" applyFill="1" applyBorder="1" applyAlignment="1">
      <alignment horizontal="center"/>
    </xf>
    <xf numFmtId="10" fontId="0" fillId="3" borderId="13" xfId="3" applyNumberFormat="1" applyFont="1" applyFill="1" applyBorder="1" applyAlignment="1">
      <alignment horizontal="center"/>
    </xf>
    <xf numFmtId="4" fontId="0" fillId="9" borderId="44" xfId="0" applyNumberFormat="1" applyFill="1" applyBorder="1" applyAlignment="1">
      <alignment horizontal="center"/>
    </xf>
    <xf numFmtId="10" fontId="0" fillId="9" borderId="13" xfId="3" applyNumberFormat="1" applyFont="1" applyFill="1" applyBorder="1" applyAlignment="1">
      <alignment horizontal="center"/>
    </xf>
    <xf numFmtId="0" fontId="8" fillId="6" borderId="13" xfId="0" applyFont="1" applyFill="1" applyBorder="1" applyAlignment="1">
      <alignment horizontal="left"/>
    </xf>
    <xf numFmtId="0" fontId="6" fillId="12" borderId="27" xfId="0" applyFont="1" applyFill="1" applyBorder="1" applyAlignment="1">
      <alignment horizontal="center"/>
    </xf>
    <xf numFmtId="0" fontId="8" fillId="12" borderId="27" xfId="0" applyFont="1" applyFill="1" applyBorder="1"/>
    <xf numFmtId="0" fontId="1" fillId="6" borderId="83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/>
    </xf>
    <xf numFmtId="0" fontId="8" fillId="12" borderId="43" xfId="0" applyFont="1" applyFill="1" applyBorder="1"/>
    <xf numFmtId="0" fontId="6" fillId="12" borderId="25" xfId="0" applyFont="1" applyFill="1" applyBorder="1" applyAlignment="1">
      <alignment horizontal="center"/>
    </xf>
    <xf numFmtId="0" fontId="8" fillId="14" borderId="25" xfId="0" applyFont="1" applyFill="1" applyBorder="1"/>
    <xf numFmtId="0" fontId="6" fillId="6" borderId="83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3" borderId="25" xfId="0" applyFont="1" applyFill="1" applyBorder="1" applyAlignment="1">
      <alignment horizontal="center"/>
    </xf>
    <xf numFmtId="0" fontId="8" fillId="13" borderId="25" xfId="0" applyFont="1" applyFill="1" applyBorder="1"/>
    <xf numFmtId="0" fontId="1" fillId="13" borderId="25" xfId="0" applyFont="1" applyFill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" fontId="8" fillId="0" borderId="12" xfId="0" applyNumberFormat="1" applyFont="1" applyBorder="1" applyAlignment="1">
      <alignment horizontal="center" vertical="center"/>
    </xf>
    <xf numFmtId="4" fontId="13" fillId="0" borderId="13" xfId="0" applyNumberFormat="1" applyFont="1" applyBorder="1" applyAlignment="1">
      <alignment horizontal="center"/>
    </xf>
    <xf numFmtId="4" fontId="8" fillId="0" borderId="13" xfId="0" applyNumberFormat="1" applyFont="1" applyBorder="1" applyAlignment="1">
      <alignment horizontal="center"/>
    </xf>
    <xf numFmtId="9" fontId="0" fillId="0" borderId="13" xfId="3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4" fontId="0" fillId="8" borderId="44" xfId="0" applyNumberFormat="1" applyFill="1" applyBorder="1" applyAlignment="1">
      <alignment horizontal="center"/>
    </xf>
    <xf numFmtId="10" fontId="7" fillId="8" borderId="13" xfId="0" applyNumberFormat="1" applyFont="1" applyFill="1" applyBorder="1" applyAlignment="1">
      <alignment horizontal="center"/>
    </xf>
    <xf numFmtId="10" fontId="7" fillId="9" borderId="13" xfId="0" applyNumberFormat="1" applyFont="1" applyFill="1" applyBorder="1" applyAlignment="1">
      <alignment horizontal="center"/>
    </xf>
    <xf numFmtId="4" fontId="7" fillId="10" borderId="13" xfId="0" applyNumberFormat="1" applyFont="1" applyFill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3" fontId="0" fillId="13" borderId="44" xfId="0" applyNumberFormat="1" applyFill="1" applyBorder="1" applyAlignment="1">
      <alignment horizontal="center"/>
    </xf>
    <xf numFmtId="0" fontId="0" fillId="13" borderId="44" xfId="0" applyFill="1" applyBorder="1"/>
    <xf numFmtId="0" fontId="6" fillId="6" borderId="84" xfId="0" applyFont="1" applyFill="1" applyBorder="1" applyAlignment="1">
      <alignment horizontal="center"/>
    </xf>
    <xf numFmtId="0" fontId="6" fillId="6" borderId="8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4" fontId="8" fillId="6" borderId="46" xfId="0" applyNumberFormat="1" applyFont="1" applyFill="1" applyBorder="1" applyAlignment="1">
      <alignment horizontal="center" vertical="center"/>
    </xf>
    <xf numFmtId="4" fontId="8" fillId="0" borderId="46" xfId="0" applyNumberFormat="1" applyFont="1" applyBorder="1" applyAlignment="1">
      <alignment horizontal="center"/>
    </xf>
    <xf numFmtId="4" fontId="0" fillId="0" borderId="24" xfId="0" applyNumberFormat="1" applyBorder="1" applyAlignment="1">
      <alignment horizontal="center"/>
    </xf>
    <xf numFmtId="165" fontId="8" fillId="6" borderId="25" xfId="0" applyNumberFormat="1" applyFont="1" applyFill="1" applyBorder="1" applyAlignment="1">
      <alignment horizontal="center"/>
    </xf>
    <xf numFmtId="4" fontId="0" fillId="8" borderId="25" xfId="0" applyNumberFormat="1" applyFill="1" applyBorder="1" applyAlignment="1">
      <alignment horizontal="center"/>
    </xf>
    <xf numFmtId="4" fontId="0" fillId="8" borderId="0" xfId="0" applyNumberFormat="1" applyFill="1" applyAlignment="1">
      <alignment horizontal="center"/>
    </xf>
    <xf numFmtId="4" fontId="0" fillId="9" borderId="25" xfId="0" applyNumberFormat="1" applyFill="1" applyBorder="1" applyAlignment="1">
      <alignment horizontal="center"/>
    </xf>
    <xf numFmtId="10" fontId="7" fillId="4" borderId="25" xfId="0" applyNumberFormat="1" applyFont="1" applyFill="1" applyBorder="1" applyAlignment="1">
      <alignment horizontal="center"/>
    </xf>
    <xf numFmtId="4" fontId="0" fillId="0" borderId="46" xfId="0" applyNumberFormat="1" applyBorder="1" applyAlignment="1">
      <alignment horizontal="center"/>
    </xf>
    <xf numFmtId="4" fontId="8" fillId="6" borderId="12" xfId="0" applyNumberFormat="1" applyFont="1" applyFill="1" applyBorder="1" applyAlignment="1">
      <alignment horizontal="center" vertical="center"/>
    </xf>
    <xf numFmtId="10" fontId="7" fillId="4" borderId="13" xfId="0" applyNumberFormat="1" applyFont="1" applyFill="1" applyBorder="1" applyAlignment="1">
      <alignment horizontal="center"/>
    </xf>
    <xf numFmtId="4" fontId="0" fillId="0" borderId="44" xfId="0" applyNumberFormat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0" fontId="0" fillId="0" borderId="44" xfId="0" applyBorder="1"/>
    <xf numFmtId="4" fontId="7" fillId="10" borderId="43" xfId="0" applyNumberFormat="1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4" fontId="7" fillId="9" borderId="43" xfId="0" applyNumberFormat="1" applyFont="1" applyFill="1" applyBorder="1" applyAlignment="1">
      <alignment horizontal="center"/>
    </xf>
    <xf numFmtId="4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 vertical="center"/>
    </xf>
    <xf numFmtId="4" fontId="8" fillId="12" borderId="12" xfId="0" applyNumberFormat="1" applyFont="1" applyFill="1" applyBorder="1" applyAlignment="1">
      <alignment horizontal="center" vertical="center"/>
    </xf>
    <xf numFmtId="4" fontId="2" fillId="6" borderId="14" xfId="0" applyNumberFormat="1" applyFont="1" applyFill="1" applyBorder="1" applyAlignment="1">
      <alignment horizontal="center"/>
    </xf>
    <xf numFmtId="4" fontId="8" fillId="6" borderId="13" xfId="0" applyNumberFormat="1" applyFont="1" applyFill="1" applyBorder="1" applyAlignment="1">
      <alignment horizontal="center" vertical="center"/>
    </xf>
    <xf numFmtId="4" fontId="2" fillId="8" borderId="13" xfId="0" applyNumberFormat="1" applyFont="1" applyFill="1" applyBorder="1" applyAlignment="1">
      <alignment horizontal="center"/>
    </xf>
    <xf numFmtId="4" fontId="7" fillId="8" borderId="44" xfId="0" applyNumberFormat="1" applyFont="1" applyFill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4" fontId="7" fillId="0" borderId="44" xfId="0" applyNumberFormat="1" applyFont="1" applyBorder="1" applyAlignment="1">
      <alignment horizontal="center"/>
    </xf>
    <xf numFmtId="3" fontId="7" fillId="0" borderId="44" xfId="0" applyNumberFormat="1" applyFont="1" applyBorder="1" applyAlignment="1">
      <alignment horizontal="center"/>
    </xf>
    <xf numFmtId="0" fontId="7" fillId="0" borderId="44" xfId="0" applyFont="1" applyBorder="1"/>
    <xf numFmtId="4" fontId="13" fillId="11" borderId="12" xfId="0" applyNumberFormat="1" applyFont="1" applyFill="1" applyBorder="1" applyAlignment="1">
      <alignment horizontal="center"/>
    </xf>
    <xf numFmtId="9" fontId="0" fillId="0" borderId="14" xfId="3" applyFont="1" applyBorder="1" applyAlignment="1">
      <alignment horizontal="center" vertical="center"/>
    </xf>
    <xf numFmtId="9" fontId="7" fillId="2" borderId="12" xfId="3" applyFont="1" applyFill="1" applyBorder="1" applyAlignment="1">
      <alignment horizontal="center"/>
    </xf>
    <xf numFmtId="4" fontId="13" fillId="11" borderId="35" xfId="0" applyNumberFormat="1" applyFont="1" applyFill="1" applyBorder="1" applyAlignment="1">
      <alignment horizontal="center"/>
    </xf>
    <xf numFmtId="4" fontId="13" fillId="13" borderId="46" xfId="0" applyNumberFormat="1" applyFont="1" applyFill="1" applyBorder="1" applyAlignment="1">
      <alignment horizontal="center"/>
    </xf>
    <xf numFmtId="4" fontId="13" fillId="13" borderId="25" xfId="0" applyNumberFormat="1" applyFont="1" applyFill="1" applyBorder="1" applyAlignment="1">
      <alignment horizontal="center"/>
    </xf>
    <xf numFmtId="4" fontId="8" fillId="13" borderId="25" xfId="0" applyNumberFormat="1" applyFont="1" applyFill="1" applyBorder="1" applyAlignment="1">
      <alignment horizontal="center"/>
    </xf>
    <xf numFmtId="9" fontId="0" fillId="13" borderId="25" xfId="3" applyFont="1" applyFill="1" applyBorder="1" applyAlignment="1">
      <alignment horizontal="center" vertical="center"/>
    </xf>
    <xf numFmtId="4" fontId="13" fillId="13" borderId="0" xfId="0" applyNumberFormat="1" applyFont="1" applyFill="1" applyAlignment="1">
      <alignment horizontal="center"/>
    </xf>
    <xf numFmtId="165" fontId="8" fillId="13" borderId="25" xfId="0" applyNumberFormat="1" applyFont="1" applyFill="1" applyBorder="1" applyAlignment="1">
      <alignment horizontal="center"/>
    </xf>
    <xf numFmtId="4" fontId="1" fillId="13" borderId="25" xfId="0" applyNumberFormat="1" applyFont="1" applyFill="1" applyBorder="1" applyAlignment="1">
      <alignment horizontal="center"/>
    </xf>
    <xf numFmtId="9" fontId="7" fillId="13" borderId="0" xfId="3" applyFont="1" applyFill="1" applyBorder="1" applyAlignment="1">
      <alignment horizontal="center"/>
    </xf>
    <xf numFmtId="4" fontId="13" fillId="11" borderId="44" xfId="0" applyNumberFormat="1" applyFont="1" applyFill="1" applyBorder="1" applyAlignment="1">
      <alignment horizontal="center"/>
    </xf>
    <xf numFmtId="9" fontId="0" fillId="0" borderId="44" xfId="3" applyFont="1" applyBorder="1" applyAlignment="1">
      <alignment horizontal="center" vertical="center"/>
    </xf>
    <xf numFmtId="9" fontId="7" fillId="2" borderId="44" xfId="3" applyFont="1" applyFill="1" applyBorder="1" applyAlignment="1">
      <alignment horizontal="center"/>
    </xf>
    <xf numFmtId="0" fontId="7" fillId="6" borderId="83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9" fontId="12" fillId="0" borderId="13" xfId="3" applyFont="1" applyFill="1" applyBorder="1" applyAlignment="1">
      <alignment horizontal="center" vertical="center"/>
    </xf>
    <xf numFmtId="4" fontId="18" fillId="8" borderId="13" xfId="0" applyNumberFormat="1" applyFont="1" applyFill="1" applyBorder="1" applyAlignment="1">
      <alignment horizontal="center"/>
    </xf>
    <xf numFmtId="4" fontId="18" fillId="9" borderId="13" xfId="0" applyNumberFormat="1" applyFont="1" applyFill="1" applyBorder="1" applyAlignment="1">
      <alignment horizontal="center"/>
    </xf>
    <xf numFmtId="4" fontId="0" fillId="10" borderId="13" xfId="0" applyNumberFormat="1" applyFill="1" applyBorder="1" applyAlignment="1">
      <alignment horizontal="center"/>
    </xf>
    <xf numFmtId="4" fontId="1" fillId="6" borderId="27" xfId="0" applyNumberFormat="1" applyFont="1" applyFill="1" applyBorder="1" applyAlignment="1">
      <alignment horizontal="center"/>
    </xf>
    <xf numFmtId="4" fontId="8" fillId="13" borderId="65" xfId="0" applyNumberFormat="1" applyFont="1" applyFill="1" applyBorder="1" applyAlignment="1">
      <alignment horizontal="left"/>
    </xf>
    <xf numFmtId="0" fontId="8" fillId="6" borderId="13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8" fillId="13" borderId="25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4" fontId="13" fillId="6" borderId="47" xfId="0" applyNumberFormat="1" applyFont="1" applyFill="1" applyBorder="1" applyAlignment="1">
      <alignment horizontal="center"/>
    </xf>
    <xf numFmtId="9" fontId="0" fillId="0" borderId="27" xfId="3" applyFont="1" applyBorder="1" applyAlignment="1">
      <alignment horizontal="center" vertical="center"/>
    </xf>
    <xf numFmtId="4" fontId="13" fillId="11" borderId="30" xfId="0" applyNumberFormat="1" applyFont="1" applyFill="1" applyBorder="1" applyAlignment="1">
      <alignment horizontal="center"/>
    </xf>
    <xf numFmtId="4" fontId="2" fillId="3" borderId="15" xfId="0" applyNumberFormat="1" applyFont="1" applyFill="1" applyBorder="1" applyAlignment="1">
      <alignment horizontal="center"/>
    </xf>
    <xf numFmtId="10" fontId="7" fillId="8" borderId="15" xfId="0" applyNumberFormat="1" applyFont="1" applyFill="1" applyBorder="1" applyAlignment="1">
      <alignment horizontal="center"/>
    </xf>
    <xf numFmtId="10" fontId="7" fillId="9" borderId="15" xfId="0" applyNumberFormat="1" applyFont="1" applyFill="1" applyBorder="1" applyAlignment="1">
      <alignment horizontal="center"/>
    </xf>
    <xf numFmtId="4" fontId="7" fillId="10" borderId="75" xfId="0" applyNumberFormat="1" applyFont="1" applyFill="1" applyBorder="1" applyAlignment="1">
      <alignment horizontal="center"/>
    </xf>
    <xf numFmtId="9" fontId="0" fillId="14" borderId="27" xfId="3" applyFont="1" applyFill="1" applyBorder="1" applyAlignment="1">
      <alignment horizontal="center" vertical="center"/>
    </xf>
    <xf numFmtId="4" fontId="13" fillId="14" borderId="30" xfId="0" applyNumberFormat="1" applyFont="1" applyFill="1" applyBorder="1" applyAlignment="1">
      <alignment horizontal="center"/>
    </xf>
    <xf numFmtId="4" fontId="7" fillId="14" borderId="15" xfId="0" applyNumberFormat="1" applyFont="1" applyFill="1" applyBorder="1" applyAlignment="1">
      <alignment horizontal="center"/>
    </xf>
    <xf numFmtId="4" fontId="11" fillId="0" borderId="75" xfId="0" applyNumberFormat="1" applyFont="1" applyBorder="1" applyAlignment="1">
      <alignment horizontal="center"/>
    </xf>
    <xf numFmtId="4" fontId="2" fillId="10" borderId="43" xfId="0" applyNumberFormat="1" applyFont="1" applyFill="1" applyBorder="1" applyAlignment="1">
      <alignment horizontal="center"/>
    </xf>
    <xf numFmtId="4" fontId="1" fillId="10" borderId="25" xfId="0" applyNumberFormat="1" applyFont="1" applyFill="1" applyBorder="1" applyAlignment="1">
      <alignment horizontal="center"/>
    </xf>
    <xf numFmtId="4" fontId="1" fillId="10" borderId="13" xfId="0" applyNumberFormat="1" applyFont="1" applyFill="1" applyBorder="1" applyAlignment="1">
      <alignment horizontal="center"/>
    </xf>
    <xf numFmtId="4" fontId="0" fillId="10" borderId="25" xfId="0" applyNumberFormat="1" applyFill="1" applyBorder="1" applyAlignment="1">
      <alignment horizontal="center"/>
    </xf>
    <xf numFmtId="4" fontId="1" fillId="6" borderId="13" xfId="0" applyNumberFormat="1" applyFont="1" applyFill="1" applyBorder="1" applyAlignment="1">
      <alignment horizontal="center" wrapText="1"/>
    </xf>
    <xf numFmtId="4" fontId="1" fillId="12" borderId="27" xfId="0" applyNumberFormat="1" applyFont="1" applyFill="1" applyBorder="1" applyAlignment="1">
      <alignment horizontal="center"/>
    </xf>
    <xf numFmtId="10" fontId="0" fillId="3" borderId="13" xfId="0" applyNumberFormat="1" applyFill="1" applyBorder="1" applyAlignment="1">
      <alignment horizontal="center"/>
    </xf>
    <xf numFmtId="4" fontId="0" fillId="4" borderId="13" xfId="0" applyNumberFormat="1" applyFill="1" applyBorder="1" applyAlignment="1">
      <alignment horizontal="center"/>
    </xf>
    <xf numFmtId="10" fontId="0" fillId="4" borderId="13" xfId="0" applyNumberFormat="1" applyFill="1" applyBorder="1" applyAlignment="1">
      <alignment horizontal="center"/>
    </xf>
    <xf numFmtId="4" fontId="0" fillId="5" borderId="13" xfId="0" applyNumberFormat="1" applyFill="1" applyBorder="1" applyAlignment="1">
      <alignment horizontal="center"/>
    </xf>
    <xf numFmtId="165" fontId="8" fillId="6" borderId="34" xfId="0" applyNumberFormat="1" applyFont="1" applyFill="1" applyBorder="1" applyAlignment="1">
      <alignment horizontal="center"/>
    </xf>
    <xf numFmtId="4" fontId="1" fillId="6" borderId="34" xfId="0" applyNumberFormat="1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4" fontId="0" fillId="10" borderId="0" xfId="0" applyNumberFormat="1" applyFill="1" applyAlignment="1">
      <alignment horizontal="center"/>
    </xf>
    <xf numFmtId="0" fontId="6" fillId="0" borderId="49" xfId="0" applyFont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8" fillId="6" borderId="49" xfId="0" applyFont="1" applyFill="1" applyBorder="1"/>
    <xf numFmtId="4" fontId="8" fillId="6" borderId="49" xfId="0" applyNumberFormat="1" applyFont="1" applyFill="1" applyBorder="1" applyAlignment="1">
      <alignment horizontal="center"/>
    </xf>
    <xf numFmtId="4" fontId="8" fillId="0" borderId="49" xfId="0" applyNumberFormat="1" applyFont="1" applyBorder="1" applyAlignment="1">
      <alignment horizontal="center"/>
    </xf>
    <xf numFmtId="9" fontId="0" fillId="0" borderId="49" xfId="3" applyFont="1" applyFill="1" applyBorder="1" applyAlignment="1">
      <alignment horizontal="center" vertical="center"/>
    </xf>
    <xf numFmtId="4" fontId="0" fillId="0" borderId="49" xfId="0" applyNumberFormat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8" fillId="6" borderId="49" xfId="0" applyFont="1" applyFill="1" applyBorder="1" applyAlignment="1">
      <alignment horizontal="left"/>
    </xf>
    <xf numFmtId="4" fontId="0" fillId="6" borderId="49" xfId="0" applyNumberFormat="1" applyFill="1" applyBorder="1" applyAlignment="1">
      <alignment horizontal="center"/>
    </xf>
    <xf numFmtId="0" fontId="0" fillId="6" borderId="49" xfId="0" applyFill="1" applyBorder="1"/>
    <xf numFmtId="4" fontId="8" fillId="6" borderId="12" xfId="0" applyNumberFormat="1" applyFont="1" applyFill="1" applyBorder="1" applyAlignment="1">
      <alignment horizontal="center"/>
    </xf>
    <xf numFmtId="4" fontId="8" fillId="12" borderId="47" xfId="0" applyNumberFormat="1" applyFont="1" applyFill="1" applyBorder="1" applyAlignment="1">
      <alignment horizontal="center"/>
    </xf>
    <xf numFmtId="4" fontId="13" fillId="12" borderId="47" xfId="0" applyNumberFormat="1" applyFont="1" applyFill="1" applyBorder="1" applyAlignment="1">
      <alignment horizontal="center"/>
    </xf>
    <xf numFmtId="4" fontId="13" fillId="12" borderId="12" xfId="0" applyNumberFormat="1" applyFont="1" applyFill="1" applyBorder="1" applyAlignment="1">
      <alignment horizontal="center"/>
    </xf>
    <xf numFmtId="4" fontId="13" fillId="6" borderId="77" xfId="0" applyNumberFormat="1" applyFont="1" applyFill="1" applyBorder="1" applyAlignment="1">
      <alignment horizontal="center"/>
    </xf>
    <xf numFmtId="4" fontId="13" fillId="13" borderId="86" xfId="0" applyNumberFormat="1" applyFont="1" applyFill="1" applyBorder="1" applyAlignment="1">
      <alignment horizontal="center"/>
    </xf>
    <xf numFmtId="4" fontId="13" fillId="14" borderId="78" xfId="0" applyNumberFormat="1" applyFont="1" applyFill="1" applyBorder="1" applyAlignment="1">
      <alignment horizontal="center"/>
    </xf>
    <xf numFmtId="4" fontId="13" fillId="13" borderId="77" xfId="0" applyNumberFormat="1" applyFont="1" applyFill="1" applyBorder="1" applyAlignment="1">
      <alignment horizontal="center"/>
    </xf>
    <xf numFmtId="4" fontId="8" fillId="6" borderId="54" xfId="0" applyNumberFormat="1" applyFont="1" applyFill="1" applyBorder="1" applyAlignment="1">
      <alignment horizontal="center"/>
    </xf>
    <xf numFmtId="4" fontId="0" fillId="6" borderId="54" xfId="0" applyNumberFormat="1" applyFill="1" applyBorder="1" applyAlignment="1">
      <alignment horizontal="center"/>
    </xf>
    <xf numFmtId="4" fontId="8" fillId="13" borderId="46" xfId="0" applyNumberFormat="1" applyFont="1" applyFill="1" applyBorder="1" applyAlignment="1">
      <alignment horizontal="left"/>
    </xf>
    <xf numFmtId="4" fontId="8" fillId="6" borderId="12" xfId="0" applyNumberFormat="1" applyFont="1" applyFill="1" applyBorder="1" applyAlignment="1">
      <alignment horizontal="left" vertical="center"/>
    </xf>
    <xf numFmtId="4" fontId="8" fillId="6" borderId="47" xfId="0" applyNumberFormat="1" applyFont="1" applyFill="1" applyBorder="1" applyAlignment="1">
      <alignment horizontal="left" vertical="center"/>
    </xf>
    <xf numFmtId="4" fontId="8" fillId="13" borderId="46" xfId="0" applyNumberFormat="1" applyFont="1" applyFill="1" applyBorder="1" applyAlignment="1">
      <alignment horizontal="left" vertical="center"/>
    </xf>
    <xf numFmtId="4" fontId="8" fillId="0" borderId="12" xfId="0" applyNumberFormat="1" applyFont="1" applyBorder="1" applyAlignment="1">
      <alignment horizontal="left" vertical="center"/>
    </xf>
    <xf numFmtId="4" fontId="8" fillId="6" borderId="83" xfId="0" applyNumberFormat="1" applyFont="1" applyFill="1" applyBorder="1" applyAlignment="1">
      <alignment horizontal="left"/>
    </xf>
    <xf numFmtId="4" fontId="0" fillId="6" borderId="83" xfId="0" applyNumberFormat="1" applyFill="1" applyBorder="1" applyAlignment="1">
      <alignment horizontal="center"/>
    </xf>
    <xf numFmtId="4" fontId="8" fillId="0" borderId="83" xfId="0" applyNumberFormat="1" applyFont="1" applyBorder="1" applyAlignment="1">
      <alignment horizontal="center"/>
    </xf>
    <xf numFmtId="4" fontId="0" fillId="0" borderId="83" xfId="0" applyNumberFormat="1" applyBorder="1" applyAlignment="1">
      <alignment horizontal="center"/>
    </xf>
    <xf numFmtId="165" fontId="0" fillId="6" borderId="13" xfId="0" applyNumberFormat="1" applyFill="1" applyBorder="1" applyAlignment="1">
      <alignment horizontal="center"/>
    </xf>
    <xf numFmtId="4" fontId="17" fillId="8" borderId="13" xfId="0" applyNumberFormat="1" applyFont="1" applyFill="1" applyBorder="1" applyAlignment="1">
      <alignment horizontal="center"/>
    </xf>
    <xf numFmtId="10" fontId="0" fillId="8" borderId="13" xfId="3" applyNumberFormat="1" applyFont="1" applyFill="1" applyBorder="1" applyAlignment="1">
      <alignment horizontal="center"/>
    </xf>
    <xf numFmtId="4" fontId="17" fillId="9" borderId="13" xfId="0" applyNumberFormat="1" applyFont="1" applyFill="1" applyBorder="1" applyAlignment="1">
      <alignment horizontal="center"/>
    </xf>
    <xf numFmtId="4" fontId="17" fillId="10" borderId="13" xfId="0" applyNumberFormat="1" applyFont="1" applyFill="1" applyBorder="1" applyAlignment="1">
      <alignment horizontal="center"/>
    </xf>
    <xf numFmtId="9" fontId="0" fillId="0" borderId="59" xfId="3" applyFont="1" applyFill="1" applyBorder="1" applyAlignment="1">
      <alignment horizontal="center" vertical="center"/>
    </xf>
    <xf numFmtId="4" fontId="8" fillId="0" borderId="59" xfId="0" applyNumberFormat="1" applyFont="1" applyBorder="1" applyAlignment="1">
      <alignment horizontal="center"/>
    </xf>
    <xf numFmtId="4" fontId="0" fillId="0" borderId="59" xfId="0" applyNumberFormat="1" applyBorder="1" applyAlignment="1">
      <alignment horizontal="center"/>
    </xf>
    <xf numFmtId="4" fontId="0" fillId="0" borderId="84" xfId="0" applyNumberFormat="1" applyBorder="1" applyAlignment="1">
      <alignment horizontal="center"/>
    </xf>
    <xf numFmtId="9" fontId="0" fillId="6" borderId="0" xfId="3" applyFont="1" applyFill="1" applyBorder="1" applyAlignment="1">
      <alignment horizontal="center"/>
    </xf>
    <xf numFmtId="9" fontId="19" fillId="0" borderId="0" xfId="3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9" fontId="19" fillId="0" borderId="0" xfId="3" applyFont="1" applyFill="1" applyBorder="1" applyAlignment="1">
      <alignment horizontal="center"/>
    </xf>
    <xf numFmtId="4" fontId="13" fillId="12" borderId="43" xfId="0" applyNumberFormat="1" applyFont="1" applyFill="1" applyBorder="1" applyAlignment="1">
      <alignment horizontal="center"/>
    </xf>
    <xf numFmtId="4" fontId="13" fillId="0" borderId="75" xfId="0" applyNumberFormat="1" applyFont="1" applyBorder="1" applyAlignment="1">
      <alignment horizontal="center"/>
    </xf>
    <xf numFmtId="4" fontId="13" fillId="0" borderId="21" xfId="0" applyNumberFormat="1" applyFont="1" applyBorder="1" applyAlignment="1">
      <alignment horizontal="center"/>
    </xf>
    <xf numFmtId="4" fontId="8" fillId="6" borderId="87" xfId="0" applyNumberFormat="1" applyFont="1" applyFill="1" applyBorder="1" applyAlignment="1">
      <alignment horizontal="center"/>
    </xf>
    <xf numFmtId="165" fontId="8" fillId="6" borderId="75" xfId="0" applyNumberFormat="1" applyFont="1" applyFill="1" applyBorder="1" applyAlignment="1">
      <alignment horizontal="center"/>
    </xf>
    <xf numFmtId="9" fontId="1" fillId="0" borderId="67" xfId="3" applyFont="1" applyFill="1" applyBorder="1" applyAlignment="1">
      <alignment horizontal="center" vertical="top" wrapText="1"/>
    </xf>
    <xf numFmtId="9" fontId="0" fillId="15" borderId="27" xfId="3" applyFont="1" applyFill="1" applyBorder="1" applyAlignment="1">
      <alignment horizontal="center" vertical="center"/>
    </xf>
    <xf numFmtId="0" fontId="6" fillId="0" borderId="67" xfId="0" applyFont="1" applyBorder="1" applyAlignment="1">
      <alignment horizontal="center"/>
    </xf>
    <xf numFmtId="4" fontId="7" fillId="0" borderId="67" xfId="0" applyNumberFormat="1" applyFont="1" applyBorder="1" applyAlignment="1">
      <alignment horizontal="center"/>
    </xf>
    <xf numFmtId="4" fontId="1" fillId="0" borderId="67" xfId="0" applyNumberFormat="1" applyFont="1" applyBorder="1" applyAlignment="1">
      <alignment horizontal="center"/>
    </xf>
    <xf numFmtId="4" fontId="7" fillId="0" borderId="27" xfId="0" applyNumberFormat="1" applyFont="1" applyBorder="1" applyAlignment="1">
      <alignment horizontal="left" vertical="center"/>
    </xf>
    <xf numFmtId="4" fontId="7" fillId="0" borderId="2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4" fontId="1" fillId="0" borderId="27" xfId="0" applyNumberFormat="1" applyFont="1" applyBorder="1" applyAlignment="1">
      <alignment horizontal="center" vertical="center"/>
    </xf>
    <xf numFmtId="10" fontId="1" fillId="0" borderId="27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27" xfId="0" applyFont="1" applyBorder="1" applyAlignment="1">
      <alignment horizontal="center" vertical="center"/>
    </xf>
    <xf numFmtId="4" fontId="7" fillId="0" borderId="88" xfId="0" applyNumberFormat="1" applyFont="1" applyBorder="1" applyAlignment="1">
      <alignment horizontal="center"/>
    </xf>
    <xf numFmtId="4" fontId="24" fillId="0" borderId="28" xfId="0" applyNumberFormat="1" applyFont="1" applyBorder="1" applyAlignment="1">
      <alignment horizontal="center" vertical="center"/>
    </xf>
    <xf numFmtId="9" fontId="23" fillId="0" borderId="89" xfId="0" applyNumberFormat="1" applyFont="1" applyBorder="1" applyAlignment="1">
      <alignment horizontal="center" wrapText="1"/>
    </xf>
    <xf numFmtId="4" fontId="23" fillId="0" borderId="90" xfId="0" applyNumberFormat="1" applyFont="1" applyBorder="1" applyAlignment="1">
      <alignment horizontal="center" wrapText="1"/>
    </xf>
    <xf numFmtId="9" fontId="15" fillId="0" borderId="91" xfId="3" applyFont="1" applyFill="1" applyBorder="1" applyAlignment="1">
      <alignment horizontal="center" vertical="center"/>
    </xf>
    <xf numFmtId="9" fontId="1" fillId="0" borderId="91" xfId="3" applyFont="1" applyFill="1" applyBorder="1" applyAlignment="1">
      <alignment horizontal="center"/>
    </xf>
    <xf numFmtId="4" fontId="21" fillId="0" borderId="91" xfId="0" applyNumberFormat="1" applyFont="1" applyBorder="1" applyAlignment="1">
      <alignment horizontal="center" vertical="center"/>
    </xf>
    <xf numFmtId="9" fontId="7" fillId="0" borderId="93" xfId="0" applyNumberFormat="1" applyFont="1" applyBorder="1" applyAlignment="1">
      <alignment horizontal="center"/>
    </xf>
    <xf numFmtId="9" fontId="26" fillId="0" borderId="94" xfId="3" applyFont="1" applyFill="1" applyBorder="1" applyAlignment="1">
      <alignment horizontal="center" vertical="center"/>
    </xf>
    <xf numFmtId="9" fontId="26" fillId="0" borderId="95" xfId="3" applyFont="1" applyFill="1" applyBorder="1" applyAlignment="1">
      <alignment horizontal="center" vertical="center"/>
    </xf>
    <xf numFmtId="4" fontId="7" fillId="0" borderId="40" xfId="0" applyNumberFormat="1" applyFont="1" applyBorder="1" applyAlignment="1">
      <alignment horizontal="center" vertical="center"/>
    </xf>
    <xf numFmtId="9" fontId="0" fillId="15" borderId="40" xfId="3" applyFont="1" applyFill="1" applyBorder="1" applyAlignment="1">
      <alignment horizontal="center" vertical="center"/>
    </xf>
    <xf numFmtId="4" fontId="8" fillId="0" borderId="40" xfId="0" applyNumberFormat="1" applyFont="1" applyBorder="1" applyAlignment="1">
      <alignment horizontal="center" vertical="center"/>
    </xf>
    <xf numFmtId="4" fontId="1" fillId="0" borderId="40" xfId="0" applyNumberFormat="1" applyFont="1" applyBorder="1" applyAlignment="1">
      <alignment horizontal="center" vertical="center"/>
    </xf>
    <xf numFmtId="10" fontId="1" fillId="0" borderId="40" xfId="0" applyNumberFormat="1" applyFont="1" applyBorder="1" applyAlignment="1">
      <alignment horizontal="center" vertical="center"/>
    </xf>
    <xf numFmtId="0" fontId="23" fillId="0" borderId="89" xfId="0" applyFont="1" applyBorder="1" applyAlignment="1">
      <alignment horizontal="center"/>
    </xf>
    <xf numFmtId="0" fontId="23" fillId="0" borderId="91" xfId="0" applyFont="1" applyBorder="1" applyAlignment="1">
      <alignment horizontal="center"/>
    </xf>
    <xf numFmtId="4" fontId="23" fillId="0" borderId="91" xfId="0" applyNumberFormat="1" applyFont="1" applyBorder="1" applyAlignment="1">
      <alignment horizontal="center"/>
    </xf>
    <xf numFmtId="4" fontId="23" fillId="0" borderId="92" xfId="0" applyNumberFormat="1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6" fillId="0" borderId="94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4" fontId="7" fillId="0" borderId="40" xfId="0" applyNumberFormat="1" applyFont="1" applyBorder="1" applyAlignment="1">
      <alignment horizontal="left" vertical="center"/>
    </xf>
    <xf numFmtId="4" fontId="24" fillId="0" borderId="57" xfId="0" applyNumberFormat="1" applyFont="1" applyBorder="1" applyAlignment="1">
      <alignment horizontal="center" vertical="center"/>
    </xf>
    <xf numFmtId="4" fontId="23" fillId="0" borderId="90" xfId="0" applyNumberFormat="1" applyFont="1" applyBorder="1" applyAlignment="1">
      <alignment horizontal="center"/>
    </xf>
    <xf numFmtId="4" fontId="7" fillId="0" borderId="96" xfId="0" applyNumberFormat="1" applyFont="1" applyBorder="1" applyAlignment="1">
      <alignment horizontal="center"/>
    </xf>
    <xf numFmtId="4" fontId="24" fillId="0" borderId="30" xfId="0" applyNumberFormat="1" applyFont="1" applyBorder="1" applyAlignment="1">
      <alignment horizontal="center" vertical="center"/>
    </xf>
    <xf numFmtId="4" fontId="24" fillId="0" borderId="53" xfId="0" applyNumberFormat="1" applyFont="1" applyBorder="1" applyAlignment="1">
      <alignment horizontal="center" vertical="center"/>
    </xf>
    <xf numFmtId="4" fontId="23" fillId="0" borderId="91" xfId="0" applyNumberFormat="1" applyFont="1" applyBorder="1" applyAlignment="1">
      <alignment horizontal="center" wrapText="1"/>
    </xf>
    <xf numFmtId="4" fontId="0" fillId="6" borderId="43" xfId="0" applyNumberFormat="1" applyFill="1" applyBorder="1" applyAlignment="1">
      <alignment horizontal="center" wrapText="1"/>
    </xf>
    <xf numFmtId="4" fontId="0" fillId="6" borderId="25" xfId="0" applyNumberFormat="1" applyFill="1" applyBorder="1" applyAlignment="1">
      <alignment horizontal="center" wrapText="1"/>
    </xf>
    <xf numFmtId="4" fontId="0" fillId="6" borderId="1" xfId="0" applyNumberFormat="1" applyFill="1" applyBorder="1" applyAlignment="1">
      <alignment horizontal="center" wrapText="1"/>
    </xf>
    <xf numFmtId="4" fontId="0" fillId="6" borderId="3" xfId="0" applyNumberFormat="1" applyFill="1" applyBorder="1" applyAlignment="1">
      <alignment horizontal="center" wrapText="1"/>
    </xf>
    <xf numFmtId="0" fontId="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7" fillId="0" borderId="26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7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7" xfId="0" applyFont="1" applyBorder="1"/>
    <xf numFmtId="0" fontId="0" fillId="0" borderId="43" xfId="0" applyBorder="1" applyAlignment="1">
      <alignment horizontal="center"/>
    </xf>
    <xf numFmtId="0" fontId="7" fillId="0" borderId="27" xfId="0" applyFont="1" applyBorder="1" applyAlignment="1">
      <alignment vertical="center"/>
    </xf>
    <xf numFmtId="0" fontId="0" fillId="0" borderId="74" xfId="0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4" fontId="15" fillId="0" borderId="76" xfId="0" applyNumberFormat="1" applyFont="1" applyBorder="1" applyAlignment="1">
      <alignment horizontal="center" vertical="center"/>
    </xf>
    <xf numFmtId="4" fontId="1" fillId="0" borderId="28" xfId="0" applyNumberFormat="1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27" xfId="0" applyFont="1" applyBorder="1" applyAlignment="1">
      <alignment horizontal="center"/>
    </xf>
  </cellXfs>
  <cellStyles count="10">
    <cellStyle name="Comma" xfId="1" builtinId="3"/>
    <cellStyle name="Comma 2" xfId="2"/>
    <cellStyle name="Comma 3" xfId="8"/>
    <cellStyle name="Comma 4" xfId="9"/>
    <cellStyle name="Normal" xfId="0" builtinId="0"/>
    <cellStyle name="Normal 2" xfId="4"/>
    <cellStyle name="Normal 3" xfId="7"/>
    <cellStyle name="Normal 4" xfId="6"/>
    <cellStyle name="Percent" xfId="3" builtinId="5"/>
    <cellStyle name="Percent 2" xfId="5"/>
  </cellStyles>
  <dxfs count="29"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u val="none"/>
        <color theme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0000"/>
      <color rgb="FFFCD5B4"/>
      <color rgb="FFDA9694"/>
      <color rgb="FF0000FF"/>
      <color rgb="FFB7DEE8"/>
      <color rgb="FFE7F0B0"/>
      <color rgb="FFD8E4BC"/>
      <color rgb="FFFF99FF"/>
      <color rgb="FFC0504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-0.249977111117893"/>
    <pageSetUpPr fitToPage="1"/>
  </sheetPr>
  <dimension ref="A1:AL87"/>
  <sheetViews>
    <sheetView zoomScale="90" zoomScaleNormal="90" zoomScaleSheetLayoutView="100"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AB46" sqref="AB46"/>
    </sheetView>
  </sheetViews>
  <sheetFormatPr defaultRowHeight="15" x14ac:dyDescent="0.25"/>
  <cols>
    <col min="1" max="1" width="6.5703125" style="377" customWidth="1"/>
    <col min="2" max="2" width="8.42578125" style="377" customWidth="1"/>
    <col min="3" max="3" width="10.42578125" style="504" customWidth="1"/>
    <col min="4" max="4" width="66.28515625" style="270" customWidth="1"/>
    <col min="5" max="5" width="50.140625" style="478" customWidth="1"/>
    <col min="6" max="6" width="14.5703125" style="478" customWidth="1"/>
    <col min="7" max="7" width="18.140625" style="478" customWidth="1"/>
    <col min="8" max="8" width="6.42578125" style="535" customWidth="1"/>
    <col min="9" max="9" width="7.28515625" style="535" bestFit="1" customWidth="1"/>
    <col min="10" max="10" width="6.5703125" style="535" customWidth="1"/>
    <col min="11" max="11" width="6.42578125" style="535" customWidth="1"/>
    <col min="12" max="12" width="7.5703125" style="535" customWidth="1"/>
    <col min="13" max="13" width="6.42578125" style="535" customWidth="1"/>
    <col min="14" max="14" width="7.5703125" style="535" customWidth="1"/>
    <col min="15" max="15" width="7.85546875" style="535" customWidth="1"/>
    <col min="16" max="16" width="6.5703125" style="29" customWidth="1"/>
    <col min="17" max="17" width="15.5703125" style="29" customWidth="1"/>
    <col min="18" max="18" width="16.7109375" style="478" customWidth="1"/>
    <col min="19" max="19" width="11.7109375" style="480" customWidth="1"/>
    <col min="20" max="20" width="14" style="478" customWidth="1"/>
    <col min="21" max="21" width="16" style="478" customWidth="1"/>
    <col min="22" max="22" width="23.42578125" style="2" bestFit="1" customWidth="1"/>
    <col min="23" max="23" width="9.140625" style="510" customWidth="1"/>
    <col min="24" max="24" width="15.42578125" style="510" customWidth="1"/>
    <col min="25" max="25" width="18.5703125" style="510" bestFit="1" customWidth="1"/>
    <col min="26" max="26" width="8.42578125" style="510" bestFit="1" customWidth="1"/>
    <col min="27" max="27" width="15" style="665" customWidth="1"/>
    <col min="28" max="28" width="14.85546875" style="510" customWidth="1"/>
    <col min="29" max="29" width="17.7109375" style="510" customWidth="1"/>
    <col min="30" max="30" width="36.7109375" style="510" customWidth="1"/>
    <col min="31" max="31" width="15.7109375" style="2" customWidth="1"/>
    <col min="32" max="32" width="14.42578125" style="2" customWidth="1"/>
    <col min="33" max="33" width="15.42578125" style="2" customWidth="1"/>
    <col min="34" max="34" width="14" style="2" customWidth="1"/>
    <col min="35" max="35" width="11" style="1" bestFit="1" customWidth="1"/>
    <col min="36" max="38" width="9" style="1" customWidth="1"/>
  </cols>
  <sheetData>
    <row r="1" spans="1:38" s="3" customFormat="1" ht="18.75" x14ac:dyDescent="0.25">
      <c r="A1" s="399" t="s">
        <v>0</v>
      </c>
      <c r="B1" s="399" t="s">
        <v>18</v>
      </c>
      <c r="C1" s="485" t="s">
        <v>7</v>
      </c>
      <c r="D1" s="497" t="s">
        <v>8</v>
      </c>
      <c r="E1" s="389" t="s">
        <v>9</v>
      </c>
      <c r="F1" s="389" t="s">
        <v>153</v>
      </c>
      <c r="G1" s="487" t="s">
        <v>38</v>
      </c>
      <c r="H1" s="488"/>
      <c r="I1" s="489" t="s">
        <v>147</v>
      </c>
      <c r="J1" s="489" t="s">
        <v>147</v>
      </c>
      <c r="K1" s="489" t="s">
        <v>147</v>
      </c>
      <c r="L1" s="489" t="s">
        <v>147</v>
      </c>
      <c r="M1" s="489"/>
      <c r="N1" s="489" t="s">
        <v>147</v>
      </c>
      <c r="O1" s="489" t="s">
        <v>147</v>
      </c>
      <c r="P1" s="486"/>
      <c r="Q1" s="490"/>
      <c r="R1" s="491" t="s">
        <v>2</v>
      </c>
      <c r="S1" s="492" t="s">
        <v>10</v>
      </c>
      <c r="T1" s="768" t="s">
        <v>91</v>
      </c>
      <c r="U1" s="493"/>
      <c r="V1" s="547" t="s">
        <v>13</v>
      </c>
      <c r="W1" s="120" t="s">
        <v>12</v>
      </c>
      <c r="X1" s="494"/>
      <c r="Y1" s="494" t="s">
        <v>3</v>
      </c>
      <c r="Z1" s="494" t="s">
        <v>12</v>
      </c>
      <c r="AA1" s="662"/>
      <c r="AB1" s="513" t="s">
        <v>20</v>
      </c>
      <c r="AC1" s="513" t="s">
        <v>19</v>
      </c>
      <c r="AD1" s="519" t="s">
        <v>1</v>
      </c>
      <c r="AE1" s="516"/>
      <c r="AF1" s="2" t="s">
        <v>4</v>
      </c>
      <c r="AG1" s="2" t="s">
        <v>5</v>
      </c>
      <c r="AH1" s="2" t="s">
        <v>6</v>
      </c>
      <c r="AI1" s="1"/>
      <c r="AJ1" s="1"/>
      <c r="AK1" s="1"/>
      <c r="AL1" s="1"/>
    </row>
    <row r="2" spans="1:38" s="3" customFormat="1" ht="65.25" customHeight="1" x14ac:dyDescent="0.25">
      <c r="A2" s="377"/>
      <c r="B2" s="377"/>
      <c r="C2" s="377">
        <f>SUBTOTAL(3,C10:C31)</f>
        <v>22</v>
      </c>
      <c r="D2" s="270"/>
      <c r="E2" s="270"/>
      <c r="F2" s="478"/>
      <c r="G2" s="478"/>
      <c r="H2" s="192" t="s">
        <v>143</v>
      </c>
      <c r="I2" s="192" t="s">
        <v>150</v>
      </c>
      <c r="J2" s="192" t="s">
        <v>144</v>
      </c>
      <c r="K2" s="192" t="s">
        <v>151</v>
      </c>
      <c r="L2" s="192" t="s">
        <v>152</v>
      </c>
      <c r="M2" s="192" t="s">
        <v>176</v>
      </c>
      <c r="N2" s="192" t="s">
        <v>148</v>
      </c>
      <c r="O2" s="192" t="s">
        <v>149</v>
      </c>
      <c r="P2" s="315" t="s">
        <v>146</v>
      </c>
      <c r="Q2" s="539">
        <f>SUM(Q12)</f>
        <v>0</v>
      </c>
      <c r="R2" s="479">
        <f>SUM(R9:R42)</f>
        <v>126487409.64</v>
      </c>
      <c r="S2" s="480" t="s">
        <v>11</v>
      </c>
      <c r="T2" s="769"/>
      <c r="U2" s="147">
        <f>SUM(U3:U42)</f>
        <v>0</v>
      </c>
      <c r="V2" s="548">
        <f>SUM(V3:V42)</f>
        <v>123515881.32000001</v>
      </c>
      <c r="W2" s="481"/>
      <c r="X2" s="482"/>
      <c r="Y2" s="483">
        <f>SUM(Y3:Y42)</f>
        <v>123515881.32000001</v>
      </c>
      <c r="Z2" s="483"/>
      <c r="AA2" s="663"/>
      <c r="AB2" s="514">
        <f>V2-Y2</f>
        <v>0</v>
      </c>
      <c r="AC2" s="514">
        <f>SUM(AC3:AC42)</f>
        <v>43949528.320000008</v>
      </c>
      <c r="AD2" s="520"/>
      <c r="AE2" s="495"/>
      <c r="AF2" s="2"/>
      <c r="AG2" s="2"/>
      <c r="AH2" s="2"/>
      <c r="AI2" s="1"/>
      <c r="AJ2" s="1"/>
      <c r="AK2" s="1"/>
      <c r="AL2" s="1"/>
    </row>
    <row r="3" spans="1:38" s="3" customFormat="1" ht="18" customHeight="1" x14ac:dyDescent="0.25">
      <c r="A3" s="496">
        <v>1</v>
      </c>
      <c r="B3" s="496"/>
      <c r="C3" s="563" t="s">
        <v>21</v>
      </c>
      <c r="D3" s="499" t="s">
        <v>22</v>
      </c>
      <c r="E3" s="687" t="s">
        <v>23</v>
      </c>
      <c r="F3" s="136" t="s">
        <v>157</v>
      </c>
      <c r="G3" s="136" t="s">
        <v>148</v>
      </c>
      <c r="H3" s="558">
        <v>0.2</v>
      </c>
      <c r="I3" s="558"/>
      <c r="J3" s="558">
        <v>0.7</v>
      </c>
      <c r="K3" s="558"/>
      <c r="L3" s="558"/>
      <c r="M3" s="558"/>
      <c r="N3" s="558">
        <v>0.1</v>
      </c>
      <c r="O3" s="529"/>
      <c r="P3" s="538"/>
      <c r="Q3" s="540"/>
      <c r="R3" s="136">
        <v>7600000</v>
      </c>
      <c r="S3" s="138">
        <v>41506</v>
      </c>
      <c r="T3" s="666" t="s">
        <v>97</v>
      </c>
      <c r="U3" s="289"/>
      <c r="V3" s="555">
        <v>7255000</v>
      </c>
      <c r="W3" s="560">
        <f t="shared" ref="W3:W8" si="0">V3/R3</f>
        <v>0.95460526315789473</v>
      </c>
      <c r="X3" s="511"/>
      <c r="Y3" s="561">
        <v>7255000</v>
      </c>
      <c r="Z3" s="562">
        <f t="shared" ref="Z3:Z8" si="1">Y3/R3</f>
        <v>0.95460526315789473</v>
      </c>
      <c r="AA3" s="664"/>
      <c r="AB3" s="292">
        <v>0</v>
      </c>
      <c r="AC3" s="292">
        <f t="shared" ref="AC3:AC8" si="2">R3-Y3</f>
        <v>345000</v>
      </c>
      <c r="AD3" s="521"/>
      <c r="AE3" s="495"/>
      <c r="AF3" s="2"/>
      <c r="AG3" s="2"/>
      <c r="AH3" s="2"/>
      <c r="AI3" s="1"/>
      <c r="AJ3" s="1"/>
      <c r="AK3" s="1"/>
      <c r="AL3" s="1"/>
    </row>
    <row r="4" spans="1:38" s="3" customFormat="1" ht="18" customHeight="1" x14ac:dyDescent="0.25">
      <c r="A4" s="496">
        <v>2</v>
      </c>
      <c r="B4" s="496"/>
      <c r="C4" s="563" t="s">
        <v>28</v>
      </c>
      <c r="D4" s="499" t="s">
        <v>29</v>
      </c>
      <c r="E4" s="687" t="s">
        <v>30</v>
      </c>
      <c r="F4" s="136" t="s">
        <v>156</v>
      </c>
      <c r="G4" s="136" t="s">
        <v>148</v>
      </c>
      <c r="H4" s="558">
        <v>0.3</v>
      </c>
      <c r="I4" s="558"/>
      <c r="J4" s="558"/>
      <c r="K4" s="558"/>
      <c r="L4" s="558">
        <v>0.5</v>
      </c>
      <c r="M4" s="558"/>
      <c r="N4" s="558">
        <v>0.2</v>
      </c>
      <c r="O4" s="529"/>
      <c r="P4" s="538"/>
      <c r="Q4" s="540"/>
      <c r="R4" s="136">
        <v>1918000</v>
      </c>
      <c r="S4" s="138">
        <v>42163</v>
      </c>
      <c r="T4" s="666" t="s">
        <v>97</v>
      </c>
      <c r="U4" s="289"/>
      <c r="V4" s="555">
        <v>1534400</v>
      </c>
      <c r="W4" s="560">
        <f t="shared" si="0"/>
        <v>0.8</v>
      </c>
      <c r="X4" s="511"/>
      <c r="Y4" s="561">
        <v>1534400</v>
      </c>
      <c r="Z4" s="562">
        <f t="shared" si="1"/>
        <v>0.8</v>
      </c>
      <c r="AA4" s="664"/>
      <c r="AB4" s="292">
        <v>0</v>
      </c>
      <c r="AC4" s="292">
        <f t="shared" si="2"/>
        <v>383600</v>
      </c>
      <c r="AD4" s="521"/>
      <c r="AE4" s="495"/>
      <c r="AF4" s="2"/>
      <c r="AG4" s="2"/>
      <c r="AH4" s="2"/>
      <c r="AI4" s="1"/>
      <c r="AJ4" s="1"/>
      <c r="AK4" s="1"/>
      <c r="AL4" s="1"/>
    </row>
    <row r="5" spans="1:38" s="3" customFormat="1" ht="18" customHeight="1" x14ac:dyDescent="0.25">
      <c r="A5" s="496">
        <v>3</v>
      </c>
      <c r="B5" s="496"/>
      <c r="C5" s="563" t="s">
        <v>60</v>
      </c>
      <c r="D5" s="499" t="s">
        <v>42</v>
      </c>
      <c r="E5" s="687" t="s">
        <v>45</v>
      </c>
      <c r="F5" s="136" t="s">
        <v>156</v>
      </c>
      <c r="G5" s="136" t="s">
        <v>148</v>
      </c>
      <c r="H5" s="558">
        <v>0.1</v>
      </c>
      <c r="I5" s="558"/>
      <c r="J5" s="558"/>
      <c r="K5" s="558"/>
      <c r="L5" s="558">
        <v>0.1</v>
      </c>
      <c r="M5" s="558">
        <v>0.7</v>
      </c>
      <c r="N5" s="558">
        <v>0.1</v>
      </c>
      <c r="O5" s="529"/>
      <c r="P5" s="538"/>
      <c r="Q5" s="540"/>
      <c r="R5" s="136">
        <v>4455000</v>
      </c>
      <c r="S5" s="138">
        <v>42565</v>
      </c>
      <c r="T5" s="666" t="s">
        <v>97</v>
      </c>
      <c r="U5" s="289"/>
      <c r="V5" s="555">
        <v>4009500</v>
      </c>
      <c r="W5" s="560">
        <f t="shared" si="0"/>
        <v>0.9</v>
      </c>
      <c r="X5" s="511"/>
      <c r="Y5" s="561">
        <v>4009500</v>
      </c>
      <c r="Z5" s="562">
        <f t="shared" si="1"/>
        <v>0.9</v>
      </c>
      <c r="AA5" s="664"/>
      <c r="AB5" s="292">
        <v>0</v>
      </c>
      <c r="AC5" s="292">
        <f t="shared" si="2"/>
        <v>445500</v>
      </c>
      <c r="AD5" s="589" t="s">
        <v>246</v>
      </c>
      <c r="AE5" s="495"/>
      <c r="AF5" s="2"/>
      <c r="AG5" s="2"/>
      <c r="AH5" s="2"/>
      <c r="AI5" s="1"/>
      <c r="AJ5" s="1"/>
      <c r="AK5" s="1"/>
      <c r="AL5" s="1"/>
    </row>
    <row r="6" spans="1:38" s="3" customFormat="1" ht="18" customHeight="1" x14ac:dyDescent="0.25">
      <c r="A6" s="496">
        <v>4</v>
      </c>
      <c r="B6" s="496"/>
      <c r="C6" s="563" t="s">
        <v>66</v>
      </c>
      <c r="D6" s="499" t="s">
        <v>59</v>
      </c>
      <c r="E6" s="687" t="s">
        <v>23</v>
      </c>
      <c r="F6" s="136" t="s">
        <v>157</v>
      </c>
      <c r="G6" s="136" t="s">
        <v>148</v>
      </c>
      <c r="H6" s="558">
        <v>0.1</v>
      </c>
      <c r="I6" s="558"/>
      <c r="J6" s="558">
        <v>0.7</v>
      </c>
      <c r="K6" s="558"/>
      <c r="L6" s="558">
        <v>0.1</v>
      </c>
      <c r="M6" s="558"/>
      <c r="N6" s="558">
        <v>0.1</v>
      </c>
      <c r="O6" s="529"/>
      <c r="P6" s="538"/>
      <c r="Q6" s="540"/>
      <c r="R6" s="136">
        <v>10500000</v>
      </c>
      <c r="S6" s="138">
        <v>42615</v>
      </c>
      <c r="T6" s="666" t="s">
        <v>97</v>
      </c>
      <c r="U6" s="289"/>
      <c r="V6" s="555">
        <v>8400000</v>
      </c>
      <c r="W6" s="560">
        <f t="shared" si="0"/>
        <v>0.8</v>
      </c>
      <c r="X6" s="511"/>
      <c r="Y6" s="561">
        <v>8400000</v>
      </c>
      <c r="Z6" s="562">
        <f t="shared" si="1"/>
        <v>0.8</v>
      </c>
      <c r="AA6" s="664"/>
      <c r="AB6" s="292">
        <v>0</v>
      </c>
      <c r="AC6" s="292">
        <f t="shared" si="2"/>
        <v>2100000</v>
      </c>
      <c r="AD6" s="589"/>
      <c r="AE6" s="495"/>
      <c r="AF6" s="2"/>
      <c r="AG6" s="2"/>
      <c r="AH6" s="2"/>
      <c r="AI6" s="1"/>
      <c r="AJ6" s="1"/>
      <c r="AK6" s="1"/>
      <c r="AL6" s="1"/>
    </row>
    <row r="7" spans="1:38" s="3" customFormat="1" ht="18" customHeight="1" x14ac:dyDescent="0.25">
      <c r="A7" s="496">
        <v>5</v>
      </c>
      <c r="B7" s="496"/>
      <c r="C7" s="563" t="s">
        <v>96</v>
      </c>
      <c r="D7" s="499" t="s">
        <v>99</v>
      </c>
      <c r="E7" s="687" t="s">
        <v>26</v>
      </c>
      <c r="F7" s="723" t="s">
        <v>156</v>
      </c>
      <c r="G7" s="687" t="s">
        <v>148</v>
      </c>
      <c r="H7" s="558">
        <v>0.2</v>
      </c>
      <c r="I7" s="558"/>
      <c r="J7" s="558"/>
      <c r="K7" s="558"/>
      <c r="L7" s="558">
        <v>0.7</v>
      </c>
      <c r="M7" s="558"/>
      <c r="N7" s="558">
        <v>0.1</v>
      </c>
      <c r="O7" s="529"/>
      <c r="P7" s="538"/>
      <c r="Q7" s="540"/>
      <c r="R7" s="136">
        <v>13320000</v>
      </c>
      <c r="S7" s="138">
        <v>42615</v>
      </c>
      <c r="T7" s="666" t="s">
        <v>97</v>
      </c>
      <c r="U7" s="289"/>
      <c r="V7" s="555">
        <v>11988000</v>
      </c>
      <c r="W7" s="560">
        <f t="shared" si="0"/>
        <v>0.9</v>
      </c>
      <c r="X7" s="511"/>
      <c r="Y7" s="561">
        <v>11988000</v>
      </c>
      <c r="Z7" s="562">
        <f t="shared" si="1"/>
        <v>0.9</v>
      </c>
      <c r="AA7" s="664"/>
      <c r="AB7" s="292">
        <v>0</v>
      </c>
      <c r="AC7" s="292">
        <f t="shared" si="2"/>
        <v>1332000</v>
      </c>
      <c r="AD7" s="589"/>
      <c r="AE7" s="495"/>
      <c r="AF7" s="2"/>
      <c r="AG7" s="2"/>
      <c r="AH7" s="2"/>
      <c r="AI7" s="1"/>
      <c r="AJ7" s="1"/>
      <c r="AK7" s="1"/>
      <c r="AL7" s="1"/>
    </row>
    <row r="8" spans="1:38" s="3" customFormat="1" ht="18" customHeight="1" x14ac:dyDescent="0.25">
      <c r="A8" s="496">
        <v>6</v>
      </c>
      <c r="B8" s="496"/>
      <c r="C8" s="563" t="s">
        <v>84</v>
      </c>
      <c r="D8" s="499" t="s">
        <v>85</v>
      </c>
      <c r="E8" s="687" t="s">
        <v>83</v>
      </c>
      <c r="F8" s="136" t="s">
        <v>157</v>
      </c>
      <c r="G8" s="136" t="s">
        <v>148</v>
      </c>
      <c r="H8" s="558"/>
      <c r="I8" s="558"/>
      <c r="J8" s="558"/>
      <c r="K8" s="558"/>
      <c r="L8" s="558"/>
      <c r="M8" s="558">
        <v>0.6</v>
      </c>
      <c r="N8" s="558">
        <v>0.4</v>
      </c>
      <c r="O8" s="529"/>
      <c r="P8" s="538"/>
      <c r="Q8" s="540"/>
      <c r="R8" s="136">
        <v>3185000</v>
      </c>
      <c r="S8" s="138">
        <v>42664</v>
      </c>
      <c r="T8" s="666" t="s">
        <v>97</v>
      </c>
      <c r="U8" s="289"/>
      <c r="V8" s="555">
        <v>2548000</v>
      </c>
      <c r="W8" s="560">
        <f t="shared" si="0"/>
        <v>0.8</v>
      </c>
      <c r="X8" s="511"/>
      <c r="Y8" s="561">
        <v>2548000</v>
      </c>
      <c r="Z8" s="562">
        <f t="shared" si="1"/>
        <v>0.8</v>
      </c>
      <c r="AA8" s="664"/>
      <c r="AB8" s="292">
        <v>0</v>
      </c>
      <c r="AC8" s="292">
        <f t="shared" si="2"/>
        <v>637000</v>
      </c>
      <c r="AD8" s="589" t="s">
        <v>247</v>
      </c>
      <c r="AE8" s="495"/>
      <c r="AF8" s="2"/>
      <c r="AG8" s="2"/>
      <c r="AH8" s="2"/>
      <c r="AI8" s="1"/>
      <c r="AJ8" s="1"/>
      <c r="AK8" s="1"/>
      <c r="AL8" s="1"/>
    </row>
    <row r="9" spans="1:38" s="3" customFormat="1" ht="18" customHeight="1" x14ac:dyDescent="0.25">
      <c r="A9" s="566">
        <v>7</v>
      </c>
      <c r="B9" s="496" t="s">
        <v>14</v>
      </c>
      <c r="C9" s="563" t="s">
        <v>167</v>
      </c>
      <c r="D9" s="499" t="s">
        <v>168</v>
      </c>
      <c r="E9" s="136" t="s">
        <v>169</v>
      </c>
      <c r="F9" s="136" t="s">
        <v>156</v>
      </c>
      <c r="G9" s="136" t="s">
        <v>148</v>
      </c>
      <c r="H9" s="530">
        <v>0.3</v>
      </c>
      <c r="I9" s="530"/>
      <c r="J9" s="530"/>
      <c r="K9" s="530"/>
      <c r="L9" s="530"/>
      <c r="M9" s="530">
        <v>0.7</v>
      </c>
      <c r="N9" s="530"/>
      <c r="O9" s="530"/>
      <c r="P9" s="315"/>
      <c r="Q9" s="541"/>
      <c r="R9" s="76">
        <v>105000</v>
      </c>
      <c r="S9" s="138">
        <v>42741</v>
      </c>
      <c r="T9" s="666" t="s">
        <v>97</v>
      </c>
      <c r="U9" s="289"/>
      <c r="V9" s="555">
        <v>31500</v>
      </c>
      <c r="W9" s="668">
        <f t="shared" ref="W9:W17" si="3">V9/R9</f>
        <v>0.3</v>
      </c>
      <c r="X9" s="511"/>
      <c r="Y9" s="669">
        <v>31500</v>
      </c>
      <c r="Z9" s="670">
        <f t="shared" ref="Z9:Z17" si="4">Y9/R9</f>
        <v>0.3</v>
      </c>
      <c r="AA9" s="664"/>
      <c r="AB9" s="671">
        <f t="shared" ref="AB9:AB16" si="5">Y9-V9</f>
        <v>0</v>
      </c>
      <c r="AC9" s="671">
        <f t="shared" ref="AC9:AC42" si="6">R9-Y9</f>
        <v>73500</v>
      </c>
      <c r="AD9" s="521"/>
      <c r="AE9" s="484" t="s">
        <v>205</v>
      </c>
      <c r="AF9" s="2"/>
      <c r="AG9" s="2"/>
      <c r="AH9" s="2"/>
      <c r="AI9" s="1"/>
      <c r="AJ9" s="1"/>
      <c r="AK9" s="1"/>
      <c r="AL9" s="1"/>
    </row>
    <row r="10" spans="1:38" s="301" customFormat="1" ht="15.75" hidden="1" thickTop="1" x14ac:dyDescent="0.25">
      <c r="A10" s="564">
        <v>2</v>
      </c>
      <c r="B10" s="564" t="s">
        <v>14</v>
      </c>
      <c r="C10" s="565" t="s">
        <v>120</v>
      </c>
      <c r="D10" s="498" t="s">
        <v>122</v>
      </c>
      <c r="E10" s="688" t="s">
        <v>31</v>
      </c>
      <c r="F10" s="317" t="s">
        <v>156</v>
      </c>
      <c r="G10" s="317" t="s">
        <v>146</v>
      </c>
      <c r="H10" s="530">
        <v>0.3</v>
      </c>
      <c r="I10" s="536"/>
      <c r="J10" s="536"/>
      <c r="K10" s="537"/>
      <c r="L10" s="530"/>
      <c r="M10" s="530">
        <v>0.6</v>
      </c>
      <c r="N10" s="530">
        <v>0.1</v>
      </c>
      <c r="O10" s="536"/>
      <c r="P10" s="297"/>
      <c r="Q10" s="321"/>
      <c r="R10" s="316">
        <v>360000</v>
      </c>
      <c r="S10" s="298">
        <v>42753</v>
      </c>
      <c r="T10" s="667" t="s">
        <v>97</v>
      </c>
      <c r="U10" s="318"/>
      <c r="V10" s="512">
        <v>360000</v>
      </c>
      <c r="W10" s="320">
        <f t="shared" si="3"/>
        <v>1</v>
      </c>
      <c r="X10" s="318"/>
      <c r="Y10" s="318">
        <v>360000</v>
      </c>
      <c r="Z10" s="394">
        <f t="shared" si="4"/>
        <v>1</v>
      </c>
      <c r="AA10" s="517"/>
      <c r="AB10" s="398">
        <f t="shared" si="5"/>
        <v>0</v>
      </c>
      <c r="AC10" s="398">
        <f t="shared" si="6"/>
        <v>0</v>
      </c>
      <c r="AD10" s="522"/>
      <c r="AE10" s="299"/>
      <c r="AF10" s="299"/>
      <c r="AG10" s="299"/>
      <c r="AH10" s="299"/>
      <c r="AI10" s="300"/>
      <c r="AJ10" s="300"/>
      <c r="AK10" s="300"/>
      <c r="AL10" s="300"/>
    </row>
    <row r="11" spans="1:38" s="301" customFormat="1" hidden="1" x14ac:dyDescent="0.25">
      <c r="A11" s="390">
        <v>3</v>
      </c>
      <c r="B11" s="341" t="s">
        <v>14</v>
      </c>
      <c r="C11" s="342" t="s">
        <v>121</v>
      </c>
      <c r="D11" s="498" t="s">
        <v>123</v>
      </c>
      <c r="E11" s="689" t="s">
        <v>124</v>
      </c>
      <c r="F11" s="391" t="s">
        <v>156</v>
      </c>
      <c r="G11" s="391" t="s">
        <v>146</v>
      </c>
      <c r="H11" s="531"/>
      <c r="I11" s="531"/>
      <c r="J11" s="531"/>
      <c r="K11" s="531"/>
      <c r="L11" s="531"/>
      <c r="M11" s="531">
        <v>1</v>
      </c>
      <c r="N11" s="531"/>
      <c r="O11" s="531"/>
      <c r="P11" s="392"/>
      <c r="Q11" s="542"/>
      <c r="R11" s="393">
        <v>59600</v>
      </c>
      <c r="S11" s="348">
        <v>42753</v>
      </c>
      <c r="T11" s="295" t="s">
        <v>97</v>
      </c>
      <c r="U11" s="362"/>
      <c r="V11" s="512">
        <v>59600</v>
      </c>
      <c r="W11" s="394">
        <f t="shared" si="3"/>
        <v>1</v>
      </c>
      <c r="X11" s="362"/>
      <c r="Y11" s="395">
        <v>59600</v>
      </c>
      <c r="Z11" s="363">
        <f t="shared" si="4"/>
        <v>1</v>
      </c>
      <c r="AA11" s="403"/>
      <c r="AB11" s="361">
        <f t="shared" si="5"/>
        <v>0</v>
      </c>
      <c r="AC11" s="361">
        <f t="shared" si="6"/>
        <v>0</v>
      </c>
      <c r="AD11" s="523"/>
      <c r="AE11" s="359" t="s">
        <v>205</v>
      </c>
      <c r="AF11" s="299"/>
      <c r="AG11" s="299"/>
      <c r="AH11" s="299"/>
      <c r="AI11" s="300"/>
      <c r="AJ11" s="300"/>
      <c r="AK11" s="300"/>
      <c r="AL11" s="300"/>
    </row>
    <row r="12" spans="1:38" s="301" customFormat="1" hidden="1" x14ac:dyDescent="0.25">
      <c r="A12" s="567">
        <v>4</v>
      </c>
      <c r="B12" s="567" t="s">
        <v>14</v>
      </c>
      <c r="C12" s="568" t="s">
        <v>161</v>
      </c>
      <c r="D12" s="498" t="s">
        <v>162</v>
      </c>
      <c r="E12" s="689" t="s">
        <v>27</v>
      </c>
      <c r="F12" s="720" t="s">
        <v>156</v>
      </c>
      <c r="G12" s="356" t="s">
        <v>146</v>
      </c>
      <c r="H12" s="388"/>
      <c r="I12" s="388"/>
      <c r="J12" s="388"/>
      <c r="K12" s="388"/>
      <c r="L12" s="388"/>
      <c r="M12" s="388">
        <v>1</v>
      </c>
      <c r="N12" s="388"/>
      <c r="O12" s="388"/>
      <c r="P12" s="357"/>
      <c r="Q12" s="507"/>
      <c r="R12" s="316">
        <v>32000</v>
      </c>
      <c r="S12" s="348">
        <v>42794</v>
      </c>
      <c r="T12" s="295" t="s">
        <v>97</v>
      </c>
      <c r="U12" s="362"/>
      <c r="V12" s="512">
        <v>32000</v>
      </c>
      <c r="W12" s="363">
        <f t="shared" si="3"/>
        <v>1</v>
      </c>
      <c r="X12" s="362"/>
      <c r="Y12" s="318">
        <v>32000</v>
      </c>
      <c r="Z12" s="363">
        <f t="shared" si="4"/>
        <v>1</v>
      </c>
      <c r="AA12" s="400"/>
      <c r="AB12" s="361">
        <f t="shared" si="5"/>
        <v>0</v>
      </c>
      <c r="AC12" s="361">
        <f t="shared" si="6"/>
        <v>0</v>
      </c>
      <c r="AD12" s="523"/>
      <c r="AE12" s="299"/>
      <c r="AF12" s="299">
        <v>89000000</v>
      </c>
      <c r="AG12" s="299">
        <f>AF12*0.25</f>
        <v>22250000</v>
      </c>
      <c r="AH12" s="299">
        <f>AF12-AG12</f>
        <v>66750000</v>
      </c>
      <c r="AI12" s="300"/>
      <c r="AJ12" s="300"/>
      <c r="AK12" s="300"/>
      <c r="AL12" s="300"/>
    </row>
    <row r="13" spans="1:38" s="36" customFormat="1" x14ac:dyDescent="0.25">
      <c r="A13" s="566">
        <v>8</v>
      </c>
      <c r="B13" s="557" t="s">
        <v>14</v>
      </c>
      <c r="C13" s="37" t="s">
        <v>159</v>
      </c>
      <c r="D13" s="499" t="s">
        <v>197</v>
      </c>
      <c r="E13" s="505" t="s">
        <v>160</v>
      </c>
      <c r="F13" s="721" t="s">
        <v>156</v>
      </c>
      <c r="G13" s="271" t="s">
        <v>148</v>
      </c>
      <c r="H13" s="387">
        <v>0.2</v>
      </c>
      <c r="I13" s="387"/>
      <c r="J13" s="387"/>
      <c r="K13" s="387"/>
      <c r="L13" s="387"/>
      <c r="M13" s="387">
        <v>0.7</v>
      </c>
      <c r="N13" s="387">
        <v>0.1</v>
      </c>
      <c r="O13" s="387"/>
      <c r="P13" s="251"/>
      <c r="Q13" s="543"/>
      <c r="R13" s="136">
        <v>5000000</v>
      </c>
      <c r="S13" s="672">
        <v>42800</v>
      </c>
      <c r="T13" s="673" t="s">
        <v>97</v>
      </c>
      <c r="U13" s="141"/>
      <c r="V13" s="549">
        <f>1000000+1750000+1750000</f>
        <v>4500000</v>
      </c>
      <c r="W13" s="46">
        <f t="shared" si="3"/>
        <v>0.9</v>
      </c>
      <c r="X13" s="33"/>
      <c r="Y13" s="134">
        <f>1000000+1750000+1750000</f>
        <v>4500000</v>
      </c>
      <c r="Z13" s="290">
        <f t="shared" si="4"/>
        <v>0.9</v>
      </c>
      <c r="AA13" s="400"/>
      <c r="AB13" s="291">
        <f t="shared" si="5"/>
        <v>0</v>
      </c>
      <c r="AC13" s="400">
        <f t="shared" si="6"/>
        <v>500000</v>
      </c>
      <c r="AD13" s="661"/>
      <c r="AE13" s="383" t="s">
        <v>205</v>
      </c>
      <c r="AF13" s="34">
        <v>89000000</v>
      </c>
      <c r="AG13" s="34">
        <f>AF13*0.25</f>
        <v>22250000</v>
      </c>
      <c r="AH13" s="34">
        <f>AF13-AG13</f>
        <v>66750000</v>
      </c>
      <c r="AI13" s="35"/>
      <c r="AJ13" s="35"/>
      <c r="AK13" s="35"/>
      <c r="AL13" s="35"/>
    </row>
    <row r="14" spans="1:38" s="301" customFormat="1" hidden="1" x14ac:dyDescent="0.25">
      <c r="A14" s="569"/>
      <c r="B14" s="569"/>
      <c r="C14" s="570" t="s">
        <v>159</v>
      </c>
      <c r="D14" s="500" t="s">
        <v>198</v>
      </c>
      <c r="E14" s="690" t="s">
        <v>160</v>
      </c>
      <c r="F14" s="720" t="s">
        <v>156</v>
      </c>
      <c r="G14" s="356" t="s">
        <v>146</v>
      </c>
      <c r="H14" s="388">
        <v>0.3</v>
      </c>
      <c r="I14" s="388"/>
      <c r="J14" s="388"/>
      <c r="K14" s="388"/>
      <c r="L14" s="388">
        <v>0.7</v>
      </c>
      <c r="M14" s="388"/>
      <c r="N14" s="388"/>
      <c r="O14" s="388"/>
      <c r="P14" s="357"/>
      <c r="Q14" s="544"/>
      <c r="R14" s="396">
        <v>3500000</v>
      </c>
      <c r="S14" s="298">
        <v>42800</v>
      </c>
      <c r="T14" s="667" t="s">
        <v>97</v>
      </c>
      <c r="U14" s="397"/>
      <c r="V14" s="550">
        <f>1050000+1225000+1225000</f>
        <v>3500000</v>
      </c>
      <c r="W14" s="363">
        <f t="shared" si="3"/>
        <v>1</v>
      </c>
      <c r="X14" s="398"/>
      <c r="Y14" s="361">
        <f>1050000+1225000+1225000</f>
        <v>3500000</v>
      </c>
      <c r="Z14" s="363">
        <f t="shared" si="4"/>
        <v>1</v>
      </c>
      <c r="AA14" s="400"/>
      <c r="AB14" s="361">
        <f t="shared" si="5"/>
        <v>0</v>
      </c>
      <c r="AC14" s="400">
        <f t="shared" si="6"/>
        <v>0</v>
      </c>
      <c r="AD14" s="524"/>
      <c r="AE14" s="359" t="s">
        <v>205</v>
      </c>
      <c r="AF14" s="299"/>
      <c r="AG14" s="299"/>
      <c r="AH14" s="299"/>
      <c r="AI14" s="300"/>
      <c r="AJ14" s="300"/>
      <c r="AK14" s="300"/>
      <c r="AL14" s="300"/>
    </row>
    <row r="15" spans="1:38" s="36" customFormat="1" x14ac:dyDescent="0.25">
      <c r="A15" s="571">
        <v>9</v>
      </c>
      <c r="B15" s="557" t="s">
        <v>14</v>
      </c>
      <c r="C15" s="37" t="s">
        <v>163</v>
      </c>
      <c r="D15" s="501" t="s">
        <v>164</v>
      </c>
      <c r="E15" s="691" t="s">
        <v>165</v>
      </c>
      <c r="F15" s="722" t="s">
        <v>155</v>
      </c>
      <c r="G15" s="53" t="s">
        <v>148</v>
      </c>
      <c r="H15" s="387">
        <v>0.2</v>
      </c>
      <c r="I15" s="387"/>
      <c r="J15" s="387"/>
      <c r="K15" s="387"/>
      <c r="L15" s="387"/>
      <c r="M15" s="387">
        <v>0.7</v>
      </c>
      <c r="N15" s="387">
        <v>0.1</v>
      </c>
      <c r="O15" s="387"/>
      <c r="P15" s="260"/>
      <c r="Q15" s="545"/>
      <c r="R15" s="49">
        <v>13003928</v>
      </c>
      <c r="S15" s="672">
        <v>42817</v>
      </c>
      <c r="T15" s="673" t="s">
        <v>141</v>
      </c>
      <c r="U15" s="289"/>
      <c r="V15" s="549">
        <f>2600785.6+1776600+1184400+3493980+1598940+1048829.6</f>
        <v>11703535.199999999</v>
      </c>
      <c r="W15" s="46">
        <f t="shared" si="3"/>
        <v>0.89999999999999991</v>
      </c>
      <c r="X15" s="47"/>
      <c r="Y15" s="135">
        <f>2600785.6+1776600+1184400+3493980+1598940+1048829.6</f>
        <v>11703535.199999999</v>
      </c>
      <c r="Z15" s="290">
        <f t="shared" si="4"/>
        <v>0.89999999999999991</v>
      </c>
      <c r="AA15" s="400"/>
      <c r="AB15" s="292">
        <f t="shared" si="5"/>
        <v>0</v>
      </c>
      <c r="AC15" s="517">
        <f t="shared" si="6"/>
        <v>1300392.8000000007</v>
      </c>
      <c r="AD15" s="469" t="s">
        <v>238</v>
      </c>
      <c r="AE15" s="383" t="s">
        <v>205</v>
      </c>
      <c r="AF15" s="34"/>
      <c r="AG15" s="34"/>
      <c r="AH15" s="34"/>
      <c r="AI15" s="35"/>
      <c r="AJ15" s="35"/>
      <c r="AK15" s="35"/>
      <c r="AL15" s="35"/>
    </row>
    <row r="16" spans="1:38" s="36" customFormat="1" x14ac:dyDescent="0.25">
      <c r="A16" s="571">
        <v>10</v>
      </c>
      <c r="B16" s="557" t="s">
        <v>15</v>
      </c>
      <c r="C16" s="37" t="s">
        <v>170</v>
      </c>
      <c r="D16" s="499" t="s">
        <v>171</v>
      </c>
      <c r="E16" s="651" t="s">
        <v>172</v>
      </c>
      <c r="F16" s="721" t="s">
        <v>157</v>
      </c>
      <c r="G16" s="76" t="s">
        <v>148</v>
      </c>
      <c r="H16" s="652">
        <v>0.2</v>
      </c>
      <c r="I16" s="652"/>
      <c r="J16" s="652"/>
      <c r="K16" s="652"/>
      <c r="L16" s="652">
        <v>0.7</v>
      </c>
      <c r="M16" s="652"/>
      <c r="N16" s="652">
        <v>0.1</v>
      </c>
      <c r="O16" s="652"/>
      <c r="P16" s="653"/>
      <c r="Q16" s="364"/>
      <c r="R16" s="401">
        <v>3637500</v>
      </c>
      <c r="S16" s="319">
        <v>42913</v>
      </c>
      <c r="T16" s="645" t="s">
        <v>97</v>
      </c>
      <c r="U16" s="654"/>
      <c r="V16" s="551">
        <f>727500+2546250</f>
        <v>3273750</v>
      </c>
      <c r="W16" s="655">
        <f t="shared" si="3"/>
        <v>0.9</v>
      </c>
      <c r="X16" s="149"/>
      <c r="Y16" s="402">
        <f>727500+2546250</f>
        <v>3273750</v>
      </c>
      <c r="Z16" s="656">
        <f t="shared" si="4"/>
        <v>0.9</v>
      </c>
      <c r="AA16" s="403"/>
      <c r="AB16" s="515">
        <f t="shared" si="5"/>
        <v>0</v>
      </c>
      <c r="AC16" s="403">
        <f t="shared" si="6"/>
        <v>363750</v>
      </c>
      <c r="AD16" s="469"/>
      <c r="AE16" s="484" t="s">
        <v>207</v>
      </c>
      <c r="AF16" s="34"/>
      <c r="AG16" s="34"/>
      <c r="AH16" s="34"/>
      <c r="AI16" s="35"/>
      <c r="AJ16" s="35"/>
      <c r="AK16" s="35"/>
      <c r="AL16" s="35"/>
    </row>
    <row r="17" spans="1:38" s="460" customFormat="1" ht="14.25" hidden="1" customHeight="1" x14ac:dyDescent="0.25">
      <c r="A17" s="573">
        <v>8</v>
      </c>
      <c r="B17" s="573" t="s">
        <v>15</v>
      </c>
      <c r="C17" s="574" t="s">
        <v>173</v>
      </c>
      <c r="D17" s="646" t="s">
        <v>174</v>
      </c>
      <c r="E17" s="692" t="s">
        <v>175</v>
      </c>
      <c r="F17" s="451" t="s">
        <v>157</v>
      </c>
      <c r="G17" s="418" t="s">
        <v>146</v>
      </c>
      <c r="H17" s="532">
        <v>0.3</v>
      </c>
      <c r="I17" s="532"/>
      <c r="J17" s="532"/>
      <c r="K17" s="532"/>
      <c r="L17" s="532"/>
      <c r="M17" s="532">
        <v>0.6</v>
      </c>
      <c r="N17" s="532">
        <v>0.1</v>
      </c>
      <c r="O17" s="532"/>
      <c r="P17" s="452"/>
      <c r="Q17" s="453"/>
      <c r="R17" s="454">
        <v>3723600</v>
      </c>
      <c r="S17" s="441">
        <v>42916</v>
      </c>
      <c r="T17" s="442" t="s">
        <v>97</v>
      </c>
      <c r="U17" s="455"/>
      <c r="V17" s="552">
        <f>1117080+2606520</f>
        <v>3723600</v>
      </c>
      <c r="W17" s="456">
        <f t="shared" si="3"/>
        <v>1</v>
      </c>
      <c r="X17" s="375"/>
      <c r="Y17" s="474">
        <f>1117080+2606520</f>
        <v>3723600</v>
      </c>
      <c r="Z17" s="456">
        <f t="shared" si="4"/>
        <v>1</v>
      </c>
      <c r="AA17" s="470"/>
      <c r="AB17" s="375">
        <f t="shared" ref="AB17:AB39" si="7">Y17-V17</f>
        <v>0</v>
      </c>
      <c r="AC17" s="375">
        <f t="shared" si="6"/>
        <v>0</v>
      </c>
      <c r="AD17" s="468"/>
      <c r="AE17" s="431" t="s">
        <v>207</v>
      </c>
      <c r="AF17" s="458"/>
      <c r="AG17" s="458"/>
      <c r="AH17" s="458"/>
      <c r="AI17" s="459"/>
      <c r="AJ17" s="459"/>
      <c r="AK17" s="459"/>
      <c r="AL17" s="459"/>
    </row>
    <row r="18" spans="1:38" s="412" customFormat="1" hidden="1" x14ac:dyDescent="0.25">
      <c r="A18" s="572">
        <v>9</v>
      </c>
      <c r="B18" s="572" t="s">
        <v>16</v>
      </c>
      <c r="C18" s="570" t="s">
        <v>177</v>
      </c>
      <c r="D18" s="502" t="s">
        <v>178</v>
      </c>
      <c r="E18" s="693" t="s">
        <v>126</v>
      </c>
      <c r="F18" s="464" t="s">
        <v>157</v>
      </c>
      <c r="G18" s="527" t="s">
        <v>146</v>
      </c>
      <c r="H18" s="658"/>
      <c r="I18" s="658"/>
      <c r="J18" s="658"/>
      <c r="K18" s="658"/>
      <c r="L18" s="658"/>
      <c r="M18" s="658">
        <v>1</v>
      </c>
      <c r="N18" s="658"/>
      <c r="O18" s="658"/>
      <c r="P18" s="659"/>
      <c r="Q18" s="404"/>
      <c r="R18" s="405">
        <v>65500</v>
      </c>
      <c r="S18" s="406">
        <v>42928</v>
      </c>
      <c r="T18" s="407" t="s">
        <v>141</v>
      </c>
      <c r="U18" s="465"/>
      <c r="V18" s="554">
        <v>65500</v>
      </c>
      <c r="W18" s="466">
        <f>V18/R18</f>
        <v>1</v>
      </c>
      <c r="X18" s="408"/>
      <c r="Y18" s="660">
        <v>65500</v>
      </c>
      <c r="Z18" s="409">
        <f t="shared" ref="Z18:Z39" si="8">Y18/R18</f>
        <v>1</v>
      </c>
      <c r="AA18" s="98"/>
      <c r="AB18" s="471">
        <f t="shared" si="7"/>
        <v>0</v>
      </c>
      <c r="AC18" s="467">
        <f t="shared" si="6"/>
        <v>0</v>
      </c>
      <c r="AD18" s="525"/>
      <c r="AE18" s="518" t="s">
        <v>205</v>
      </c>
      <c r="AF18" s="410"/>
      <c r="AG18" s="410"/>
      <c r="AH18" s="410"/>
      <c r="AI18" s="411"/>
      <c r="AJ18" s="411"/>
      <c r="AK18" s="411"/>
      <c r="AL18" s="411"/>
    </row>
    <row r="19" spans="1:38" s="36" customFormat="1" x14ac:dyDescent="0.25">
      <c r="A19" s="571">
        <v>11</v>
      </c>
      <c r="B19" s="557" t="s">
        <v>16</v>
      </c>
      <c r="C19" s="37" t="s">
        <v>179</v>
      </c>
      <c r="D19" s="501" t="s">
        <v>199</v>
      </c>
      <c r="E19" s="691" t="s">
        <v>158</v>
      </c>
      <c r="F19" s="296" t="s">
        <v>155</v>
      </c>
      <c r="G19" s="53" t="s">
        <v>150</v>
      </c>
      <c r="H19" s="387">
        <v>0.2</v>
      </c>
      <c r="I19" s="387"/>
      <c r="J19" s="387"/>
      <c r="K19" s="387"/>
      <c r="L19" s="387">
        <v>0.7</v>
      </c>
      <c r="M19" s="387"/>
      <c r="N19" s="387">
        <v>0.1</v>
      </c>
      <c r="O19" s="387"/>
      <c r="P19" s="260"/>
      <c r="Q19" s="364"/>
      <c r="R19" s="49">
        <v>3509250</v>
      </c>
      <c r="S19" s="138">
        <v>42929</v>
      </c>
      <c r="T19" s="673" t="s">
        <v>97</v>
      </c>
      <c r="U19" s="289"/>
      <c r="V19" s="555">
        <v>701850</v>
      </c>
      <c r="W19" s="46">
        <f t="shared" ref="W19:W39" si="9">V19/R19</f>
        <v>0.2</v>
      </c>
      <c r="X19" s="47"/>
      <c r="Y19" s="135">
        <v>701850</v>
      </c>
      <c r="Z19" s="290">
        <f t="shared" si="8"/>
        <v>0.2</v>
      </c>
      <c r="AA19" s="403"/>
      <c r="AB19" s="515">
        <f t="shared" si="7"/>
        <v>0</v>
      </c>
      <c r="AC19" s="517">
        <f t="shared" si="6"/>
        <v>2807400</v>
      </c>
      <c r="AD19" s="469"/>
      <c r="AE19" s="383" t="s">
        <v>205</v>
      </c>
      <c r="AF19" s="34"/>
      <c r="AG19" s="34"/>
      <c r="AH19" s="34"/>
      <c r="AI19" s="35"/>
      <c r="AJ19" s="35"/>
      <c r="AK19" s="35"/>
      <c r="AL19" s="35"/>
    </row>
    <row r="20" spans="1:38" s="36" customFormat="1" x14ac:dyDescent="0.25">
      <c r="A20" s="571">
        <v>12</v>
      </c>
      <c r="B20" s="557" t="s">
        <v>16</v>
      </c>
      <c r="C20" s="37" t="s">
        <v>179</v>
      </c>
      <c r="D20" s="501" t="s">
        <v>200</v>
      </c>
      <c r="E20" s="691" t="s">
        <v>158</v>
      </c>
      <c r="F20" s="296" t="s">
        <v>155</v>
      </c>
      <c r="G20" s="53" t="s">
        <v>150</v>
      </c>
      <c r="H20" s="387">
        <v>0.2</v>
      </c>
      <c r="I20" s="387"/>
      <c r="J20" s="387"/>
      <c r="K20" s="387"/>
      <c r="L20" s="387">
        <v>0.7</v>
      </c>
      <c r="M20" s="387"/>
      <c r="N20" s="387">
        <v>0.1</v>
      </c>
      <c r="O20" s="387"/>
      <c r="P20" s="260"/>
      <c r="Q20" s="364"/>
      <c r="R20" s="49">
        <v>840750</v>
      </c>
      <c r="S20" s="138">
        <v>42929</v>
      </c>
      <c r="T20" s="546" t="s">
        <v>97</v>
      </c>
      <c r="U20" s="289"/>
      <c r="V20" s="555">
        <v>168150</v>
      </c>
      <c r="W20" s="46">
        <f t="shared" si="9"/>
        <v>0.2</v>
      </c>
      <c r="X20" s="47"/>
      <c r="Y20" s="135">
        <v>168150</v>
      </c>
      <c r="Z20" s="290">
        <f t="shared" si="8"/>
        <v>0.2</v>
      </c>
      <c r="AA20" s="400"/>
      <c r="AB20" s="291">
        <f t="shared" si="7"/>
        <v>0</v>
      </c>
      <c r="AC20" s="400">
        <f t="shared" si="6"/>
        <v>672600</v>
      </c>
      <c r="AD20" s="469"/>
      <c r="AE20" s="383" t="s">
        <v>205</v>
      </c>
      <c r="AF20" s="34"/>
      <c r="AG20" s="34"/>
      <c r="AH20" s="34"/>
      <c r="AI20" s="35"/>
      <c r="AJ20" s="35"/>
      <c r="AK20" s="35"/>
      <c r="AL20" s="35"/>
    </row>
    <row r="21" spans="1:38" s="36" customFormat="1" x14ac:dyDescent="0.25">
      <c r="A21" s="571">
        <v>13</v>
      </c>
      <c r="B21" s="557" t="s">
        <v>16</v>
      </c>
      <c r="C21" s="37" t="s">
        <v>179</v>
      </c>
      <c r="D21" s="501" t="s">
        <v>227</v>
      </c>
      <c r="E21" s="691" t="s">
        <v>158</v>
      </c>
      <c r="F21" s="296" t="s">
        <v>155</v>
      </c>
      <c r="G21" s="53" t="s">
        <v>150</v>
      </c>
      <c r="H21" s="387">
        <v>0.2</v>
      </c>
      <c r="I21" s="387"/>
      <c r="J21" s="387">
        <v>0.7</v>
      </c>
      <c r="K21" s="387"/>
      <c r="L21" s="387"/>
      <c r="M21" s="387"/>
      <c r="N21" s="387">
        <v>0.1</v>
      </c>
      <c r="O21" s="387"/>
      <c r="P21" s="260"/>
      <c r="Q21" s="364"/>
      <c r="R21" s="49">
        <v>1280000</v>
      </c>
      <c r="S21" s="138">
        <v>42969</v>
      </c>
      <c r="T21" s="479" t="s">
        <v>97</v>
      </c>
      <c r="U21" s="289"/>
      <c r="V21" s="555">
        <v>0</v>
      </c>
      <c r="W21" s="46">
        <f t="shared" si="9"/>
        <v>0</v>
      </c>
      <c r="X21" s="47"/>
      <c r="Y21" s="135">
        <v>0</v>
      </c>
      <c r="Z21" s="290">
        <f t="shared" si="8"/>
        <v>0</v>
      </c>
      <c r="AA21" s="400"/>
      <c r="AB21" s="291">
        <f t="shared" si="7"/>
        <v>0</v>
      </c>
      <c r="AC21" s="400">
        <f t="shared" si="6"/>
        <v>1280000</v>
      </c>
      <c r="AD21" s="469"/>
      <c r="AE21" s="383"/>
      <c r="AF21" s="34"/>
      <c r="AG21" s="34"/>
      <c r="AH21" s="34"/>
      <c r="AI21" s="35"/>
      <c r="AJ21" s="35"/>
      <c r="AK21" s="35"/>
      <c r="AL21" s="35"/>
    </row>
    <row r="22" spans="1:38" s="36" customFormat="1" x14ac:dyDescent="0.25">
      <c r="A22" s="571">
        <v>14</v>
      </c>
      <c r="B22" s="557" t="s">
        <v>16</v>
      </c>
      <c r="C22" s="37" t="s">
        <v>180</v>
      </c>
      <c r="D22" s="501" t="s">
        <v>182</v>
      </c>
      <c r="E22" s="691" t="s">
        <v>181</v>
      </c>
      <c r="F22" s="296" t="s">
        <v>156</v>
      </c>
      <c r="G22" s="53" t="s">
        <v>148</v>
      </c>
      <c r="H22" s="387">
        <v>0.3</v>
      </c>
      <c r="I22" s="387"/>
      <c r="J22" s="387"/>
      <c r="K22" s="387"/>
      <c r="L22" s="387">
        <v>0.6</v>
      </c>
      <c r="M22" s="387"/>
      <c r="N22" s="387">
        <v>0.1</v>
      </c>
      <c r="O22" s="387"/>
      <c r="P22" s="260"/>
      <c r="Q22" s="364"/>
      <c r="R22" s="49">
        <v>515000</v>
      </c>
      <c r="S22" s="599">
        <v>42935</v>
      </c>
      <c r="T22" s="142" t="s">
        <v>97</v>
      </c>
      <c r="U22" s="289"/>
      <c r="V22" s="555">
        <f>154500+309000</f>
        <v>463500</v>
      </c>
      <c r="W22" s="46">
        <f t="shared" si="9"/>
        <v>0.9</v>
      </c>
      <c r="X22" s="47"/>
      <c r="Y22" s="135">
        <f>154500+309000</f>
        <v>463500</v>
      </c>
      <c r="Z22" s="290">
        <f t="shared" si="8"/>
        <v>0.9</v>
      </c>
      <c r="AA22" s="400"/>
      <c r="AB22" s="291">
        <f t="shared" si="7"/>
        <v>0</v>
      </c>
      <c r="AC22" s="400">
        <f t="shared" si="6"/>
        <v>51500</v>
      </c>
      <c r="AD22" s="469"/>
      <c r="AE22" s="383" t="s">
        <v>205</v>
      </c>
      <c r="AF22" s="34"/>
      <c r="AG22" s="34"/>
      <c r="AH22" s="34"/>
      <c r="AI22" s="35"/>
      <c r="AJ22" s="35"/>
      <c r="AK22" s="35"/>
      <c r="AL22" s="35"/>
    </row>
    <row r="23" spans="1:38" s="36" customFormat="1" x14ac:dyDescent="0.25">
      <c r="A23" s="571">
        <v>15</v>
      </c>
      <c r="B23" s="557" t="s">
        <v>16</v>
      </c>
      <c r="C23" s="37" t="s">
        <v>183</v>
      </c>
      <c r="D23" s="501" t="s">
        <v>188</v>
      </c>
      <c r="E23" s="691" t="s">
        <v>26</v>
      </c>
      <c r="F23" s="296" t="s">
        <v>157</v>
      </c>
      <c r="G23" s="53" t="s">
        <v>150</v>
      </c>
      <c r="H23" s="387">
        <v>0.2</v>
      </c>
      <c r="I23" s="387"/>
      <c r="J23" s="387"/>
      <c r="K23" s="387"/>
      <c r="L23" s="387">
        <v>0.7</v>
      </c>
      <c r="M23" s="387"/>
      <c r="N23" s="387">
        <v>0.1</v>
      </c>
      <c r="O23" s="387"/>
      <c r="P23" s="260"/>
      <c r="Q23" s="364"/>
      <c r="R23" s="49">
        <v>17600000</v>
      </c>
      <c r="S23" s="724">
        <v>42936</v>
      </c>
      <c r="T23" s="142" t="s">
        <v>97</v>
      </c>
      <c r="U23" s="289"/>
      <c r="V23" s="555">
        <v>3480000</v>
      </c>
      <c r="W23" s="46">
        <f t="shared" si="9"/>
        <v>0.19772727272727272</v>
      </c>
      <c r="X23" s="477"/>
      <c r="Y23" s="476">
        <v>3480000</v>
      </c>
      <c r="Z23" s="290">
        <f t="shared" si="8"/>
        <v>0.19772727272727272</v>
      </c>
      <c r="AA23" s="657"/>
      <c r="AB23" s="291">
        <f t="shared" si="7"/>
        <v>0</v>
      </c>
      <c r="AC23" s="470">
        <f t="shared" si="6"/>
        <v>14120000</v>
      </c>
      <c r="AD23" s="469"/>
      <c r="AE23" s="383"/>
      <c r="AF23" s="34"/>
      <c r="AG23" s="34"/>
      <c r="AH23" s="34"/>
      <c r="AI23" s="35"/>
      <c r="AJ23" s="35"/>
      <c r="AK23" s="35"/>
      <c r="AL23" s="35"/>
    </row>
    <row r="24" spans="1:38" s="460" customFormat="1" hidden="1" x14ac:dyDescent="0.25">
      <c r="A24" s="573">
        <v>13</v>
      </c>
      <c r="B24" s="573" t="s">
        <v>16</v>
      </c>
      <c r="C24" s="574" t="s">
        <v>184</v>
      </c>
      <c r="D24" s="503" t="s">
        <v>186</v>
      </c>
      <c r="E24" s="694" t="s">
        <v>185</v>
      </c>
      <c r="F24" s="451" t="s">
        <v>155</v>
      </c>
      <c r="G24" s="418" t="s">
        <v>146</v>
      </c>
      <c r="H24" s="532"/>
      <c r="I24" s="532"/>
      <c r="J24" s="532"/>
      <c r="K24" s="532"/>
      <c r="L24" s="532"/>
      <c r="M24" s="532"/>
      <c r="N24" s="532">
        <v>1</v>
      </c>
      <c r="O24" s="532"/>
      <c r="P24" s="452"/>
      <c r="Q24" s="453"/>
      <c r="R24" s="454">
        <v>850000</v>
      </c>
      <c r="S24" s="441">
        <v>42937</v>
      </c>
      <c r="T24" s="442" t="s">
        <v>97</v>
      </c>
      <c r="U24" s="455"/>
      <c r="V24" s="552">
        <v>850000</v>
      </c>
      <c r="W24" s="456">
        <f t="shared" si="9"/>
        <v>1</v>
      </c>
      <c r="X24" s="457"/>
      <c r="Y24" s="457">
        <v>850000</v>
      </c>
      <c r="Z24" s="456">
        <f t="shared" si="8"/>
        <v>1</v>
      </c>
      <c r="AA24" s="403"/>
      <c r="AB24" s="457">
        <f t="shared" si="7"/>
        <v>0</v>
      </c>
      <c r="AC24" s="457">
        <f t="shared" si="6"/>
        <v>0</v>
      </c>
      <c r="AD24" s="526"/>
      <c r="AE24" s="431" t="s">
        <v>205</v>
      </c>
      <c r="AF24" s="458"/>
      <c r="AG24" s="458"/>
      <c r="AH24" s="458"/>
      <c r="AI24" s="459"/>
      <c r="AJ24" s="459"/>
      <c r="AK24" s="459"/>
      <c r="AL24" s="459"/>
    </row>
    <row r="25" spans="1:38" s="36" customFormat="1" x14ac:dyDescent="0.25">
      <c r="A25" s="593">
        <v>16</v>
      </c>
      <c r="B25" s="611" t="s">
        <v>16</v>
      </c>
      <c r="C25" s="48" t="s">
        <v>187</v>
      </c>
      <c r="D25" s="501" t="s">
        <v>189</v>
      </c>
      <c r="E25" s="691" t="s">
        <v>172</v>
      </c>
      <c r="F25" s="385" t="s">
        <v>157</v>
      </c>
      <c r="G25" s="450" t="s">
        <v>148</v>
      </c>
      <c r="H25" s="533">
        <v>0.2</v>
      </c>
      <c r="I25" s="533"/>
      <c r="J25" s="533"/>
      <c r="K25" s="533"/>
      <c r="L25" s="533">
        <v>0.7</v>
      </c>
      <c r="M25" s="533"/>
      <c r="N25" s="533">
        <v>0.1</v>
      </c>
      <c r="O25" s="533"/>
      <c r="P25" s="627"/>
      <c r="Q25" s="364"/>
      <c r="R25" s="49">
        <v>790000</v>
      </c>
      <c r="S25" s="365">
        <v>42947</v>
      </c>
      <c r="T25" s="142" t="s">
        <v>97</v>
      </c>
      <c r="U25" s="141"/>
      <c r="V25" s="553">
        <f>158000+553000</f>
        <v>711000</v>
      </c>
      <c r="W25" s="46">
        <f t="shared" si="9"/>
        <v>0.9</v>
      </c>
      <c r="X25" s="475"/>
      <c r="Y25" s="612">
        <f>158000+553000</f>
        <v>711000</v>
      </c>
      <c r="Z25" s="290">
        <f t="shared" si="8"/>
        <v>0.9</v>
      </c>
      <c r="AA25" s="400"/>
      <c r="AB25" s="472">
        <f t="shared" si="7"/>
        <v>0</v>
      </c>
      <c r="AC25" s="610">
        <f t="shared" si="6"/>
        <v>79000</v>
      </c>
      <c r="AD25" s="469"/>
      <c r="AE25" s="386" t="s">
        <v>205</v>
      </c>
      <c r="AF25" s="34"/>
      <c r="AG25" s="34"/>
      <c r="AH25" s="34"/>
      <c r="AI25" s="35"/>
      <c r="AJ25" s="35"/>
      <c r="AK25" s="35"/>
      <c r="AL25" s="35"/>
    </row>
    <row r="26" spans="1:38" s="623" customFormat="1" x14ac:dyDescent="0.25">
      <c r="A26" s="571">
        <v>17</v>
      </c>
      <c r="B26" s="557" t="s">
        <v>16</v>
      </c>
      <c r="C26" s="37" t="s">
        <v>190</v>
      </c>
      <c r="D26" s="499" t="s">
        <v>191</v>
      </c>
      <c r="E26" s="505" t="s">
        <v>192</v>
      </c>
      <c r="F26" s="579" t="s">
        <v>157</v>
      </c>
      <c r="G26" s="136" t="s">
        <v>148</v>
      </c>
      <c r="H26" s="614">
        <v>0.2</v>
      </c>
      <c r="I26" s="614"/>
      <c r="J26" s="614"/>
      <c r="K26" s="614"/>
      <c r="L26" s="614">
        <v>0.7</v>
      </c>
      <c r="M26" s="614"/>
      <c r="N26" s="614">
        <v>0.1</v>
      </c>
      <c r="O26" s="614"/>
      <c r="P26" s="636"/>
      <c r="Q26" s="637"/>
      <c r="R26" s="136">
        <v>5297000</v>
      </c>
      <c r="S26" s="138">
        <v>42948</v>
      </c>
      <c r="T26" s="546" t="s">
        <v>97</v>
      </c>
      <c r="U26" s="289"/>
      <c r="V26" s="555">
        <f>1059400+3707900</f>
        <v>4767300</v>
      </c>
      <c r="W26" s="32">
        <f t="shared" si="9"/>
        <v>0.9</v>
      </c>
      <c r="X26" s="33"/>
      <c r="Y26" s="134">
        <f>1059400+3707900</f>
        <v>4767300</v>
      </c>
      <c r="Z26" s="606">
        <f t="shared" si="8"/>
        <v>0.9</v>
      </c>
      <c r="AA26" s="588"/>
      <c r="AB26" s="292">
        <f t="shared" si="7"/>
        <v>0</v>
      </c>
      <c r="AC26" s="588">
        <f t="shared" si="6"/>
        <v>529700</v>
      </c>
      <c r="AD26" s="589" t="s">
        <v>239</v>
      </c>
      <c r="AE26" s="638" t="s">
        <v>205</v>
      </c>
      <c r="AF26" s="621"/>
      <c r="AG26" s="621"/>
      <c r="AH26" s="621"/>
      <c r="AI26" s="622"/>
      <c r="AJ26" s="622"/>
      <c r="AK26" s="622"/>
      <c r="AL26" s="622"/>
    </row>
    <row r="27" spans="1:38" s="623" customFormat="1" x14ac:dyDescent="0.25">
      <c r="A27" s="571">
        <v>18</v>
      </c>
      <c r="B27" s="557" t="s">
        <v>16</v>
      </c>
      <c r="C27" s="37" t="s">
        <v>221</v>
      </c>
      <c r="D27" s="499" t="s">
        <v>223</v>
      </c>
      <c r="E27" s="505" t="s">
        <v>222</v>
      </c>
      <c r="F27" s="579" t="s">
        <v>155</v>
      </c>
      <c r="G27" s="136" t="s">
        <v>176</v>
      </c>
      <c r="H27" s="614"/>
      <c r="I27" s="614"/>
      <c r="J27" s="614"/>
      <c r="K27" s="614"/>
      <c r="L27" s="614">
        <v>1</v>
      </c>
      <c r="M27" s="614"/>
      <c r="N27" s="614"/>
      <c r="O27" s="614"/>
      <c r="P27" s="636"/>
      <c r="Q27" s="637"/>
      <c r="R27" s="136">
        <v>2300000</v>
      </c>
      <c r="S27" s="138">
        <v>42948</v>
      </c>
      <c r="T27" s="546" t="s">
        <v>114</v>
      </c>
      <c r="U27" s="289"/>
      <c r="V27" s="555">
        <v>0</v>
      </c>
      <c r="W27" s="32">
        <f t="shared" si="9"/>
        <v>0</v>
      </c>
      <c r="X27" s="33"/>
      <c r="Y27" s="134">
        <v>0</v>
      </c>
      <c r="Z27" s="606">
        <f t="shared" si="8"/>
        <v>0</v>
      </c>
      <c r="AA27" s="588"/>
      <c r="AB27" s="292">
        <f t="shared" si="7"/>
        <v>0</v>
      </c>
      <c r="AC27" s="588">
        <f t="shared" si="6"/>
        <v>2300000</v>
      </c>
      <c r="AD27" s="589"/>
      <c r="AE27" s="638"/>
      <c r="AF27" s="621"/>
      <c r="AG27" s="621"/>
      <c r="AH27" s="621"/>
      <c r="AI27" s="622"/>
      <c r="AJ27" s="622"/>
      <c r="AK27" s="622"/>
      <c r="AL27" s="622"/>
    </row>
    <row r="28" spans="1:38" s="623" customFormat="1" x14ac:dyDescent="0.25">
      <c r="A28" s="571">
        <v>19</v>
      </c>
      <c r="B28" s="557" t="s">
        <v>16</v>
      </c>
      <c r="C28" s="37" t="s">
        <v>193</v>
      </c>
      <c r="D28" s="499" t="s">
        <v>201</v>
      </c>
      <c r="E28" s="505" t="s">
        <v>202</v>
      </c>
      <c r="F28" s="579" t="s">
        <v>157</v>
      </c>
      <c r="G28" s="136" t="s">
        <v>148</v>
      </c>
      <c r="H28" s="614">
        <v>0.3</v>
      </c>
      <c r="I28" s="614"/>
      <c r="J28" s="614"/>
      <c r="K28" s="614"/>
      <c r="L28" s="614">
        <v>0.6</v>
      </c>
      <c r="M28" s="614"/>
      <c r="N28" s="614">
        <v>0.1</v>
      </c>
      <c r="O28" s="614"/>
      <c r="P28" s="636"/>
      <c r="Q28" s="637"/>
      <c r="R28" s="136">
        <v>2230000</v>
      </c>
      <c r="S28" s="138">
        <v>42949</v>
      </c>
      <c r="T28" s="546" t="s">
        <v>97</v>
      </c>
      <c r="U28" s="289"/>
      <c r="V28" s="555">
        <v>669000</v>
      </c>
      <c r="W28" s="32">
        <f t="shared" si="9"/>
        <v>0.3</v>
      </c>
      <c r="X28" s="33"/>
      <c r="Y28" s="134">
        <v>669000</v>
      </c>
      <c r="Z28" s="606">
        <f t="shared" si="8"/>
        <v>0.3</v>
      </c>
      <c r="AA28" s="588"/>
      <c r="AB28" s="292">
        <f t="shared" si="7"/>
        <v>0</v>
      </c>
      <c r="AC28" s="588">
        <f t="shared" si="6"/>
        <v>1561000</v>
      </c>
      <c r="AD28" s="589" t="s">
        <v>240</v>
      </c>
      <c r="AE28" s="638" t="s">
        <v>205</v>
      </c>
      <c r="AF28" s="621"/>
      <c r="AG28" s="621"/>
      <c r="AH28" s="621"/>
      <c r="AI28" s="622"/>
      <c r="AJ28" s="622"/>
      <c r="AK28" s="622"/>
      <c r="AL28" s="622"/>
    </row>
    <row r="29" spans="1:38" s="460" customFormat="1" hidden="1" x14ac:dyDescent="0.25">
      <c r="A29" s="573">
        <v>18</v>
      </c>
      <c r="B29" s="573" t="s">
        <v>16</v>
      </c>
      <c r="C29" s="574" t="s">
        <v>194</v>
      </c>
      <c r="D29" s="697" t="s">
        <v>195</v>
      </c>
      <c r="E29" s="628" t="s">
        <v>196</v>
      </c>
      <c r="F29" s="629" t="s">
        <v>155</v>
      </c>
      <c r="G29" s="630" t="s">
        <v>146</v>
      </c>
      <c r="H29" s="631"/>
      <c r="I29" s="631"/>
      <c r="J29" s="631"/>
      <c r="K29" s="631"/>
      <c r="L29" s="631"/>
      <c r="M29" s="631"/>
      <c r="N29" s="631">
        <v>1</v>
      </c>
      <c r="O29" s="631"/>
      <c r="P29" s="632"/>
      <c r="Q29" s="453"/>
      <c r="R29" s="630">
        <v>932040</v>
      </c>
      <c r="S29" s="633">
        <v>42950</v>
      </c>
      <c r="T29" s="634" t="s">
        <v>97</v>
      </c>
      <c r="U29" s="461"/>
      <c r="V29" s="433">
        <v>932040</v>
      </c>
      <c r="W29" s="443">
        <f t="shared" si="9"/>
        <v>1</v>
      </c>
      <c r="X29" s="462"/>
      <c r="Y29" s="462">
        <v>932040</v>
      </c>
      <c r="Z29" s="443">
        <f t="shared" si="8"/>
        <v>1</v>
      </c>
      <c r="AA29" s="403"/>
      <c r="AB29" s="462">
        <f t="shared" si="7"/>
        <v>0</v>
      </c>
      <c r="AC29" s="462">
        <f t="shared" si="6"/>
        <v>0</v>
      </c>
      <c r="AD29" s="526"/>
      <c r="AE29" s="635" t="s">
        <v>205</v>
      </c>
      <c r="AF29" s="458"/>
      <c r="AG29" s="458"/>
      <c r="AH29" s="458"/>
      <c r="AI29" s="459"/>
      <c r="AJ29" s="459"/>
      <c r="AK29" s="459"/>
      <c r="AL29" s="459"/>
    </row>
    <row r="30" spans="1:38" s="623" customFormat="1" x14ac:dyDescent="0.25">
      <c r="A30" s="571">
        <v>20</v>
      </c>
      <c r="B30" s="557" t="s">
        <v>16</v>
      </c>
      <c r="C30" s="37" t="s">
        <v>203</v>
      </c>
      <c r="D30" s="499" t="s">
        <v>204</v>
      </c>
      <c r="E30" s="505" t="s">
        <v>140</v>
      </c>
      <c r="F30" s="579" t="s">
        <v>156</v>
      </c>
      <c r="G30" s="136" t="s">
        <v>148</v>
      </c>
      <c r="H30" s="614">
        <v>0.3</v>
      </c>
      <c r="I30" s="614"/>
      <c r="J30" s="614"/>
      <c r="K30" s="614"/>
      <c r="L30" s="614">
        <v>0.5</v>
      </c>
      <c r="M30" s="614"/>
      <c r="N30" s="614">
        <v>0.1</v>
      </c>
      <c r="O30" s="614">
        <v>0.1</v>
      </c>
      <c r="P30" s="624"/>
      <c r="Q30" s="625"/>
      <c r="R30" s="136">
        <v>16197614.039999999</v>
      </c>
      <c r="S30" s="138">
        <v>42950</v>
      </c>
      <c r="T30" s="546" t="s">
        <v>97</v>
      </c>
      <c r="U30" s="289"/>
      <c r="V30" s="555">
        <f>4859284.21+8098807.02</f>
        <v>12958091.23</v>
      </c>
      <c r="W30" s="32">
        <f>V30/R30</f>
        <v>0.79999999987652515</v>
      </c>
      <c r="X30" s="33"/>
      <c r="Y30" s="134">
        <f>4859284.21+8098807.02</f>
        <v>12958091.23</v>
      </c>
      <c r="Z30" s="606">
        <f t="shared" si="8"/>
        <v>0.79999999987652515</v>
      </c>
      <c r="AA30" s="588"/>
      <c r="AB30" s="292">
        <f t="shared" si="7"/>
        <v>0</v>
      </c>
      <c r="AC30" s="588">
        <f t="shared" si="6"/>
        <v>3239522.8099999987</v>
      </c>
      <c r="AD30" s="589" t="s">
        <v>241</v>
      </c>
      <c r="AE30" s="626" t="s">
        <v>205</v>
      </c>
      <c r="AF30" s="621"/>
      <c r="AG30" s="621"/>
      <c r="AH30" s="621"/>
      <c r="AI30" s="622"/>
      <c r="AJ30" s="622"/>
      <c r="AK30" s="622"/>
      <c r="AL30" s="622"/>
    </row>
    <row r="31" spans="1:38" s="623" customFormat="1" ht="15.75" customHeight="1" x14ac:dyDescent="0.25">
      <c r="A31" s="571">
        <v>21</v>
      </c>
      <c r="B31" s="557" t="s">
        <v>16</v>
      </c>
      <c r="C31" s="647" t="s">
        <v>208</v>
      </c>
      <c r="D31" s="698" t="s">
        <v>210</v>
      </c>
      <c r="E31" s="605" t="s">
        <v>142</v>
      </c>
      <c r="F31" s="579" t="s">
        <v>156</v>
      </c>
      <c r="G31" s="136" t="s">
        <v>148</v>
      </c>
      <c r="H31" s="537">
        <v>0.3</v>
      </c>
      <c r="I31" s="537"/>
      <c r="J31" s="537"/>
      <c r="K31" s="537"/>
      <c r="L31" s="614">
        <v>0.5</v>
      </c>
      <c r="M31" s="614"/>
      <c r="N31" s="614">
        <v>0.1</v>
      </c>
      <c r="O31" s="614">
        <v>0.1</v>
      </c>
      <c r="P31" s="615"/>
      <c r="Q31" s="616">
        <f>SUM(R9:R29)</f>
        <v>65631168</v>
      </c>
      <c r="R31" s="617">
        <v>3510883.9</v>
      </c>
      <c r="S31" s="138">
        <v>42951</v>
      </c>
      <c r="T31" s="546" t="s">
        <v>97</v>
      </c>
      <c r="U31" s="618"/>
      <c r="V31" s="619">
        <f>1053265.17+1755442+351088.39</f>
        <v>3159795.56</v>
      </c>
      <c r="W31" s="32">
        <f t="shared" si="9"/>
        <v>0.90000001424142795</v>
      </c>
      <c r="X31" s="134"/>
      <c r="Y31" s="134">
        <f>1053265.17+1755442+351088.39</f>
        <v>3159795.56</v>
      </c>
      <c r="Z31" s="606">
        <f t="shared" si="8"/>
        <v>0.90000001424142795</v>
      </c>
      <c r="AA31" s="588"/>
      <c r="AB31" s="292">
        <f t="shared" si="7"/>
        <v>0</v>
      </c>
      <c r="AC31" s="588">
        <f t="shared" si="6"/>
        <v>351088.33999999985</v>
      </c>
      <c r="AD31" s="589"/>
      <c r="AE31" s="620"/>
      <c r="AF31" s="621"/>
      <c r="AG31" s="621"/>
      <c r="AH31" s="621"/>
      <c r="AI31" s="622"/>
      <c r="AJ31" s="622"/>
      <c r="AK31" s="622"/>
      <c r="AL31" s="622"/>
    </row>
    <row r="32" spans="1:38" s="609" customFormat="1" x14ac:dyDescent="0.25">
      <c r="A32" s="571">
        <v>22</v>
      </c>
      <c r="B32" s="496" t="s">
        <v>16</v>
      </c>
      <c r="C32" s="647" t="s">
        <v>209</v>
      </c>
      <c r="D32" s="698" t="s">
        <v>211</v>
      </c>
      <c r="E32" s="605" t="s">
        <v>142</v>
      </c>
      <c r="F32" s="579" t="s">
        <v>156</v>
      </c>
      <c r="G32" s="136" t="s">
        <v>148</v>
      </c>
      <c r="H32" s="581">
        <v>0.3</v>
      </c>
      <c r="I32" s="581"/>
      <c r="J32" s="581"/>
      <c r="K32" s="581"/>
      <c r="L32" s="581">
        <v>0.5</v>
      </c>
      <c r="M32" s="581"/>
      <c r="N32" s="581">
        <v>0.1</v>
      </c>
      <c r="O32" s="581">
        <v>0.1</v>
      </c>
      <c r="P32" s="582"/>
      <c r="Q32" s="583"/>
      <c r="R32" s="580">
        <v>10445343.699999999</v>
      </c>
      <c r="S32" s="138">
        <v>42951</v>
      </c>
      <c r="T32" s="546" t="s">
        <v>97</v>
      </c>
      <c r="U32" s="139"/>
      <c r="V32" s="585">
        <f>3133603.11+5222671.85+1044534.37</f>
        <v>9400809.3299999982</v>
      </c>
      <c r="W32" s="32">
        <f t="shared" si="9"/>
        <v>0.89999999999999991</v>
      </c>
      <c r="X32" s="140"/>
      <c r="Y32" s="140">
        <f>3133603.11+5222671.85+1044534.37</f>
        <v>9400809.3299999982</v>
      </c>
      <c r="Z32" s="606">
        <f t="shared" si="8"/>
        <v>0.89999999999999991</v>
      </c>
      <c r="AA32" s="644"/>
      <c r="AB32" s="292">
        <f t="shared" si="7"/>
        <v>0</v>
      </c>
      <c r="AC32" s="588">
        <f t="shared" si="6"/>
        <v>1044534.370000001</v>
      </c>
      <c r="AD32" s="613"/>
      <c r="AE32" s="590"/>
      <c r="AF32" s="607"/>
      <c r="AG32" s="607"/>
      <c r="AH32" s="607"/>
      <c r="AI32" s="608"/>
      <c r="AJ32" s="608"/>
      <c r="AK32" s="608"/>
      <c r="AL32" s="608"/>
    </row>
    <row r="33" spans="1:38" s="609" customFormat="1" x14ac:dyDescent="0.25">
      <c r="A33" s="571">
        <v>23</v>
      </c>
      <c r="B33" s="496" t="s">
        <v>16</v>
      </c>
      <c r="C33" s="647" t="s">
        <v>218</v>
      </c>
      <c r="D33" s="698" t="s">
        <v>220</v>
      </c>
      <c r="E33" s="605" t="s">
        <v>214</v>
      </c>
      <c r="F33" s="579" t="s">
        <v>157</v>
      </c>
      <c r="G33" s="136" t="s">
        <v>148</v>
      </c>
      <c r="H33" s="581">
        <v>0.3</v>
      </c>
      <c r="I33" s="581"/>
      <c r="J33" s="581">
        <v>0.6</v>
      </c>
      <c r="K33" s="581"/>
      <c r="L33" s="581"/>
      <c r="M33" s="581"/>
      <c r="N33" s="581">
        <v>0.1</v>
      </c>
      <c r="O33" s="581"/>
      <c r="P33" s="582"/>
      <c r="Q33" s="583"/>
      <c r="R33" s="580">
        <v>2102000</v>
      </c>
      <c r="S33" s="138">
        <v>42963</v>
      </c>
      <c r="T33" s="546" t="s">
        <v>97</v>
      </c>
      <c r="U33" s="139"/>
      <c r="V33" s="585">
        <f>630600+1261200</f>
        <v>1891800</v>
      </c>
      <c r="W33" s="32">
        <f t="shared" si="9"/>
        <v>0.9</v>
      </c>
      <c r="X33" s="140"/>
      <c r="Y33" s="140">
        <f>630600+1261200</f>
        <v>1891800</v>
      </c>
      <c r="Z33" s="606">
        <f t="shared" si="8"/>
        <v>0.9</v>
      </c>
      <c r="AA33" s="644"/>
      <c r="AB33" s="292">
        <f t="shared" si="7"/>
        <v>0</v>
      </c>
      <c r="AC33" s="588">
        <f t="shared" si="6"/>
        <v>210200</v>
      </c>
      <c r="AD33" s="589" t="s">
        <v>242</v>
      </c>
      <c r="AE33" s="590"/>
      <c r="AF33" s="607"/>
      <c r="AG33" s="607"/>
      <c r="AH33" s="607"/>
      <c r="AI33" s="608"/>
      <c r="AJ33" s="608"/>
      <c r="AK33" s="608"/>
      <c r="AL33" s="608"/>
    </row>
    <row r="34" spans="1:38" s="609" customFormat="1" x14ac:dyDescent="0.25">
      <c r="A34" s="571">
        <v>24</v>
      </c>
      <c r="B34" s="496" t="s">
        <v>16</v>
      </c>
      <c r="C34" s="647" t="s">
        <v>212</v>
      </c>
      <c r="D34" s="698" t="s">
        <v>213</v>
      </c>
      <c r="E34" s="605" t="s">
        <v>104</v>
      </c>
      <c r="F34" s="579" t="s">
        <v>156</v>
      </c>
      <c r="G34" s="136" t="s">
        <v>148</v>
      </c>
      <c r="H34" s="581">
        <v>0.3</v>
      </c>
      <c r="I34" s="581"/>
      <c r="J34" s="581"/>
      <c r="K34" s="581"/>
      <c r="L34" s="581">
        <v>0.5</v>
      </c>
      <c r="M34" s="581"/>
      <c r="N34" s="581">
        <v>0.1</v>
      </c>
      <c r="O34" s="581">
        <v>0.1</v>
      </c>
      <c r="P34" s="582"/>
      <c r="Q34" s="583"/>
      <c r="R34" s="580">
        <v>18200000</v>
      </c>
      <c r="S34" s="138">
        <v>42970</v>
      </c>
      <c r="T34" s="546" t="s">
        <v>97</v>
      </c>
      <c r="U34" s="139"/>
      <c r="V34" s="585">
        <f>5460000+9100000</f>
        <v>14560000</v>
      </c>
      <c r="W34" s="32">
        <f t="shared" si="9"/>
        <v>0.8</v>
      </c>
      <c r="X34" s="140"/>
      <c r="Y34" s="140">
        <f>5460000+9100000</f>
        <v>14560000</v>
      </c>
      <c r="Z34" s="606">
        <f t="shared" si="8"/>
        <v>0.8</v>
      </c>
      <c r="AA34" s="644"/>
      <c r="AB34" s="292">
        <f t="shared" si="7"/>
        <v>0</v>
      </c>
      <c r="AC34" s="588">
        <f t="shared" si="6"/>
        <v>3640000</v>
      </c>
      <c r="AD34" s="589"/>
      <c r="AE34" s="590"/>
      <c r="AF34" s="607"/>
      <c r="AG34" s="607"/>
      <c r="AH34" s="607"/>
      <c r="AI34" s="608"/>
      <c r="AJ34" s="608"/>
      <c r="AK34" s="608"/>
      <c r="AL34" s="608"/>
    </row>
    <row r="35" spans="1:38" s="609" customFormat="1" ht="14.25" customHeight="1" x14ac:dyDescent="0.25">
      <c r="A35" s="571">
        <v>25</v>
      </c>
      <c r="B35" s="496" t="s">
        <v>16</v>
      </c>
      <c r="C35" s="647" t="s">
        <v>215</v>
      </c>
      <c r="D35" s="698" t="s">
        <v>216</v>
      </c>
      <c r="E35" s="605" t="s">
        <v>214</v>
      </c>
      <c r="F35" s="579" t="s">
        <v>157</v>
      </c>
      <c r="G35" s="136" t="s">
        <v>148</v>
      </c>
      <c r="H35" s="581">
        <v>0.3</v>
      </c>
      <c r="I35" s="581"/>
      <c r="J35" s="581">
        <v>0.6</v>
      </c>
      <c r="K35" s="581"/>
      <c r="L35" s="581"/>
      <c r="M35" s="581"/>
      <c r="N35" s="581">
        <v>0.1</v>
      </c>
      <c r="O35" s="581"/>
      <c r="P35" s="582"/>
      <c r="Q35" s="583"/>
      <c r="R35" s="580">
        <v>5245900</v>
      </c>
      <c r="S35" s="138">
        <v>42970</v>
      </c>
      <c r="T35" s="546" t="s">
        <v>97</v>
      </c>
      <c r="U35" s="139"/>
      <c r="V35" s="585">
        <f>1573770+3147540</f>
        <v>4721310</v>
      </c>
      <c r="W35" s="586">
        <f t="shared" si="9"/>
        <v>0.9</v>
      </c>
      <c r="X35" s="140"/>
      <c r="Y35" s="140">
        <f>1573770+3147540</f>
        <v>4721310</v>
      </c>
      <c r="Z35" s="606">
        <f t="shared" si="8"/>
        <v>0.9</v>
      </c>
      <c r="AA35" s="644"/>
      <c r="AB35" s="292">
        <f t="shared" si="7"/>
        <v>0</v>
      </c>
      <c r="AC35" s="588">
        <f t="shared" si="6"/>
        <v>524590</v>
      </c>
      <c r="AD35" s="589"/>
      <c r="AE35" s="590"/>
      <c r="AF35" s="607"/>
      <c r="AG35" s="607"/>
      <c r="AH35" s="607"/>
      <c r="AI35" s="608"/>
      <c r="AJ35" s="608"/>
      <c r="AK35" s="608"/>
      <c r="AL35" s="608"/>
    </row>
    <row r="36" spans="1:38" x14ac:dyDescent="0.25">
      <c r="A36" s="594">
        <v>26</v>
      </c>
      <c r="B36" s="595" t="s">
        <v>16</v>
      </c>
      <c r="C36" s="648" t="s">
        <v>217</v>
      </c>
      <c r="D36" s="699" t="s">
        <v>219</v>
      </c>
      <c r="E36" s="596" t="s">
        <v>214</v>
      </c>
      <c r="F36" s="463" t="s">
        <v>157</v>
      </c>
      <c r="G36" s="401" t="s">
        <v>148</v>
      </c>
      <c r="H36" s="534">
        <v>0.3</v>
      </c>
      <c r="I36" s="534"/>
      <c r="J36" s="534">
        <v>0.6</v>
      </c>
      <c r="K36" s="534"/>
      <c r="L36" s="534"/>
      <c r="M36" s="534"/>
      <c r="N36" s="534">
        <v>0.1</v>
      </c>
      <c r="O36" s="534"/>
      <c r="P36" s="597"/>
      <c r="Q36" s="598"/>
      <c r="R36" s="528">
        <v>1625000</v>
      </c>
      <c r="S36" s="599">
        <v>42970</v>
      </c>
      <c r="T36" s="479" t="s">
        <v>97</v>
      </c>
      <c r="U36" s="600"/>
      <c r="V36" s="601">
        <v>487500</v>
      </c>
      <c r="W36" s="148">
        <f t="shared" si="9"/>
        <v>0.3</v>
      </c>
      <c r="X36" s="602"/>
      <c r="Y36" s="602">
        <v>487500</v>
      </c>
      <c r="Z36" s="603">
        <f t="shared" si="8"/>
        <v>0.3</v>
      </c>
      <c r="AB36" s="74">
        <f t="shared" si="7"/>
        <v>0</v>
      </c>
      <c r="AC36" s="106">
        <f t="shared" si="6"/>
        <v>1137500</v>
      </c>
      <c r="AD36" s="469" t="s">
        <v>243</v>
      </c>
      <c r="AE36" s="604"/>
    </row>
    <row r="37" spans="1:38" s="435" customFormat="1" hidden="1" x14ac:dyDescent="0.25">
      <c r="A37" s="573">
        <v>26</v>
      </c>
      <c r="B37" s="575" t="s">
        <v>16</v>
      </c>
      <c r="C37" s="649" t="s">
        <v>228</v>
      </c>
      <c r="D37" s="700" t="s">
        <v>229</v>
      </c>
      <c r="E37" s="506" t="s">
        <v>126</v>
      </c>
      <c r="F37" s="436" t="s">
        <v>157</v>
      </c>
      <c r="G37" s="439" t="s">
        <v>146</v>
      </c>
      <c r="H37" s="438"/>
      <c r="I37" s="438"/>
      <c r="J37" s="438"/>
      <c r="K37" s="438"/>
      <c r="L37" s="438"/>
      <c r="M37" s="438"/>
      <c r="N37" s="438">
        <v>1</v>
      </c>
      <c r="O37" s="438"/>
      <c r="P37" s="437"/>
      <c r="Q37" s="508"/>
      <c r="R37" s="439">
        <v>65000</v>
      </c>
      <c r="S37" s="441">
        <v>42986</v>
      </c>
      <c r="T37" s="442" t="s">
        <v>141</v>
      </c>
      <c r="U37" s="440"/>
      <c r="V37" s="556">
        <v>65000</v>
      </c>
      <c r="W37" s="443">
        <f t="shared" si="9"/>
        <v>1</v>
      </c>
      <c r="X37" s="440"/>
      <c r="Y37" s="440">
        <v>65000</v>
      </c>
      <c r="Z37" s="443">
        <f t="shared" si="8"/>
        <v>1</v>
      </c>
      <c r="AA37" s="449"/>
      <c r="AB37" s="473">
        <f t="shared" si="7"/>
        <v>0</v>
      </c>
      <c r="AC37" s="462">
        <f t="shared" si="6"/>
        <v>0</v>
      </c>
      <c r="AD37" s="444"/>
      <c r="AE37" s="509"/>
      <c r="AF37" s="433"/>
      <c r="AG37" s="433"/>
      <c r="AH37" s="433"/>
      <c r="AI37" s="434"/>
      <c r="AJ37" s="434"/>
      <c r="AK37" s="434"/>
      <c r="AL37" s="434"/>
    </row>
    <row r="38" spans="1:38" s="592" customFormat="1" x14ac:dyDescent="0.25">
      <c r="A38" s="576">
        <v>27</v>
      </c>
      <c r="B38" s="577" t="s">
        <v>16</v>
      </c>
      <c r="C38" s="650" t="s">
        <v>231</v>
      </c>
      <c r="D38" s="701" t="s">
        <v>237</v>
      </c>
      <c r="E38" s="578" t="s">
        <v>232</v>
      </c>
      <c r="F38" s="579" t="s">
        <v>155</v>
      </c>
      <c r="G38" s="580" t="s">
        <v>148</v>
      </c>
      <c r="H38" s="581">
        <v>0.3</v>
      </c>
      <c r="I38" s="581"/>
      <c r="J38" s="581"/>
      <c r="K38" s="581"/>
      <c r="L38" s="581">
        <v>0.6</v>
      </c>
      <c r="M38" s="581"/>
      <c r="N38" s="581">
        <v>0.1</v>
      </c>
      <c r="O38" s="581"/>
      <c r="P38" s="582"/>
      <c r="Q38" s="583"/>
      <c r="R38" s="580">
        <v>214500</v>
      </c>
      <c r="S38" s="584">
        <v>42991</v>
      </c>
      <c r="T38" s="546" t="s">
        <v>97</v>
      </c>
      <c r="U38" s="139"/>
      <c r="V38" s="585">
        <v>64350</v>
      </c>
      <c r="W38" s="586">
        <f t="shared" si="9"/>
        <v>0.3</v>
      </c>
      <c r="X38" s="140"/>
      <c r="Y38" s="140">
        <v>64350</v>
      </c>
      <c r="Z38" s="587">
        <f t="shared" si="8"/>
        <v>0.3</v>
      </c>
      <c r="AA38" s="644"/>
      <c r="AB38" s="588">
        <f t="shared" si="7"/>
        <v>0</v>
      </c>
      <c r="AC38" s="588">
        <f t="shared" si="6"/>
        <v>150150</v>
      </c>
      <c r="AD38" s="589" t="s">
        <v>244</v>
      </c>
      <c r="AE38" s="590"/>
      <c r="AF38" s="552"/>
      <c r="AG38" s="552"/>
      <c r="AH38" s="552"/>
      <c r="AI38" s="591"/>
      <c r="AJ38" s="591"/>
      <c r="AK38" s="591"/>
      <c r="AL38" s="591"/>
    </row>
    <row r="39" spans="1:38" s="609" customFormat="1" x14ac:dyDescent="0.25">
      <c r="A39" s="639">
        <v>28</v>
      </c>
      <c r="B39" s="640" t="s">
        <v>16</v>
      </c>
      <c r="C39" s="37" t="s">
        <v>224</v>
      </c>
      <c r="D39" s="499" t="s">
        <v>225</v>
      </c>
      <c r="E39" s="687" t="s">
        <v>226</v>
      </c>
      <c r="F39" s="136" t="s">
        <v>157</v>
      </c>
      <c r="G39" s="580" t="s">
        <v>150</v>
      </c>
      <c r="H39" s="641"/>
      <c r="I39" s="641"/>
      <c r="J39" s="641"/>
      <c r="K39" s="641"/>
      <c r="L39" s="641"/>
      <c r="M39" s="641"/>
      <c r="N39" s="641">
        <v>1</v>
      </c>
      <c r="O39" s="641"/>
      <c r="P39" s="582"/>
      <c r="Q39" s="583"/>
      <c r="R39" s="580">
        <v>680000</v>
      </c>
      <c r="S39" s="138">
        <v>42993</v>
      </c>
      <c r="T39" s="559" t="s">
        <v>141</v>
      </c>
      <c r="U39" s="642"/>
      <c r="V39" s="585">
        <v>0</v>
      </c>
      <c r="W39" s="139">
        <f t="shared" si="9"/>
        <v>0</v>
      </c>
      <c r="X39" s="643"/>
      <c r="Y39" s="140">
        <v>0</v>
      </c>
      <c r="Z39" s="140">
        <f t="shared" si="8"/>
        <v>0</v>
      </c>
      <c r="AA39" s="644"/>
      <c r="AB39" s="644">
        <f t="shared" si="7"/>
        <v>0</v>
      </c>
      <c r="AC39" s="644">
        <f t="shared" si="6"/>
        <v>680000</v>
      </c>
      <c r="AD39" s="613"/>
      <c r="AE39" s="590"/>
      <c r="AF39" s="607"/>
      <c r="AG39" s="607"/>
      <c r="AH39" s="607"/>
      <c r="AI39" s="608"/>
      <c r="AJ39" s="608"/>
      <c r="AK39" s="608"/>
      <c r="AL39" s="608"/>
    </row>
    <row r="40" spans="1:38" x14ac:dyDescent="0.25">
      <c r="A40" s="676">
        <v>29</v>
      </c>
      <c r="B40" s="677" t="s">
        <v>17</v>
      </c>
      <c r="C40" s="678" t="s">
        <v>233</v>
      </c>
      <c r="D40" s="702" t="s">
        <v>235</v>
      </c>
      <c r="E40" s="695" t="s">
        <v>230</v>
      </c>
      <c r="F40" s="679" t="s">
        <v>156</v>
      </c>
      <c r="G40" s="680" t="s">
        <v>148</v>
      </c>
      <c r="H40" s="681">
        <v>0.2</v>
      </c>
      <c r="I40" s="681"/>
      <c r="J40" s="681"/>
      <c r="K40" s="681"/>
      <c r="L40" s="681">
        <v>0.7</v>
      </c>
      <c r="M40" s="681"/>
      <c r="N40" s="681">
        <v>0.1</v>
      </c>
      <c r="O40" s="681"/>
      <c r="P40" s="680"/>
      <c r="Q40" s="682"/>
      <c r="R40" s="704">
        <v>2400000</v>
      </c>
      <c r="S40" s="138">
        <v>43025</v>
      </c>
      <c r="T40" s="546" t="s">
        <v>97</v>
      </c>
      <c r="U40" s="707"/>
      <c r="V40" s="139">
        <v>480000</v>
      </c>
      <c r="W40" s="708">
        <f>V40/R40</f>
        <v>0.2</v>
      </c>
      <c r="X40" s="709"/>
      <c r="Y40" s="140">
        <v>480000</v>
      </c>
      <c r="Z40" s="562">
        <f>Y40/R40</f>
        <v>0.2</v>
      </c>
      <c r="AA40" s="664"/>
      <c r="AB40" s="644">
        <v>0</v>
      </c>
      <c r="AC40" s="644">
        <f t="shared" si="6"/>
        <v>1920000</v>
      </c>
      <c r="AD40" s="613"/>
      <c r="AE40" s="613"/>
    </row>
    <row r="41" spans="1:38" x14ac:dyDescent="0.25">
      <c r="A41" s="683">
        <v>30</v>
      </c>
      <c r="B41" s="677" t="s">
        <v>17</v>
      </c>
      <c r="C41" s="678" t="s">
        <v>234</v>
      </c>
      <c r="D41" s="702" t="s">
        <v>236</v>
      </c>
      <c r="E41" s="695" t="s">
        <v>26</v>
      </c>
      <c r="F41" s="679" t="s">
        <v>157</v>
      </c>
      <c r="G41" s="680" t="s">
        <v>148</v>
      </c>
      <c r="H41" s="681"/>
      <c r="I41" s="681"/>
      <c r="J41" s="681"/>
      <c r="K41" s="681"/>
      <c r="L41" s="681"/>
      <c r="M41" s="681"/>
      <c r="N41" s="681">
        <v>1</v>
      </c>
      <c r="O41" s="681"/>
      <c r="P41" s="680"/>
      <c r="Q41" s="682"/>
      <c r="R41" s="704">
        <v>70000</v>
      </c>
      <c r="S41" s="138">
        <v>43028</v>
      </c>
      <c r="T41" s="546" t="s">
        <v>97</v>
      </c>
      <c r="U41" s="707"/>
      <c r="V41" s="139">
        <v>0</v>
      </c>
      <c r="W41" s="139">
        <v>0</v>
      </c>
      <c r="X41" s="709"/>
      <c r="Y41" s="140">
        <v>0</v>
      </c>
      <c r="Z41" s="140">
        <v>0</v>
      </c>
      <c r="AA41" s="710"/>
      <c r="AB41" s="644">
        <v>0</v>
      </c>
      <c r="AC41" s="644">
        <f t="shared" si="6"/>
        <v>70000</v>
      </c>
      <c r="AD41" s="589" t="s">
        <v>245</v>
      </c>
      <c r="AE41" s="613"/>
    </row>
    <row r="42" spans="1:38" x14ac:dyDescent="0.25">
      <c r="A42" s="683">
        <v>31</v>
      </c>
      <c r="B42" s="677"/>
      <c r="C42" s="684" t="s">
        <v>249</v>
      </c>
      <c r="D42" s="702" t="s">
        <v>250</v>
      </c>
      <c r="E42" s="695" t="s">
        <v>248</v>
      </c>
      <c r="F42" s="679" t="s">
        <v>156</v>
      </c>
      <c r="G42" s="680" t="s">
        <v>176</v>
      </c>
      <c r="H42" s="681"/>
      <c r="I42" s="681"/>
      <c r="J42" s="681"/>
      <c r="K42" s="681"/>
      <c r="L42" s="681"/>
      <c r="M42" s="681"/>
      <c r="N42" s="681">
        <v>1</v>
      </c>
      <c r="O42" s="681"/>
      <c r="P42" s="680"/>
      <c r="Q42" s="682"/>
      <c r="R42" s="704">
        <v>100000</v>
      </c>
      <c r="S42" s="138">
        <v>43061</v>
      </c>
      <c r="T42" s="546" t="s">
        <v>97</v>
      </c>
      <c r="U42" s="707"/>
      <c r="V42" s="139">
        <v>0</v>
      </c>
      <c r="W42" s="139">
        <v>0</v>
      </c>
      <c r="X42" s="709"/>
      <c r="Y42" s="140">
        <v>0</v>
      </c>
      <c r="Z42" s="140">
        <v>0</v>
      </c>
      <c r="AA42" s="710"/>
      <c r="AB42" s="644">
        <v>0</v>
      </c>
      <c r="AC42" s="644">
        <f t="shared" si="6"/>
        <v>100000</v>
      </c>
      <c r="AD42" s="613"/>
      <c r="AE42" s="613"/>
    </row>
    <row r="43" spans="1:38" x14ac:dyDescent="0.25">
      <c r="A43" s="677"/>
      <c r="B43" s="677"/>
      <c r="C43" s="677"/>
      <c r="D43" s="703"/>
      <c r="E43" s="696"/>
      <c r="F43" s="685"/>
      <c r="G43" s="676"/>
      <c r="H43" s="681"/>
      <c r="I43" s="681"/>
      <c r="J43" s="681"/>
      <c r="K43" s="681"/>
      <c r="L43" s="681"/>
      <c r="M43" s="681"/>
      <c r="N43" s="681"/>
      <c r="O43" s="681"/>
      <c r="P43" s="676"/>
      <c r="Q43" s="682"/>
      <c r="R43" s="705"/>
      <c r="S43" s="706"/>
      <c r="T43" s="559"/>
      <c r="U43" s="546"/>
      <c r="V43" s="613"/>
      <c r="W43" s="613"/>
      <c r="X43" s="521"/>
      <c r="Y43" s="613"/>
      <c r="Z43" s="613"/>
      <c r="AA43" s="521"/>
      <c r="AB43" s="613"/>
      <c r="AC43" s="613"/>
      <c r="AD43" s="613"/>
      <c r="AE43" s="613"/>
    </row>
    <row r="44" spans="1:38" x14ac:dyDescent="0.25">
      <c r="A44" s="677"/>
      <c r="B44" s="677"/>
      <c r="C44" s="686"/>
      <c r="D44" s="703"/>
      <c r="E44" s="696"/>
      <c r="F44" s="685"/>
      <c r="G44" s="680"/>
      <c r="H44" s="711"/>
      <c r="I44" s="711"/>
      <c r="J44" s="711"/>
      <c r="K44" s="711"/>
      <c r="L44" s="711"/>
      <c r="M44" s="711"/>
      <c r="N44" s="711"/>
      <c r="O44" s="711"/>
      <c r="P44" s="712"/>
      <c r="Q44" s="713"/>
      <c r="R44" s="714"/>
      <c r="S44" s="706"/>
      <c r="T44" s="559"/>
      <c r="U44" s="559"/>
      <c r="V44" s="613"/>
      <c r="W44" s="613"/>
      <c r="X44" s="613"/>
      <c r="Y44" s="613"/>
      <c r="Z44" s="613"/>
      <c r="AA44" s="613"/>
      <c r="AB44" s="613"/>
      <c r="AC44" s="613"/>
      <c r="AD44" s="613"/>
      <c r="AE44" s="613"/>
    </row>
    <row r="45" spans="1:38" x14ac:dyDescent="0.25">
      <c r="A45" s="27"/>
      <c r="B45" s="27"/>
      <c r="C45" s="28"/>
      <c r="D45" s="29"/>
      <c r="E45" s="29"/>
      <c r="F45" s="29"/>
      <c r="G45" s="145"/>
      <c r="H45" s="716"/>
      <c r="I45" s="716"/>
      <c r="J45" s="716"/>
      <c r="K45" s="716"/>
      <c r="L45" s="716"/>
      <c r="M45" s="716"/>
      <c r="N45" s="716"/>
      <c r="O45" s="716"/>
      <c r="P45" s="717"/>
      <c r="Q45" s="717"/>
      <c r="R45" s="717"/>
      <c r="S45" s="30"/>
      <c r="T45" s="29"/>
      <c r="U45" s="29"/>
      <c r="W45" s="2"/>
      <c r="X45" s="2"/>
      <c r="Y45" s="2"/>
      <c r="Z45" s="2"/>
      <c r="AA45" s="2"/>
      <c r="AB45" s="2"/>
      <c r="AC45" s="2"/>
      <c r="AD45" s="2"/>
    </row>
    <row r="46" spans="1:38" x14ac:dyDescent="0.25">
      <c r="A46" s="27"/>
      <c r="B46" s="27"/>
      <c r="C46" s="28"/>
      <c r="D46" s="29"/>
      <c r="E46" s="29"/>
      <c r="F46" s="29"/>
      <c r="G46" s="145"/>
      <c r="H46" s="716"/>
      <c r="I46" s="716"/>
      <c r="J46" s="716"/>
      <c r="K46" s="716"/>
      <c r="L46" s="716"/>
      <c r="M46" s="716"/>
      <c r="N46" s="716"/>
      <c r="O46" s="716"/>
      <c r="P46" s="717"/>
      <c r="Q46" s="717"/>
      <c r="R46" s="717"/>
      <c r="S46" s="30"/>
      <c r="T46" s="29"/>
      <c r="U46" s="29"/>
      <c r="W46" s="2"/>
      <c r="X46" s="2"/>
      <c r="Y46" s="2"/>
      <c r="Z46" s="2"/>
      <c r="AA46" s="2"/>
      <c r="AB46" s="2">
        <v>43949528.32</v>
      </c>
      <c r="AC46" s="2"/>
      <c r="AD46" s="2"/>
    </row>
    <row r="47" spans="1:38" x14ac:dyDescent="0.25">
      <c r="A47" s="27"/>
      <c r="B47" s="27"/>
      <c r="C47" s="28"/>
      <c r="D47" s="29"/>
      <c r="E47" s="29"/>
      <c r="F47" s="29"/>
      <c r="G47" s="145"/>
      <c r="H47" s="716"/>
      <c r="I47" s="716"/>
      <c r="J47" s="716"/>
      <c r="K47" s="716"/>
      <c r="L47" s="716"/>
      <c r="M47" s="716"/>
      <c r="N47" s="716"/>
      <c r="O47" s="716"/>
      <c r="P47" s="717"/>
      <c r="Q47" s="717" t="s">
        <v>166</v>
      </c>
      <c r="R47" s="717"/>
      <c r="S47" s="30"/>
      <c r="T47" s="29"/>
      <c r="U47" s="29"/>
      <c r="W47" s="2"/>
      <c r="X47" s="2"/>
      <c r="Y47" s="2"/>
      <c r="Z47" s="2"/>
      <c r="AA47" s="2"/>
      <c r="AB47" s="2"/>
      <c r="AC47" s="2"/>
      <c r="AD47" s="2"/>
    </row>
    <row r="48" spans="1:38" x14ac:dyDescent="0.25">
      <c r="A48" s="27"/>
      <c r="B48" s="27"/>
      <c r="C48" s="28"/>
      <c r="D48" s="29"/>
      <c r="E48" s="29"/>
      <c r="F48" s="29"/>
      <c r="G48" s="145"/>
      <c r="H48" s="716"/>
      <c r="I48" s="716"/>
      <c r="J48" s="716"/>
      <c r="K48" s="716"/>
      <c r="L48" s="716"/>
      <c r="M48" s="716"/>
      <c r="N48" s="716"/>
      <c r="O48" s="716"/>
      <c r="P48" s="717"/>
      <c r="Q48" s="717"/>
      <c r="R48" s="717"/>
      <c r="S48" s="30"/>
      <c r="T48" s="29"/>
      <c r="U48" s="29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27"/>
      <c r="B49" s="27"/>
      <c r="C49" s="28"/>
      <c r="D49" s="29"/>
      <c r="E49" s="29"/>
      <c r="F49" s="29"/>
      <c r="G49" s="145"/>
      <c r="H49" s="716"/>
      <c r="I49" s="716"/>
      <c r="J49" s="716"/>
      <c r="K49" s="716"/>
      <c r="L49" s="716"/>
      <c r="M49" s="716"/>
      <c r="N49" s="716"/>
      <c r="O49" s="716"/>
      <c r="P49" s="717"/>
      <c r="Q49" s="717"/>
      <c r="R49" s="717"/>
      <c r="S49" s="30"/>
      <c r="T49" s="29"/>
      <c r="U49" s="29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27"/>
      <c r="B50" s="27"/>
      <c r="C50" s="28"/>
      <c r="D50" s="29"/>
      <c r="E50" s="29"/>
      <c r="F50" s="29"/>
      <c r="G50" s="145"/>
      <c r="H50" s="716"/>
      <c r="I50" s="716"/>
      <c r="J50" s="716"/>
      <c r="K50" s="716"/>
      <c r="L50" s="716"/>
      <c r="M50" s="716"/>
      <c r="N50" s="716"/>
      <c r="O50" s="716"/>
      <c r="P50" s="717"/>
      <c r="Q50" s="717"/>
      <c r="R50" s="717"/>
      <c r="S50" s="30"/>
      <c r="T50" s="29"/>
      <c r="U50" s="29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27"/>
      <c r="B51" s="27"/>
      <c r="C51" s="28"/>
      <c r="D51" s="29"/>
      <c r="E51" s="29"/>
      <c r="F51" s="29"/>
      <c r="G51" s="145"/>
      <c r="H51" s="716"/>
      <c r="I51" s="716"/>
      <c r="J51" s="716"/>
      <c r="K51" s="716"/>
      <c r="L51" s="716"/>
      <c r="M51" s="716"/>
      <c r="N51" s="716"/>
      <c r="O51" s="716"/>
      <c r="P51" s="717"/>
      <c r="Q51" s="717"/>
      <c r="R51" s="717"/>
      <c r="S51" s="30"/>
      <c r="T51" s="29"/>
      <c r="U51" s="29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27"/>
      <c r="B52" s="27"/>
      <c r="C52" s="28"/>
      <c r="D52" s="29"/>
      <c r="E52" s="29"/>
      <c r="F52" s="29"/>
      <c r="G52" s="145"/>
      <c r="H52" s="716"/>
      <c r="I52" s="716"/>
      <c r="J52" s="716"/>
      <c r="K52" s="716"/>
      <c r="L52" s="716"/>
      <c r="M52" s="716"/>
      <c r="N52" s="716"/>
      <c r="O52" s="716"/>
      <c r="P52" s="717"/>
      <c r="Q52" s="717"/>
      <c r="R52" s="717"/>
      <c r="S52" s="30"/>
      <c r="T52" s="29"/>
      <c r="U52" s="29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27"/>
      <c r="B53" s="27"/>
      <c r="C53" s="28"/>
      <c r="D53" s="29"/>
      <c r="E53" s="29"/>
      <c r="F53" s="29"/>
      <c r="G53" s="145"/>
      <c r="H53" s="716"/>
      <c r="I53" s="716"/>
      <c r="J53" s="716"/>
      <c r="K53" s="716"/>
      <c r="L53" s="716"/>
      <c r="M53" s="716"/>
      <c r="N53" s="716"/>
      <c r="O53" s="716"/>
      <c r="P53" s="717"/>
      <c r="Q53" s="717"/>
      <c r="R53" s="717"/>
      <c r="S53" s="30"/>
      <c r="T53" s="29"/>
      <c r="U53" s="29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27"/>
      <c r="B54" s="27"/>
      <c r="C54" s="28"/>
      <c r="D54" s="29"/>
      <c r="E54" s="29"/>
      <c r="F54" s="29"/>
      <c r="G54" s="145"/>
      <c r="H54" s="716"/>
      <c r="I54" s="716"/>
      <c r="J54" s="716"/>
      <c r="K54" s="716"/>
      <c r="L54" s="716"/>
      <c r="M54" s="716"/>
      <c r="N54" s="716"/>
      <c r="O54" s="716"/>
      <c r="P54" s="717"/>
      <c r="Q54" s="717"/>
      <c r="R54" s="717"/>
      <c r="S54" s="30"/>
      <c r="T54" s="29"/>
      <c r="U54" s="29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27"/>
      <c r="B55" s="27"/>
      <c r="C55" s="28"/>
      <c r="D55" s="29"/>
      <c r="E55" s="29"/>
      <c r="F55" s="29"/>
      <c r="G55" s="145"/>
      <c r="H55" s="716"/>
      <c r="I55" s="716"/>
      <c r="J55" s="716"/>
      <c r="K55" s="716"/>
      <c r="L55" s="716"/>
      <c r="M55" s="716"/>
      <c r="N55" s="716"/>
      <c r="O55" s="716"/>
      <c r="P55" s="717"/>
      <c r="Q55" s="717"/>
      <c r="R55" s="717"/>
      <c r="S55" s="30"/>
      <c r="T55" s="29"/>
      <c r="U55" s="29"/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27"/>
      <c r="B56" s="27"/>
      <c r="C56" s="28"/>
      <c r="D56" s="29"/>
      <c r="E56" s="29"/>
      <c r="F56" s="29"/>
      <c r="G56" s="145"/>
      <c r="H56" s="716"/>
      <c r="I56" s="716"/>
      <c r="J56" s="716"/>
      <c r="K56" s="716"/>
      <c r="L56" s="716"/>
      <c r="M56" s="716"/>
      <c r="N56" s="716"/>
      <c r="O56" s="716"/>
      <c r="P56" s="718"/>
      <c r="Q56" s="717"/>
      <c r="R56" s="717"/>
      <c r="S56" s="30"/>
      <c r="T56" s="29"/>
      <c r="U56" s="29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27"/>
      <c r="B57" s="27"/>
      <c r="C57" s="28"/>
      <c r="D57" s="29"/>
      <c r="E57" s="29"/>
      <c r="F57" s="29"/>
      <c r="G57" s="145"/>
      <c r="H57" s="716"/>
      <c r="I57" s="716"/>
      <c r="J57" s="716"/>
      <c r="K57" s="716"/>
      <c r="L57" s="716"/>
      <c r="M57" s="716"/>
      <c r="N57" s="716"/>
      <c r="O57" s="716"/>
      <c r="P57" s="718"/>
      <c r="Q57" s="717"/>
      <c r="R57" s="717"/>
      <c r="S57" s="30"/>
      <c r="T57" s="29"/>
      <c r="U57" s="29"/>
      <c r="W57" s="2"/>
      <c r="X57" s="2"/>
      <c r="Y57" s="2"/>
      <c r="Z57" s="2"/>
      <c r="AA57" s="675"/>
      <c r="AB57" s="2"/>
      <c r="AC57" s="2"/>
      <c r="AD57" s="2"/>
    </row>
    <row r="58" spans="1:30" x14ac:dyDescent="0.25">
      <c r="A58" s="27"/>
      <c r="B58" s="27"/>
      <c r="C58" s="28"/>
      <c r="D58" s="29"/>
      <c r="E58" s="29"/>
      <c r="F58" s="29"/>
      <c r="G58" s="145"/>
      <c r="H58" s="716"/>
      <c r="I58" s="716"/>
      <c r="J58" s="716"/>
      <c r="K58" s="716"/>
      <c r="L58" s="716"/>
      <c r="M58" s="716"/>
      <c r="N58" s="716"/>
      <c r="O58" s="716"/>
      <c r="P58" s="717"/>
      <c r="Q58" s="717"/>
      <c r="R58" s="717"/>
      <c r="S58" s="30"/>
      <c r="T58" s="29"/>
      <c r="U58" s="29"/>
      <c r="W58" s="2"/>
      <c r="X58" s="2"/>
      <c r="Y58" s="2"/>
      <c r="Z58" s="2"/>
      <c r="AA58" s="675"/>
      <c r="AB58" s="2"/>
      <c r="AC58" s="2"/>
      <c r="AD58" s="2"/>
    </row>
    <row r="59" spans="1:30" x14ac:dyDescent="0.25">
      <c r="A59" s="27"/>
      <c r="B59" s="27"/>
      <c r="C59" s="28"/>
      <c r="D59" s="29"/>
      <c r="E59" s="29"/>
      <c r="F59" s="29"/>
      <c r="G59" s="145"/>
      <c r="H59" s="716"/>
      <c r="I59" s="716"/>
      <c r="J59" s="716"/>
      <c r="K59" s="716"/>
      <c r="L59" s="716"/>
      <c r="M59" s="716"/>
      <c r="N59" s="716"/>
      <c r="O59" s="716"/>
      <c r="P59" s="717"/>
      <c r="Q59" s="717"/>
      <c r="R59" s="717"/>
      <c r="S59" s="30"/>
      <c r="T59" s="29"/>
      <c r="U59" s="29"/>
      <c r="W59" s="2"/>
      <c r="X59" s="2"/>
      <c r="Y59" s="2"/>
      <c r="Z59" s="2"/>
      <c r="AA59" s="675"/>
      <c r="AB59" s="2"/>
      <c r="AC59" s="2"/>
      <c r="AD59" s="2"/>
    </row>
    <row r="60" spans="1:30" x14ac:dyDescent="0.25">
      <c r="A60" s="27"/>
      <c r="B60" s="27"/>
      <c r="C60" s="28"/>
      <c r="D60" s="29"/>
      <c r="E60" s="29"/>
      <c r="F60" s="29"/>
      <c r="G60" s="145"/>
      <c r="H60" s="716"/>
      <c r="I60" s="716"/>
      <c r="J60" s="716"/>
      <c r="K60" s="716"/>
      <c r="L60" s="716"/>
      <c r="M60" s="716"/>
      <c r="N60" s="716"/>
      <c r="O60" s="716"/>
      <c r="P60" s="717"/>
      <c r="Q60" s="717"/>
      <c r="R60" s="717"/>
      <c r="S60" s="30"/>
      <c r="T60" s="29"/>
      <c r="U60" s="29"/>
      <c r="W60" s="2"/>
      <c r="X60" s="2"/>
      <c r="Y60" s="2"/>
      <c r="Z60" s="2"/>
      <c r="AA60" s="675"/>
      <c r="AB60" s="2"/>
      <c r="AC60" s="2"/>
      <c r="AD60" s="2"/>
    </row>
    <row r="61" spans="1:30" x14ac:dyDescent="0.25">
      <c r="A61" s="27"/>
      <c r="B61" s="27"/>
      <c r="C61" s="28"/>
      <c r="D61" s="29"/>
      <c r="E61" s="29"/>
      <c r="F61" s="29"/>
      <c r="G61" s="145"/>
      <c r="H61" s="716"/>
      <c r="I61" s="716"/>
      <c r="J61" s="716"/>
      <c r="K61" s="716"/>
      <c r="L61" s="716"/>
      <c r="M61" s="716"/>
      <c r="N61" s="716"/>
      <c r="O61" s="716"/>
      <c r="P61" s="717"/>
      <c r="Q61" s="717"/>
      <c r="R61" s="717"/>
      <c r="S61" s="30"/>
      <c r="T61" s="29"/>
      <c r="U61" s="29"/>
      <c r="W61" s="2"/>
      <c r="X61" s="2"/>
      <c r="Y61" s="2"/>
      <c r="Z61" s="2"/>
      <c r="AA61" s="675"/>
      <c r="AB61" s="2"/>
      <c r="AC61" s="2"/>
      <c r="AD61" s="2"/>
    </row>
    <row r="62" spans="1:30" x14ac:dyDescent="0.25">
      <c r="A62" s="27"/>
      <c r="B62" s="27"/>
      <c r="C62" s="28"/>
      <c r="D62" s="29"/>
      <c r="E62" s="29"/>
      <c r="F62" s="29"/>
      <c r="G62" s="145"/>
      <c r="H62" s="716"/>
      <c r="I62" s="716"/>
      <c r="J62" s="716"/>
      <c r="K62" s="716"/>
      <c r="L62" s="716"/>
      <c r="M62" s="716"/>
      <c r="N62" s="716"/>
      <c r="O62" s="716"/>
      <c r="P62" s="717"/>
      <c r="Q62" s="717"/>
      <c r="R62" s="717"/>
      <c r="S62" s="30"/>
      <c r="T62" s="29"/>
      <c r="U62" s="29"/>
      <c r="W62" s="2"/>
      <c r="X62" s="2"/>
      <c r="Y62" s="2"/>
      <c r="Z62" s="2"/>
      <c r="AA62" s="675"/>
      <c r="AB62" s="2"/>
      <c r="AC62" s="2"/>
      <c r="AD62" s="2"/>
    </row>
    <row r="63" spans="1:30" x14ac:dyDescent="0.25">
      <c r="A63" s="27"/>
      <c r="B63" s="27"/>
      <c r="C63" s="28"/>
      <c r="D63" s="29"/>
      <c r="E63" s="29"/>
      <c r="F63" s="29"/>
      <c r="G63" s="145"/>
      <c r="H63" s="716"/>
      <c r="I63" s="716"/>
      <c r="J63" s="716"/>
      <c r="K63" s="716"/>
      <c r="L63" s="716"/>
      <c r="M63" s="716"/>
      <c r="N63" s="716"/>
      <c r="O63" s="716"/>
      <c r="P63" s="717"/>
      <c r="Q63" s="717"/>
      <c r="R63" s="717"/>
      <c r="S63" s="30"/>
      <c r="T63" s="29"/>
      <c r="U63" s="29"/>
      <c r="W63" s="604"/>
    </row>
    <row r="64" spans="1:30" x14ac:dyDescent="0.25">
      <c r="A64" s="27"/>
      <c r="B64" s="27"/>
      <c r="C64" s="28"/>
      <c r="D64" s="29"/>
      <c r="E64" s="29"/>
      <c r="F64" s="29"/>
      <c r="G64" s="145"/>
      <c r="H64" s="716"/>
      <c r="I64" s="716"/>
      <c r="J64" s="716"/>
      <c r="K64" s="716"/>
      <c r="L64" s="716"/>
      <c r="M64" s="716"/>
      <c r="N64" s="716"/>
      <c r="O64" s="716"/>
      <c r="P64" s="717"/>
      <c r="Q64" s="717"/>
      <c r="R64" s="717"/>
      <c r="S64" s="30"/>
      <c r="T64" s="29"/>
      <c r="U64" s="29"/>
      <c r="W64" s="604"/>
    </row>
    <row r="65" spans="1:23" x14ac:dyDescent="0.25">
      <c r="A65" s="27"/>
      <c r="B65" s="27"/>
      <c r="C65" s="28"/>
      <c r="D65" s="29"/>
      <c r="E65" s="29"/>
      <c r="F65" s="29"/>
      <c r="G65" s="145"/>
      <c r="H65" s="716"/>
      <c r="I65" s="716"/>
      <c r="J65" s="716"/>
      <c r="K65" s="716"/>
      <c r="L65" s="716"/>
      <c r="M65" s="716"/>
      <c r="N65" s="716"/>
      <c r="O65" s="716"/>
      <c r="P65" s="717"/>
      <c r="Q65" s="717"/>
      <c r="R65" s="717"/>
      <c r="S65" s="30"/>
      <c r="T65" s="29"/>
      <c r="U65" s="29"/>
      <c r="W65" s="604"/>
    </row>
    <row r="66" spans="1:23" x14ac:dyDescent="0.25">
      <c r="A66" s="27"/>
      <c r="B66" s="27"/>
      <c r="C66" s="28"/>
      <c r="D66" s="29"/>
      <c r="E66" s="29"/>
      <c r="F66" s="29"/>
      <c r="G66" s="145"/>
      <c r="H66" s="716"/>
      <c r="I66" s="716"/>
      <c r="J66" s="716"/>
      <c r="K66" s="716"/>
      <c r="L66" s="716"/>
      <c r="M66" s="716"/>
      <c r="N66" s="716"/>
      <c r="O66" s="716"/>
      <c r="P66" s="717"/>
      <c r="Q66" s="717"/>
      <c r="R66" s="717"/>
      <c r="S66" s="30"/>
      <c r="T66" s="29"/>
      <c r="U66" s="29"/>
      <c r="W66" s="604"/>
    </row>
    <row r="67" spans="1:23" x14ac:dyDescent="0.25">
      <c r="A67" s="27"/>
      <c r="B67" s="27"/>
      <c r="C67" s="28"/>
      <c r="D67" s="29"/>
      <c r="E67" s="29"/>
      <c r="F67" s="29"/>
      <c r="G67" s="145"/>
      <c r="H67" s="716"/>
      <c r="I67" s="716"/>
      <c r="J67" s="716"/>
      <c r="K67" s="716"/>
      <c r="L67" s="716"/>
      <c r="M67" s="716"/>
      <c r="N67" s="716"/>
      <c r="O67" s="716"/>
      <c r="P67" s="717"/>
      <c r="Q67" s="717"/>
      <c r="R67" s="717"/>
      <c r="S67" s="30"/>
      <c r="T67" s="29"/>
      <c r="U67" s="29"/>
      <c r="W67" s="604"/>
    </row>
    <row r="68" spans="1:23" x14ac:dyDescent="0.25">
      <c r="A68" s="27"/>
      <c r="B68" s="27"/>
      <c r="C68" s="28"/>
      <c r="D68" s="29"/>
      <c r="E68" s="29"/>
      <c r="F68" s="29"/>
      <c r="G68" s="145"/>
      <c r="H68" s="716"/>
      <c r="I68" s="716"/>
      <c r="J68" s="716"/>
      <c r="K68" s="716"/>
      <c r="L68" s="716"/>
      <c r="M68" s="716"/>
      <c r="N68" s="716"/>
      <c r="O68" s="716"/>
      <c r="P68" s="717"/>
      <c r="Q68" s="717"/>
      <c r="R68" s="717"/>
      <c r="S68" s="30"/>
      <c r="T68" s="29"/>
      <c r="U68" s="29"/>
      <c r="W68" s="604"/>
    </row>
    <row r="69" spans="1:23" x14ac:dyDescent="0.25">
      <c r="A69" s="27"/>
      <c r="B69" s="27"/>
      <c r="C69" s="28"/>
      <c r="D69" s="29"/>
      <c r="E69" s="29"/>
      <c r="F69" s="29"/>
      <c r="G69" s="145"/>
      <c r="H69" s="716"/>
      <c r="I69" s="716"/>
      <c r="J69" s="716"/>
      <c r="K69" s="716"/>
      <c r="L69" s="716"/>
      <c r="M69" s="716"/>
      <c r="N69" s="716"/>
      <c r="O69" s="716"/>
      <c r="P69" s="717"/>
      <c r="Q69" s="717"/>
      <c r="R69" s="717"/>
      <c r="S69" s="30"/>
      <c r="T69" s="29"/>
      <c r="U69" s="29"/>
      <c r="W69" s="604"/>
    </row>
    <row r="70" spans="1:23" x14ac:dyDescent="0.25">
      <c r="A70" s="27"/>
      <c r="B70" s="27"/>
      <c r="C70" s="28"/>
      <c r="D70" s="29"/>
      <c r="E70" s="29"/>
      <c r="F70" s="29"/>
      <c r="G70" s="2"/>
      <c r="H70" s="719"/>
      <c r="I70" s="719"/>
      <c r="J70" s="719"/>
      <c r="K70" s="719"/>
      <c r="L70" s="719"/>
      <c r="M70" s="719"/>
      <c r="N70" s="719"/>
      <c r="O70" s="719"/>
      <c r="P70" s="717"/>
      <c r="Q70" s="717"/>
      <c r="R70" s="717"/>
      <c r="S70" s="30"/>
      <c r="T70" s="29"/>
      <c r="U70" s="29"/>
      <c r="W70" s="604"/>
    </row>
    <row r="71" spans="1:23" x14ac:dyDescent="0.25">
      <c r="A71" s="27"/>
      <c r="B71" s="27"/>
      <c r="C71" s="28"/>
      <c r="D71" s="29"/>
      <c r="E71" s="29"/>
      <c r="F71" s="29"/>
      <c r="G71" s="2"/>
      <c r="H71" s="674"/>
      <c r="I71" s="674"/>
      <c r="J71" s="674"/>
      <c r="K71" s="674"/>
      <c r="L71" s="674"/>
      <c r="M71" s="674"/>
      <c r="N71" s="674"/>
      <c r="O71" s="674"/>
      <c r="P71" s="2"/>
      <c r="Q71" s="2"/>
      <c r="R71" s="2"/>
      <c r="S71" s="30"/>
      <c r="T71" s="29"/>
      <c r="U71" s="29"/>
      <c r="W71" s="604"/>
    </row>
    <row r="72" spans="1:23" x14ac:dyDescent="0.25">
      <c r="A72" s="27"/>
      <c r="B72" s="27"/>
      <c r="C72" s="28"/>
      <c r="D72" s="29"/>
      <c r="E72" s="29"/>
      <c r="F72" s="29"/>
      <c r="G72" s="2"/>
      <c r="H72" s="674"/>
      <c r="I72" s="674"/>
      <c r="J72" s="674"/>
      <c r="K72" s="674"/>
      <c r="L72" s="674"/>
      <c r="M72" s="674"/>
      <c r="N72" s="674"/>
      <c r="O72" s="674"/>
      <c r="P72" s="2"/>
      <c r="Q72" s="2"/>
      <c r="R72" s="2"/>
      <c r="S72" s="30"/>
      <c r="T72" s="29"/>
      <c r="U72" s="29"/>
      <c r="W72" s="604"/>
    </row>
    <row r="73" spans="1:23" x14ac:dyDescent="0.25">
      <c r="A73" s="27"/>
      <c r="B73" s="27"/>
      <c r="C73" s="28"/>
      <c r="D73" s="29"/>
      <c r="E73" s="29"/>
      <c r="F73" s="29"/>
      <c r="G73" s="2"/>
      <c r="H73" s="674"/>
      <c r="I73" s="674"/>
      <c r="J73" s="674"/>
      <c r="K73" s="674"/>
      <c r="L73" s="674"/>
      <c r="M73" s="674"/>
      <c r="N73" s="674"/>
      <c r="O73" s="674"/>
      <c r="P73" s="2"/>
      <c r="Q73" s="2"/>
      <c r="R73" s="2"/>
      <c r="S73" s="30"/>
      <c r="T73" s="29"/>
      <c r="U73" s="29"/>
      <c r="W73" s="604"/>
    </row>
    <row r="74" spans="1:23" x14ac:dyDescent="0.25">
      <c r="A74" s="27"/>
      <c r="B74" s="27"/>
      <c r="C74" s="28"/>
      <c r="D74" s="29"/>
      <c r="E74" s="29"/>
      <c r="F74" s="29"/>
      <c r="G74" s="2"/>
      <c r="H74" s="674"/>
      <c r="I74" s="674"/>
      <c r="J74" s="674"/>
      <c r="K74" s="674"/>
      <c r="L74" s="674"/>
      <c r="M74" s="674"/>
      <c r="N74" s="674"/>
      <c r="O74" s="674"/>
      <c r="P74" s="2"/>
      <c r="Q74" s="2"/>
      <c r="R74" s="2"/>
      <c r="S74" s="30"/>
      <c r="T74" s="29"/>
      <c r="U74" s="29"/>
      <c r="W74" s="604"/>
    </row>
    <row r="75" spans="1:23" x14ac:dyDescent="0.25">
      <c r="A75" s="27"/>
      <c r="B75" s="27"/>
      <c r="C75" s="28"/>
      <c r="D75" s="29"/>
      <c r="E75" s="29"/>
      <c r="F75" s="29"/>
      <c r="G75" s="2"/>
      <c r="H75" s="674"/>
      <c r="I75" s="674"/>
      <c r="J75" s="674"/>
      <c r="K75" s="674"/>
      <c r="L75" s="674"/>
      <c r="M75" s="674"/>
      <c r="N75" s="674"/>
      <c r="O75" s="674"/>
      <c r="P75" s="2"/>
      <c r="Q75" s="2"/>
      <c r="R75" s="2"/>
      <c r="S75" s="30"/>
      <c r="T75" s="29"/>
      <c r="U75" s="29"/>
      <c r="W75" s="604"/>
    </row>
    <row r="76" spans="1:23" x14ac:dyDescent="0.25">
      <c r="A76" s="27"/>
      <c r="B76" s="27"/>
      <c r="C76" s="28"/>
      <c r="D76" s="29"/>
      <c r="E76" s="29"/>
      <c r="F76" s="29"/>
      <c r="G76" s="2"/>
      <c r="H76" s="674"/>
      <c r="I76" s="674"/>
      <c r="J76" s="674"/>
      <c r="K76" s="674"/>
      <c r="L76" s="674"/>
      <c r="M76" s="674"/>
      <c r="N76" s="674"/>
      <c r="O76" s="674"/>
      <c r="P76" s="2"/>
      <c r="Q76" s="2"/>
      <c r="R76" s="2"/>
      <c r="S76" s="30"/>
      <c r="T76" s="29"/>
      <c r="U76" s="29"/>
      <c r="W76" s="604"/>
    </row>
    <row r="77" spans="1:23" x14ac:dyDescent="0.25">
      <c r="A77" s="27"/>
      <c r="B77" s="27"/>
      <c r="C77" s="28"/>
      <c r="D77" s="29"/>
      <c r="E77" s="29"/>
      <c r="F77" s="29"/>
      <c r="G77" s="29"/>
      <c r="H77" s="715"/>
      <c r="I77" s="715"/>
      <c r="J77" s="715"/>
      <c r="K77" s="715"/>
      <c r="L77" s="715"/>
      <c r="M77" s="715"/>
      <c r="N77" s="715"/>
      <c r="O77" s="715"/>
      <c r="R77" s="29"/>
      <c r="S77" s="30"/>
      <c r="T77" s="29"/>
      <c r="U77" s="29"/>
      <c r="W77" s="604"/>
    </row>
    <row r="78" spans="1:23" x14ac:dyDescent="0.25">
      <c r="A78" s="27"/>
      <c r="B78" s="27"/>
      <c r="C78" s="28"/>
      <c r="D78" s="29"/>
      <c r="E78" s="29"/>
      <c r="F78" s="29"/>
      <c r="G78" s="29"/>
      <c r="H78" s="715"/>
      <c r="I78" s="715"/>
      <c r="J78" s="715"/>
      <c r="K78" s="715"/>
      <c r="L78" s="715"/>
      <c r="M78" s="715"/>
      <c r="N78" s="715"/>
      <c r="O78" s="715"/>
      <c r="R78" s="29"/>
      <c r="S78" s="30"/>
      <c r="T78" s="29"/>
      <c r="U78" s="29"/>
      <c r="W78" s="604"/>
    </row>
    <row r="79" spans="1:23" x14ac:dyDescent="0.25">
      <c r="A79" s="27"/>
      <c r="B79" s="27"/>
      <c r="C79" s="28"/>
      <c r="D79" s="29"/>
      <c r="E79" s="29"/>
      <c r="F79" s="29"/>
      <c r="G79" s="29"/>
      <c r="H79" s="715"/>
      <c r="I79" s="715"/>
      <c r="J79" s="715"/>
      <c r="K79" s="715"/>
      <c r="L79" s="715"/>
      <c r="M79" s="715"/>
      <c r="N79" s="715"/>
      <c r="O79" s="715"/>
      <c r="R79" s="29"/>
      <c r="S79" s="30"/>
      <c r="T79" s="29"/>
      <c r="U79" s="29"/>
      <c r="W79" s="604"/>
    </row>
    <row r="80" spans="1:23" x14ac:dyDescent="0.25">
      <c r="A80" s="27"/>
      <c r="B80" s="27"/>
      <c r="C80" s="28"/>
      <c r="D80" s="29"/>
      <c r="E80" s="29"/>
      <c r="F80" s="29"/>
      <c r="G80" s="29"/>
      <c r="H80" s="715"/>
      <c r="I80" s="715"/>
      <c r="J80" s="715"/>
      <c r="K80" s="715"/>
      <c r="L80" s="715"/>
      <c r="M80" s="715"/>
      <c r="N80" s="715"/>
      <c r="O80" s="715"/>
      <c r="R80" s="29"/>
      <c r="S80" s="30"/>
      <c r="T80" s="29"/>
      <c r="U80" s="29"/>
      <c r="W80" s="604"/>
    </row>
    <row r="81" spans="1:23" x14ac:dyDescent="0.25">
      <c r="A81" s="27"/>
      <c r="B81" s="27"/>
      <c r="C81" s="28"/>
      <c r="D81" s="29"/>
      <c r="E81" s="29"/>
      <c r="F81" s="29"/>
      <c r="G81" s="29"/>
      <c r="H81" s="715"/>
      <c r="I81" s="715"/>
      <c r="J81" s="715"/>
      <c r="K81" s="715"/>
      <c r="L81" s="715"/>
      <c r="M81" s="715"/>
      <c r="N81" s="715"/>
      <c r="O81" s="715"/>
      <c r="R81" s="29"/>
      <c r="S81" s="30"/>
      <c r="T81" s="29"/>
      <c r="U81" s="29"/>
      <c r="W81" s="604"/>
    </row>
    <row r="82" spans="1:23" x14ac:dyDescent="0.25">
      <c r="A82" s="27"/>
      <c r="B82" s="27"/>
      <c r="C82" s="28"/>
      <c r="D82" s="29"/>
      <c r="E82" s="29"/>
      <c r="F82" s="29"/>
      <c r="G82" s="29"/>
      <c r="H82" s="715"/>
      <c r="I82" s="715"/>
      <c r="J82" s="715"/>
      <c r="K82" s="715"/>
      <c r="L82" s="715"/>
      <c r="M82" s="715"/>
      <c r="N82" s="715"/>
      <c r="O82" s="715"/>
      <c r="R82" s="29"/>
      <c r="S82" s="30"/>
      <c r="T82" s="29"/>
      <c r="U82" s="29"/>
      <c r="W82" s="604"/>
    </row>
    <row r="83" spans="1:23" x14ac:dyDescent="0.25">
      <c r="A83" s="27"/>
      <c r="B83" s="27"/>
      <c r="C83" s="28"/>
      <c r="D83" s="29"/>
      <c r="E83" s="29"/>
      <c r="F83" s="29"/>
      <c r="G83" s="29"/>
      <c r="H83" s="715"/>
      <c r="I83" s="715"/>
      <c r="J83" s="715"/>
      <c r="K83" s="715"/>
      <c r="L83" s="715"/>
      <c r="M83" s="715"/>
      <c r="N83" s="715"/>
      <c r="O83" s="715"/>
      <c r="R83" s="29"/>
      <c r="S83" s="30"/>
      <c r="T83" s="29"/>
      <c r="U83" s="29"/>
      <c r="W83" s="604"/>
    </row>
    <row r="84" spans="1:23" x14ac:dyDescent="0.25">
      <c r="A84" s="27"/>
      <c r="B84" s="27"/>
      <c r="C84" s="28"/>
      <c r="D84" s="29"/>
      <c r="E84" s="29"/>
      <c r="F84" s="29"/>
      <c r="G84" s="29"/>
      <c r="H84" s="715"/>
      <c r="I84" s="715"/>
      <c r="J84" s="715"/>
      <c r="K84" s="715"/>
      <c r="L84" s="715"/>
      <c r="M84" s="715"/>
      <c r="N84" s="715"/>
      <c r="O84" s="715"/>
      <c r="R84" s="29"/>
      <c r="S84" s="30"/>
      <c r="T84" s="29"/>
      <c r="U84" s="29"/>
      <c r="W84" s="604"/>
    </row>
    <row r="85" spans="1:23" x14ac:dyDescent="0.25">
      <c r="A85" s="27"/>
      <c r="B85" s="27"/>
      <c r="C85" s="28"/>
      <c r="D85" s="29"/>
      <c r="E85" s="29"/>
      <c r="F85" s="29"/>
      <c r="G85" s="29"/>
      <c r="H85" s="715"/>
      <c r="I85" s="715"/>
      <c r="J85" s="715"/>
      <c r="K85" s="715"/>
      <c r="L85" s="715"/>
      <c r="M85" s="715"/>
      <c r="N85" s="715"/>
      <c r="O85" s="715"/>
      <c r="R85" s="29"/>
      <c r="S85" s="30"/>
      <c r="T85" s="29"/>
      <c r="U85" s="29"/>
      <c r="W85" s="604"/>
    </row>
    <row r="86" spans="1:23" x14ac:dyDescent="0.25">
      <c r="A86" s="27"/>
      <c r="B86" s="27"/>
      <c r="C86" s="28"/>
      <c r="D86" s="29"/>
      <c r="E86" s="29"/>
      <c r="F86" s="29"/>
      <c r="G86" s="29"/>
      <c r="H86" s="715"/>
      <c r="I86" s="715"/>
      <c r="J86" s="715"/>
      <c r="K86" s="715"/>
      <c r="L86" s="715"/>
      <c r="M86" s="715"/>
      <c r="N86" s="715"/>
      <c r="O86" s="715"/>
      <c r="R86" s="29"/>
      <c r="S86" s="30"/>
      <c r="T86" s="29"/>
      <c r="U86" s="29"/>
      <c r="W86" s="604"/>
    </row>
    <row r="87" spans="1:23" x14ac:dyDescent="0.25">
      <c r="A87" s="27"/>
      <c r="B87" s="27"/>
      <c r="C87" s="28"/>
      <c r="D87" s="29"/>
      <c r="E87" s="29"/>
      <c r="F87" s="29"/>
      <c r="G87" s="29"/>
      <c r="H87" s="715"/>
      <c r="I87" s="715"/>
      <c r="J87" s="715"/>
      <c r="K87" s="715"/>
      <c r="L87" s="715"/>
      <c r="M87" s="715"/>
      <c r="N87" s="715"/>
      <c r="O87" s="715"/>
      <c r="R87" s="29"/>
      <c r="S87" s="30"/>
      <c r="T87" s="29"/>
      <c r="U87" s="29"/>
      <c r="W87" s="604"/>
    </row>
  </sheetData>
  <autoFilter ref="A2:AL39"/>
  <mergeCells count="1">
    <mergeCell ref="T1:T2"/>
  </mergeCells>
  <conditionalFormatting sqref="G1:G1048576">
    <cfRule type="cellIs" dxfId="28" priority="8" operator="equal">
      <formula>"Finish"</formula>
    </cfRule>
  </conditionalFormatting>
  <conditionalFormatting sqref="H9:O69">
    <cfRule type="cellIs" dxfId="27" priority="9" operator="equal">
      <formula>0</formula>
    </cfRule>
    <cfRule type="expression" dxfId="26" priority="10">
      <formula>IF(AND(MATCH($G9,$2:$2,0)&lt;=MATCH(H$2,$2:$2,0),SUM($H9:H9)&lt;=$Z9),1,0)</formula>
    </cfRule>
    <cfRule type="expression" dxfId="25" priority="11">
      <formula>IF(AND($G9=H$2,H9&lt;&gt;""),1,0)</formula>
    </cfRule>
    <cfRule type="expression" dxfId="24" priority="12">
      <formula>IF($Z9-SUM($H9:H9)&gt;=0,1,0)</formula>
    </cfRule>
    <cfRule type="expression" dxfId="23" priority="13">
      <formula>IF(MATCH($G9,$2:$2,0)&gt;MATCH(H$2,$2:$2,0),1,0)</formula>
    </cfRule>
  </conditionalFormatting>
  <conditionalFormatting sqref="Q15:Q30">
    <cfRule type="cellIs" dxfId="22" priority="102" operator="equal">
      <formula>0</formula>
    </cfRule>
    <cfRule type="expression" dxfId="21" priority="103">
      <formula>IF(AND(MATCH(#REF!,$2:$2,0)&lt;=MATCH(Q$2,$2:$2,0),SUM($Q15:Q15)&lt;=$AA15),1,0)</formula>
    </cfRule>
    <cfRule type="expression" dxfId="20" priority="104">
      <formula>IF(AND(#REF!=Q$2,Q15&lt;&gt;""),1,0)</formula>
    </cfRule>
    <cfRule type="expression" dxfId="19" priority="105">
      <formula>IF($AA15-SUM($Q15:Q15)&gt;=0,1,0)</formula>
    </cfRule>
    <cfRule type="expression" dxfId="18" priority="106">
      <formula>IF(MATCH(#REF!,$2:$2,0)&gt;MATCH(Q$2,$2:$2,0),1,0)</formula>
    </cfRule>
  </conditionalFormatting>
  <conditionalFormatting sqref="W1:W1048576 Z1:Z1048576">
    <cfRule type="cellIs" dxfId="17" priority="44" stopIfTrue="1" operator="equal">
      <formula>1</formula>
    </cfRule>
  </conditionalFormatting>
  <dataValidations count="1">
    <dataValidation type="list" allowBlank="1" showInputMessage="1" showErrorMessage="1" sqref="G1:G1048576">
      <formula1>$H$2:$P$2</formula1>
    </dataValidation>
  </dataValidations>
  <pageMargins left="0.7" right="0.7" top="0.75" bottom="0.75" header="0.3" footer="0.3"/>
  <pageSetup paperSize="8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'Project Team'!$A:$A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</sheetPr>
  <dimension ref="A1:AR86"/>
  <sheetViews>
    <sheetView zoomScaleNormal="100" zoomScaleSheetLayoutView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:C16"/>
    </sheetView>
  </sheetViews>
  <sheetFormatPr defaultRowHeight="15" x14ac:dyDescent="0.25"/>
  <cols>
    <col min="1" max="1" width="6.5703125" style="27" customWidth="1"/>
    <col min="2" max="2" width="8.42578125" style="27" hidden="1" customWidth="1"/>
    <col min="3" max="3" width="10.42578125" style="28" customWidth="1"/>
    <col min="4" max="4" width="57.5703125" style="29" customWidth="1"/>
    <col min="5" max="5" width="46.42578125" style="29" bestFit="1" customWidth="1"/>
    <col min="6" max="6" width="15.42578125" style="59" customWidth="1"/>
    <col min="7" max="7" width="18.140625" style="270" customWidth="1"/>
    <col min="8" max="8" width="6.42578125" style="179" customWidth="1"/>
    <col min="9" max="9" width="7.28515625" style="179" bestFit="1" customWidth="1"/>
    <col min="10" max="11" width="6.42578125" style="179" customWidth="1"/>
    <col min="12" max="12" width="7.5703125" style="179" customWidth="1"/>
    <col min="13" max="13" width="6.42578125" style="179" customWidth="1"/>
    <col min="14" max="14" width="7.5703125" style="179" customWidth="1"/>
    <col min="15" max="15" width="7.85546875" style="179" customWidth="1"/>
    <col min="16" max="16" width="6.5703125" style="29" hidden="1" customWidth="1"/>
    <col min="17" max="17" width="15.5703125" style="215" hidden="1" customWidth="1"/>
    <col min="18" max="18" width="16.7109375" style="29" customWidth="1"/>
    <col min="19" max="19" width="11.7109375" style="30" customWidth="1"/>
    <col min="20" max="20" width="14" style="29" customWidth="1"/>
    <col min="21" max="21" width="16" style="29" customWidth="1"/>
    <col min="22" max="22" width="23.42578125" style="2" bestFit="1" customWidth="1"/>
    <col min="23" max="23" width="9.140625" style="2" customWidth="1"/>
    <col min="24" max="24" width="15.42578125" style="2" customWidth="1"/>
    <col min="25" max="25" width="18.5703125" style="2" bestFit="1" customWidth="1"/>
    <col min="26" max="26" width="10.140625" style="2" customWidth="1"/>
    <col min="27" max="27" width="15" style="2" customWidth="1"/>
    <col min="28" max="28" width="14.85546875" style="2" customWidth="1"/>
    <col min="29" max="29" width="17.7109375" style="2" customWidth="1"/>
    <col min="30" max="30" width="32.5703125" style="2" customWidth="1"/>
    <col min="31" max="31" width="20.85546875" style="181" customWidth="1"/>
    <col min="32" max="32" width="12.5703125" style="181" customWidth="1"/>
    <col min="33" max="33" width="14.42578125" style="181" customWidth="1"/>
    <col min="34" max="34" width="13.42578125" style="181" customWidth="1"/>
    <col min="35" max="35" width="16.28515625" style="181" customWidth="1"/>
    <col min="36" max="36" width="14.85546875" style="181" customWidth="1"/>
    <col min="37" max="37" width="14.42578125" style="2" customWidth="1"/>
    <col min="38" max="38" width="15.42578125" style="2" customWidth="1"/>
    <col min="39" max="39" width="14" style="2" customWidth="1"/>
    <col min="40" max="40" width="11" style="1" bestFit="1" customWidth="1"/>
    <col min="41" max="43" width="9" style="1" customWidth="1"/>
  </cols>
  <sheetData>
    <row r="1" spans="1:43" s="3" customFormat="1" ht="19.5" thickTop="1" x14ac:dyDescent="0.25">
      <c r="A1" s="16" t="s">
        <v>0</v>
      </c>
      <c r="B1" s="17" t="s">
        <v>18</v>
      </c>
      <c r="C1" s="18" t="s">
        <v>7</v>
      </c>
      <c r="D1" s="19" t="s">
        <v>8</v>
      </c>
      <c r="E1" s="197" t="s">
        <v>9</v>
      </c>
      <c r="F1" s="277" t="s">
        <v>153</v>
      </c>
      <c r="G1" s="278" t="s">
        <v>38</v>
      </c>
      <c r="H1" s="279"/>
      <c r="I1" s="191" t="s">
        <v>147</v>
      </c>
      <c r="J1" s="191" t="s">
        <v>147</v>
      </c>
      <c r="K1" s="191" t="s">
        <v>147</v>
      </c>
      <c r="L1" s="191" t="s">
        <v>147</v>
      </c>
      <c r="M1" s="191"/>
      <c r="N1" s="191" t="s">
        <v>147</v>
      </c>
      <c r="O1" s="191" t="s">
        <v>147</v>
      </c>
      <c r="P1" s="197"/>
      <c r="Q1" s="206"/>
      <c r="R1" s="20" t="s">
        <v>2</v>
      </c>
      <c r="S1" s="21" t="s">
        <v>10</v>
      </c>
      <c r="T1" s="770" t="s">
        <v>91</v>
      </c>
      <c r="U1" s="67"/>
      <c r="V1" s="4" t="s">
        <v>13</v>
      </c>
      <c r="W1" s="4" t="s">
        <v>12</v>
      </c>
      <c r="X1" s="5"/>
      <c r="Y1" s="5" t="s">
        <v>3</v>
      </c>
      <c r="Z1" s="10" t="s">
        <v>12</v>
      </c>
      <c r="AA1" s="168"/>
      <c r="AB1" s="14" t="s">
        <v>20</v>
      </c>
      <c r="AC1" s="14" t="s">
        <v>19</v>
      </c>
      <c r="AD1" s="6" t="s">
        <v>1</v>
      </c>
      <c r="AE1" s="179"/>
      <c r="AF1" s="179"/>
      <c r="AG1" s="179"/>
      <c r="AH1" s="179"/>
      <c r="AI1" s="179"/>
      <c r="AJ1" s="179"/>
      <c r="AK1" s="2" t="s">
        <v>4</v>
      </c>
      <c r="AL1" s="2" t="s">
        <v>5</v>
      </c>
      <c r="AM1" s="2" t="s">
        <v>6</v>
      </c>
      <c r="AN1" s="1"/>
      <c r="AO1" s="1"/>
      <c r="AP1" s="1"/>
      <c r="AQ1" s="1"/>
    </row>
    <row r="2" spans="1:43" s="3" customFormat="1" ht="45" customHeight="1" thickBot="1" x14ac:dyDescent="0.3">
      <c r="A2" s="146"/>
      <c r="B2" s="22"/>
      <c r="C2" s="23">
        <f>SUBTOTAL(3,C3:C44)</f>
        <v>38</v>
      </c>
      <c r="D2" s="24"/>
      <c r="E2" s="216"/>
      <c r="F2" s="274"/>
      <c r="G2" s="276"/>
      <c r="H2" s="280" t="s">
        <v>143</v>
      </c>
      <c r="I2" s="280" t="s">
        <v>150</v>
      </c>
      <c r="J2" s="192" t="s">
        <v>144</v>
      </c>
      <c r="K2" s="192" t="s">
        <v>151</v>
      </c>
      <c r="L2" s="280" t="s">
        <v>152</v>
      </c>
      <c r="M2" s="280" t="s">
        <v>145</v>
      </c>
      <c r="N2" s="280" t="s">
        <v>148</v>
      </c>
      <c r="O2" s="192" t="s">
        <v>149</v>
      </c>
      <c r="P2" s="198" t="s">
        <v>146</v>
      </c>
      <c r="Q2" s="207">
        <f>SUM(Q3:Q44)</f>
        <v>126418902.25</v>
      </c>
      <c r="R2" s="25">
        <f>SUM(R3:R44)</f>
        <v>126418902.25</v>
      </c>
      <c r="S2" s="26" t="s">
        <v>11</v>
      </c>
      <c r="T2" s="771"/>
      <c r="U2" s="13">
        <f>SUM(U3:U44)</f>
        <v>120810207.25</v>
      </c>
      <c r="V2" s="12">
        <f>SUM(V3:V44)</f>
        <v>120810207.25</v>
      </c>
      <c r="W2" s="7"/>
      <c r="X2" s="66">
        <f>SUM(X3:X44)</f>
        <v>121175802.25</v>
      </c>
      <c r="Y2" s="8">
        <f>SUM(Y3:Y44)</f>
        <v>121175802.25</v>
      </c>
      <c r="Z2" s="11"/>
      <c r="AA2" s="169"/>
      <c r="AB2" s="15">
        <f>X2-V2</f>
        <v>365595</v>
      </c>
      <c r="AC2" s="15">
        <f>Y2-R2</f>
        <v>-5243100</v>
      </c>
      <c r="AD2" s="9"/>
      <c r="AE2" s="179"/>
      <c r="AF2" s="179"/>
      <c r="AG2" s="179"/>
      <c r="AH2" s="189"/>
      <c r="AI2" s="189"/>
      <c r="AJ2" s="189"/>
      <c r="AK2" s="2"/>
      <c r="AL2" s="2"/>
      <c r="AM2" s="2"/>
      <c r="AN2" s="1"/>
      <c r="AO2" s="1"/>
      <c r="AP2" s="1"/>
      <c r="AQ2" s="1"/>
    </row>
    <row r="3" spans="1:43" s="36" customFormat="1" ht="15.75" thickTop="1" x14ac:dyDescent="0.25">
      <c r="A3" s="50">
        <v>1</v>
      </c>
      <c r="B3" s="38"/>
      <c r="C3" s="39" t="s">
        <v>21</v>
      </c>
      <c r="D3" s="40" t="s">
        <v>22</v>
      </c>
      <c r="E3" s="217" t="s">
        <v>23</v>
      </c>
      <c r="F3" s="275" t="s">
        <v>157</v>
      </c>
      <c r="G3" s="275" t="s">
        <v>148</v>
      </c>
      <c r="H3" s="281">
        <v>0.2</v>
      </c>
      <c r="I3" s="282"/>
      <c r="J3" s="282">
        <v>0.7</v>
      </c>
      <c r="K3" s="196"/>
      <c r="L3" s="224"/>
      <c r="M3" s="224"/>
      <c r="N3" s="224">
        <v>0.1</v>
      </c>
      <c r="O3" s="282"/>
      <c r="P3" s="199"/>
      <c r="Q3" s="208"/>
      <c r="R3" s="133">
        <v>7600000</v>
      </c>
      <c r="S3" s="137">
        <v>2096360</v>
      </c>
      <c r="T3" s="111" t="s">
        <v>97</v>
      </c>
      <c r="U3" s="41"/>
      <c r="V3" s="132">
        <f>1880000+5375000</f>
        <v>7255000</v>
      </c>
      <c r="W3" s="42">
        <f>V3/R3</f>
        <v>0.95460526315789473</v>
      </c>
      <c r="X3" s="43"/>
      <c r="Y3" s="43">
        <f>1880000+5375000</f>
        <v>7255000</v>
      </c>
      <c r="Z3" s="44">
        <f t="shared" ref="Z3:Z8" si="0">Y3/R3</f>
        <v>0.95460526315789473</v>
      </c>
      <c r="AA3" s="170"/>
      <c r="AB3" s="45">
        <f t="shared" ref="AB3:AB16" si="1">Y3-V3</f>
        <v>0</v>
      </c>
      <c r="AC3" s="45">
        <f>R3-Y3</f>
        <v>345000</v>
      </c>
      <c r="AD3" s="366"/>
      <c r="AE3" s="382" t="s">
        <v>205</v>
      </c>
      <c r="AF3" s="180"/>
      <c r="AG3" s="180"/>
      <c r="AH3" s="180"/>
      <c r="AI3" s="180"/>
      <c r="AJ3" s="180"/>
      <c r="AK3" s="34"/>
      <c r="AL3" s="34"/>
      <c r="AM3" s="34"/>
      <c r="AN3" s="35"/>
      <c r="AO3" s="35"/>
      <c r="AP3" s="35"/>
      <c r="AQ3" s="35"/>
    </row>
    <row r="4" spans="1:43" s="164" customFormat="1" x14ac:dyDescent="0.25">
      <c r="A4" s="235">
        <v>2</v>
      </c>
      <c r="B4" s="236"/>
      <c r="C4" s="237" t="s">
        <v>132</v>
      </c>
      <c r="D4" s="238" t="s">
        <v>131</v>
      </c>
      <c r="E4" s="239" t="s">
        <v>133</v>
      </c>
      <c r="F4" s="155" t="s">
        <v>155</v>
      </c>
      <c r="G4" s="265" t="s">
        <v>146</v>
      </c>
      <c r="H4" s="242"/>
      <c r="I4" s="243"/>
      <c r="J4" s="243"/>
      <c r="K4" s="243"/>
      <c r="L4" s="243"/>
      <c r="M4" s="243"/>
      <c r="N4" s="243"/>
      <c r="O4" s="243"/>
      <c r="P4" s="240"/>
      <c r="Q4" s="241"/>
      <c r="R4" s="244">
        <v>3591000</v>
      </c>
      <c r="S4" s="245">
        <v>42094</v>
      </c>
      <c r="T4" s="246" t="s">
        <v>97</v>
      </c>
      <c r="U4" s="247"/>
      <c r="V4" s="247">
        <v>3591000</v>
      </c>
      <c r="W4" s="376">
        <f>V4/R4</f>
        <v>1</v>
      </c>
      <c r="X4" s="247"/>
      <c r="Y4" s="247">
        <v>3591000</v>
      </c>
      <c r="Z4" s="248">
        <f t="shared" si="0"/>
        <v>1</v>
      </c>
      <c r="AA4" s="171"/>
      <c r="AB4" s="249">
        <v>0</v>
      </c>
      <c r="AC4" s="249">
        <f>R4-Y4</f>
        <v>0</v>
      </c>
      <c r="AD4" s="367" t="s">
        <v>146</v>
      </c>
      <c r="AE4" s="179"/>
      <c r="AF4" s="179"/>
      <c r="AG4" s="179"/>
      <c r="AH4" s="179"/>
      <c r="AI4" s="179"/>
      <c r="AJ4" s="179"/>
      <c r="AK4" s="162"/>
      <c r="AL4" s="162"/>
      <c r="AM4" s="162"/>
      <c r="AN4" s="163"/>
      <c r="AO4" s="163"/>
      <c r="AP4" s="163"/>
      <c r="AQ4" s="163"/>
    </row>
    <row r="5" spans="1:43" s="264" customFormat="1" x14ac:dyDescent="0.25">
      <c r="A5" s="167">
        <v>3</v>
      </c>
      <c r="B5" s="151" t="s">
        <v>14</v>
      </c>
      <c r="C5" s="152" t="s">
        <v>24</v>
      </c>
      <c r="D5" s="153" t="s">
        <v>25</v>
      </c>
      <c r="E5" s="259" t="s">
        <v>26</v>
      </c>
      <c r="F5" s="272" t="s">
        <v>157</v>
      </c>
      <c r="G5" s="283" t="s">
        <v>146</v>
      </c>
      <c r="H5" s="284">
        <v>0.2</v>
      </c>
      <c r="I5" s="285"/>
      <c r="J5" s="285"/>
      <c r="K5" s="285">
        <v>0.4</v>
      </c>
      <c r="L5" s="285">
        <v>0.3</v>
      </c>
      <c r="M5" s="285"/>
      <c r="N5" s="285">
        <v>0.1</v>
      </c>
      <c r="O5" s="285"/>
      <c r="P5" s="260"/>
      <c r="Q5" s="286"/>
      <c r="R5" s="155">
        <v>9450000</v>
      </c>
      <c r="S5" s="156">
        <v>42132</v>
      </c>
      <c r="T5" s="157" t="s">
        <v>97</v>
      </c>
      <c r="U5" s="161"/>
      <c r="V5" s="375">
        <v>9450000</v>
      </c>
      <c r="W5" s="160">
        <f>V5/R5</f>
        <v>1</v>
      </c>
      <c r="X5" s="161"/>
      <c r="Y5" s="159">
        <v>9450000</v>
      </c>
      <c r="Z5" s="287">
        <f t="shared" si="0"/>
        <v>1</v>
      </c>
      <c r="AA5" s="261"/>
      <c r="AB5" s="261">
        <f t="shared" si="1"/>
        <v>0</v>
      </c>
      <c r="AC5" s="261">
        <f t="shared" ref="AC5:AC16" si="2">R5-Y5</f>
        <v>0</v>
      </c>
      <c r="AD5" s="367" t="s">
        <v>146</v>
      </c>
      <c r="AE5" s="256"/>
      <c r="AF5" s="288"/>
      <c r="AG5" s="288"/>
      <c r="AH5" s="288"/>
      <c r="AI5" s="288"/>
      <c r="AJ5" s="288"/>
      <c r="AK5" s="262"/>
      <c r="AL5" s="262"/>
      <c r="AM5" s="262"/>
      <c r="AN5" s="263"/>
      <c r="AO5" s="263"/>
      <c r="AP5" s="263"/>
      <c r="AQ5" s="263"/>
    </row>
    <row r="6" spans="1:43" s="258" customFormat="1" x14ac:dyDescent="0.25">
      <c r="A6" s="50">
        <v>4</v>
      </c>
      <c r="B6" s="105" t="s">
        <v>14</v>
      </c>
      <c r="C6" s="51" t="s">
        <v>28</v>
      </c>
      <c r="D6" s="52" t="s">
        <v>29</v>
      </c>
      <c r="E6" s="250" t="s">
        <v>30</v>
      </c>
      <c r="F6" s="271" t="s">
        <v>156</v>
      </c>
      <c r="G6" s="266" t="s">
        <v>148</v>
      </c>
      <c r="H6" s="252">
        <v>0.3</v>
      </c>
      <c r="I6" s="253"/>
      <c r="J6" s="253"/>
      <c r="K6" s="253"/>
      <c r="L6" s="253">
        <v>0.5</v>
      </c>
      <c r="M6" s="253"/>
      <c r="N6" s="253">
        <v>0.2</v>
      </c>
      <c r="O6" s="253"/>
      <c r="P6" s="251"/>
      <c r="Q6" s="209"/>
      <c r="R6" s="53">
        <v>1918000</v>
      </c>
      <c r="S6" s="54">
        <v>42163</v>
      </c>
      <c r="T6" s="111" t="s">
        <v>97</v>
      </c>
      <c r="U6" s="55"/>
      <c r="V6" s="55">
        <f>575400+959000</f>
        <v>1534400</v>
      </c>
      <c r="W6" s="56">
        <f>V6/R6</f>
        <v>0.8</v>
      </c>
      <c r="X6" s="57"/>
      <c r="Y6" s="96">
        <f>575400+959000</f>
        <v>1534400</v>
      </c>
      <c r="Z6" s="254">
        <f t="shared" si="0"/>
        <v>0.8</v>
      </c>
      <c r="AA6" s="98"/>
      <c r="AB6" s="255">
        <f t="shared" si="1"/>
        <v>0</v>
      </c>
      <c r="AC6" s="255">
        <f>R6-Y6</f>
        <v>383600</v>
      </c>
      <c r="AD6" s="121"/>
      <c r="AE6" s="383" t="s">
        <v>205</v>
      </c>
      <c r="AF6" s="256"/>
      <c r="AG6" s="256"/>
      <c r="AH6" s="256"/>
      <c r="AI6" s="256"/>
      <c r="AJ6" s="256"/>
      <c r="AK6" s="110">
        <v>89000000</v>
      </c>
      <c r="AL6" s="110">
        <f>AK6*0.25</f>
        <v>22250000</v>
      </c>
      <c r="AM6" s="110">
        <f>AK6-AL6</f>
        <v>66750000</v>
      </c>
      <c r="AN6" s="257"/>
      <c r="AO6" s="257"/>
      <c r="AP6" s="257"/>
      <c r="AQ6" s="257"/>
    </row>
    <row r="7" spans="1:43" s="355" customFormat="1" x14ac:dyDescent="0.25">
      <c r="A7" s="167">
        <v>5</v>
      </c>
      <c r="B7" s="151" t="s">
        <v>15</v>
      </c>
      <c r="C7" s="152" t="s">
        <v>32</v>
      </c>
      <c r="D7" s="153" t="s">
        <v>34</v>
      </c>
      <c r="E7" s="259" t="s">
        <v>33</v>
      </c>
      <c r="F7" s="272" t="s">
        <v>155</v>
      </c>
      <c r="G7" s="266" t="s">
        <v>146</v>
      </c>
      <c r="H7" s="293"/>
      <c r="I7" s="294"/>
      <c r="J7" s="294"/>
      <c r="K7" s="294"/>
      <c r="L7" s="294"/>
      <c r="M7" s="294">
        <v>1</v>
      </c>
      <c r="N7" s="294"/>
      <c r="O7" s="294"/>
      <c r="P7" s="357"/>
      <c r="Q7" s="358"/>
      <c r="R7" s="155">
        <v>298000</v>
      </c>
      <c r="S7" s="156">
        <v>42286</v>
      </c>
      <c r="T7" s="157" t="s">
        <v>97</v>
      </c>
      <c r="U7" s="154"/>
      <c r="V7" s="161">
        <v>298000</v>
      </c>
      <c r="W7" s="349">
        <f>V7/R7</f>
        <v>1</v>
      </c>
      <c r="X7" s="161"/>
      <c r="Y7" s="161">
        <v>298000</v>
      </c>
      <c r="Z7" s="160">
        <f t="shared" si="0"/>
        <v>1</v>
      </c>
      <c r="AA7" s="161"/>
      <c r="AB7" s="261">
        <f t="shared" si="1"/>
        <v>0</v>
      </c>
      <c r="AC7" s="261">
        <f t="shared" si="2"/>
        <v>0</v>
      </c>
      <c r="AD7" s="367" t="s">
        <v>146</v>
      </c>
      <c r="AE7" s="256"/>
      <c r="AF7" s="359"/>
      <c r="AG7" s="359"/>
      <c r="AH7" s="359"/>
      <c r="AI7" s="359"/>
      <c r="AJ7" s="359"/>
      <c r="AK7" s="350">
        <v>89000000</v>
      </c>
      <c r="AL7" s="350">
        <f>AK7*0.25</f>
        <v>22250000</v>
      </c>
      <c r="AM7" s="350">
        <f>AK7-AL7</f>
        <v>66750000</v>
      </c>
      <c r="AN7" s="354"/>
      <c r="AO7" s="354"/>
      <c r="AP7" s="354"/>
      <c r="AQ7" s="354"/>
    </row>
    <row r="8" spans="1:43" s="264" customFormat="1" x14ac:dyDescent="0.25">
      <c r="A8" s="167">
        <v>6</v>
      </c>
      <c r="B8" s="151"/>
      <c r="C8" s="152" t="s">
        <v>86</v>
      </c>
      <c r="D8" s="153" t="s">
        <v>134</v>
      </c>
      <c r="E8" s="259" t="s">
        <v>133</v>
      </c>
      <c r="F8" s="272" t="s">
        <v>155</v>
      </c>
      <c r="G8" s="265" t="s">
        <v>146</v>
      </c>
      <c r="H8" s="252"/>
      <c r="I8" s="253"/>
      <c r="J8" s="253"/>
      <c r="K8" s="253"/>
      <c r="L8" s="253"/>
      <c r="M8" s="253"/>
      <c r="N8" s="253"/>
      <c r="O8" s="253"/>
      <c r="P8" s="260"/>
      <c r="Q8" s="213"/>
      <c r="R8" s="155">
        <v>3165000</v>
      </c>
      <c r="S8" s="156">
        <v>42331</v>
      </c>
      <c r="T8" s="157" t="s">
        <v>97</v>
      </c>
      <c r="U8" s="154"/>
      <c r="V8" s="161">
        <v>3165000</v>
      </c>
      <c r="W8" s="160">
        <f t="shared" ref="W8:W15" si="3">V8/R8</f>
        <v>1</v>
      </c>
      <c r="X8" s="161"/>
      <c r="Y8" s="161">
        <v>3165000</v>
      </c>
      <c r="Z8" s="160">
        <f t="shared" si="0"/>
        <v>1</v>
      </c>
      <c r="AA8" s="161"/>
      <c r="AB8" s="261">
        <f>Y8-V8</f>
        <v>0</v>
      </c>
      <c r="AC8" s="261">
        <f>R8-Y8</f>
        <v>0</v>
      </c>
      <c r="AD8" s="367" t="s">
        <v>146</v>
      </c>
      <c r="AE8" s="256"/>
      <c r="AF8" s="256"/>
      <c r="AG8" s="256"/>
      <c r="AH8" s="256"/>
      <c r="AI8" s="256"/>
      <c r="AJ8" s="256"/>
      <c r="AK8" s="262"/>
      <c r="AL8" s="262"/>
      <c r="AM8" s="262"/>
      <c r="AN8" s="263"/>
      <c r="AO8" s="263"/>
      <c r="AP8" s="263"/>
      <c r="AQ8" s="263"/>
    </row>
    <row r="9" spans="1:43" s="264" customFormat="1" x14ac:dyDescent="0.25">
      <c r="A9" s="167">
        <v>7</v>
      </c>
      <c r="B9" s="151" t="s">
        <v>16</v>
      </c>
      <c r="C9" s="152" t="s">
        <v>35</v>
      </c>
      <c r="D9" s="153" t="s">
        <v>37</v>
      </c>
      <c r="E9" s="259" t="s">
        <v>36</v>
      </c>
      <c r="F9" s="272"/>
      <c r="G9" s="265" t="s">
        <v>146</v>
      </c>
      <c r="H9" s="252"/>
      <c r="I9" s="253"/>
      <c r="J9" s="253"/>
      <c r="K9" s="253"/>
      <c r="L9" s="253"/>
      <c r="M9" s="253"/>
      <c r="N9" s="253"/>
      <c r="O9" s="253"/>
      <c r="P9" s="260"/>
      <c r="Q9" s="213"/>
      <c r="R9" s="155">
        <v>2322640</v>
      </c>
      <c r="S9" s="156">
        <v>42334</v>
      </c>
      <c r="T9" s="157" t="s">
        <v>97</v>
      </c>
      <c r="U9" s="154"/>
      <c r="V9" s="161">
        <v>2322640</v>
      </c>
      <c r="W9" s="160">
        <f t="shared" si="3"/>
        <v>1</v>
      </c>
      <c r="X9" s="161"/>
      <c r="Y9" s="161">
        <v>2322640</v>
      </c>
      <c r="Z9" s="160">
        <f t="shared" ref="Z9:Z15" si="4">Y9/R9</f>
        <v>1</v>
      </c>
      <c r="AA9" s="161"/>
      <c r="AB9" s="261">
        <f t="shared" si="1"/>
        <v>0</v>
      </c>
      <c r="AC9" s="261">
        <f t="shared" si="2"/>
        <v>0</v>
      </c>
      <c r="AD9" s="367" t="s">
        <v>146</v>
      </c>
      <c r="AE9" s="256"/>
      <c r="AF9" s="256"/>
      <c r="AG9" s="256"/>
      <c r="AH9" s="256"/>
      <c r="AI9" s="256"/>
      <c r="AJ9" s="256"/>
      <c r="AK9" s="262"/>
      <c r="AL9" s="262"/>
      <c r="AM9" s="262"/>
      <c r="AN9" s="263"/>
      <c r="AO9" s="263"/>
      <c r="AP9" s="263"/>
      <c r="AQ9" s="263"/>
    </row>
    <row r="10" spans="1:43" s="264" customFormat="1" ht="15.75" customHeight="1" x14ac:dyDescent="0.25">
      <c r="A10" s="167">
        <v>8</v>
      </c>
      <c r="B10" s="151"/>
      <c r="C10" s="324" t="s">
        <v>87</v>
      </c>
      <c r="D10" s="325" t="s">
        <v>98</v>
      </c>
      <c r="E10" s="326" t="s">
        <v>88</v>
      </c>
      <c r="F10" s="327" t="s">
        <v>157</v>
      </c>
      <c r="G10" s="328" t="s">
        <v>146</v>
      </c>
      <c r="H10" s="284">
        <v>0.3</v>
      </c>
      <c r="I10" s="285">
        <v>0.2</v>
      </c>
      <c r="J10" s="285">
        <v>0.3</v>
      </c>
      <c r="K10" s="285"/>
      <c r="L10" s="285"/>
      <c r="M10" s="285"/>
      <c r="N10" s="285">
        <v>0.1</v>
      </c>
      <c r="O10" s="285">
        <v>0.1</v>
      </c>
      <c r="P10" s="329"/>
      <c r="Q10" s="213"/>
      <c r="R10" s="327">
        <v>10545000</v>
      </c>
      <c r="S10" s="330">
        <v>42312</v>
      </c>
      <c r="T10" s="157" t="s">
        <v>97</v>
      </c>
      <c r="U10" s="154"/>
      <c r="V10" s="161">
        <v>10545000</v>
      </c>
      <c r="W10" s="160">
        <f t="shared" si="3"/>
        <v>1</v>
      </c>
      <c r="X10" s="161"/>
      <c r="Y10" s="161">
        <v>10545000</v>
      </c>
      <c r="Z10" s="160">
        <f t="shared" si="4"/>
        <v>1</v>
      </c>
      <c r="AA10" s="161"/>
      <c r="AB10" s="261">
        <f t="shared" si="1"/>
        <v>0</v>
      </c>
      <c r="AC10" s="261">
        <f t="shared" si="2"/>
        <v>0</v>
      </c>
      <c r="AD10" s="367" t="s">
        <v>146</v>
      </c>
      <c r="AE10" s="256"/>
      <c r="AF10" s="288"/>
      <c r="AG10" s="288"/>
      <c r="AH10" s="288"/>
      <c r="AI10" s="288"/>
      <c r="AJ10" s="288"/>
      <c r="AK10" s="262"/>
      <c r="AL10" s="262"/>
      <c r="AM10" s="262"/>
      <c r="AN10" s="263"/>
      <c r="AO10" s="263"/>
      <c r="AP10" s="263"/>
      <c r="AQ10" s="263"/>
    </row>
    <row r="11" spans="1:43" s="355" customFormat="1" ht="15.75" customHeight="1" x14ac:dyDescent="0.25">
      <c r="A11" s="167">
        <v>9</v>
      </c>
      <c r="B11" s="167" t="s">
        <v>15</v>
      </c>
      <c r="C11" s="152" t="s">
        <v>57</v>
      </c>
      <c r="D11" s="322" t="s">
        <v>39</v>
      </c>
      <c r="E11" s="182" t="s">
        <v>40</v>
      </c>
      <c r="F11" s="155" t="s">
        <v>157</v>
      </c>
      <c r="G11" s="265" t="s">
        <v>146</v>
      </c>
      <c r="H11" s="293">
        <v>0.2</v>
      </c>
      <c r="I11" s="294"/>
      <c r="J11" s="294">
        <v>0.7</v>
      </c>
      <c r="K11" s="294"/>
      <c r="L11" s="344"/>
      <c r="M11" s="345"/>
      <c r="N11" s="294">
        <v>0.1</v>
      </c>
      <c r="O11" s="294"/>
      <c r="P11" s="346"/>
      <c r="Q11" s="347"/>
      <c r="R11" s="155">
        <v>4214280</v>
      </c>
      <c r="S11" s="156">
        <v>240787</v>
      </c>
      <c r="T11" s="157" t="s">
        <v>97</v>
      </c>
      <c r="U11" s="161"/>
      <c r="V11" s="161">
        <v>4214280</v>
      </c>
      <c r="W11" s="349">
        <f>V11/R11</f>
        <v>1</v>
      </c>
      <c r="X11" s="161"/>
      <c r="Y11" s="161">
        <v>4214280</v>
      </c>
      <c r="Z11" s="287">
        <f>Y11/R11</f>
        <v>1</v>
      </c>
      <c r="AA11" s="161"/>
      <c r="AB11" s="262">
        <f t="shared" si="1"/>
        <v>0</v>
      </c>
      <c r="AC11" s="261">
        <f t="shared" si="2"/>
        <v>0</v>
      </c>
      <c r="AD11" s="381" t="s">
        <v>95</v>
      </c>
      <c r="AE11" s="378"/>
      <c r="AF11" s="351"/>
      <c r="AG11" s="351"/>
      <c r="AH11" s="352"/>
      <c r="AI11" s="351"/>
      <c r="AJ11" s="352"/>
      <c r="AK11" s="353"/>
      <c r="AL11" s="350"/>
      <c r="AM11" s="350"/>
      <c r="AN11" s="354"/>
      <c r="AO11" s="354"/>
      <c r="AP11" s="354"/>
      <c r="AQ11" s="354"/>
    </row>
    <row r="12" spans="1:43" s="264" customFormat="1" ht="17.25" customHeight="1" x14ac:dyDescent="0.25">
      <c r="A12" s="167">
        <v>10</v>
      </c>
      <c r="B12" s="167" t="s">
        <v>15</v>
      </c>
      <c r="C12" s="152" t="s">
        <v>103</v>
      </c>
      <c r="D12" s="322" t="s">
        <v>117</v>
      </c>
      <c r="E12" s="182" t="s">
        <v>27</v>
      </c>
      <c r="F12" s="155" t="s">
        <v>155</v>
      </c>
      <c r="G12" s="302" t="s">
        <v>146</v>
      </c>
      <c r="H12" s="284"/>
      <c r="I12" s="285"/>
      <c r="J12" s="285"/>
      <c r="K12" s="285"/>
      <c r="L12" s="285"/>
      <c r="M12" s="285"/>
      <c r="N12" s="285">
        <v>1</v>
      </c>
      <c r="O12" s="285"/>
      <c r="P12" s="201"/>
      <c r="Q12" s="286"/>
      <c r="R12" s="155">
        <v>265044</v>
      </c>
      <c r="S12" s="156">
        <v>42489</v>
      </c>
      <c r="T12" s="157" t="s">
        <v>97</v>
      </c>
      <c r="U12" s="161"/>
      <c r="V12" s="161">
        <v>265044</v>
      </c>
      <c r="W12" s="160">
        <f>V12/R12</f>
        <v>1</v>
      </c>
      <c r="X12" s="161"/>
      <c r="Y12" s="161">
        <v>265044</v>
      </c>
      <c r="Z12" s="287">
        <f>Y12/R12</f>
        <v>1</v>
      </c>
      <c r="AA12" s="161"/>
      <c r="AB12" s="262">
        <f t="shared" si="1"/>
        <v>0</v>
      </c>
      <c r="AC12" s="261">
        <f t="shared" si="2"/>
        <v>0</v>
      </c>
      <c r="AD12" s="367" t="s">
        <v>146</v>
      </c>
      <c r="AE12" s="379"/>
      <c r="AF12" s="323"/>
      <c r="AG12" s="323"/>
      <c r="AH12" s="323"/>
      <c r="AI12" s="323"/>
      <c r="AJ12" s="323"/>
      <c r="AK12" s="262"/>
      <c r="AL12" s="262"/>
      <c r="AM12" s="262"/>
      <c r="AN12" s="263"/>
      <c r="AO12" s="263"/>
      <c r="AP12" s="263"/>
      <c r="AQ12" s="263"/>
    </row>
    <row r="13" spans="1:43" s="340" customFormat="1" x14ac:dyDescent="0.25">
      <c r="A13" s="167">
        <v>11</v>
      </c>
      <c r="B13" s="331" t="s">
        <v>15</v>
      </c>
      <c r="C13" s="152" t="s">
        <v>58</v>
      </c>
      <c r="D13" s="322" t="s">
        <v>41</v>
      </c>
      <c r="E13" s="182" t="s">
        <v>44</v>
      </c>
      <c r="F13" s="155" t="s">
        <v>156</v>
      </c>
      <c r="G13" s="302" t="s">
        <v>146</v>
      </c>
      <c r="H13" s="284">
        <v>0.2</v>
      </c>
      <c r="I13" s="285"/>
      <c r="J13" s="285">
        <v>0.7</v>
      </c>
      <c r="K13" s="285"/>
      <c r="L13" s="285"/>
      <c r="M13" s="285"/>
      <c r="N13" s="285">
        <v>0.1</v>
      </c>
      <c r="O13" s="285"/>
      <c r="P13" s="201"/>
      <c r="Q13" s="332"/>
      <c r="R13" s="155">
        <v>5260673.25</v>
      </c>
      <c r="S13" s="156">
        <v>21703</v>
      </c>
      <c r="T13" s="157" t="s">
        <v>97</v>
      </c>
      <c r="U13" s="155"/>
      <c r="V13" s="159">
        <v>5260673.25</v>
      </c>
      <c r="W13" s="333">
        <f t="shared" si="3"/>
        <v>1</v>
      </c>
      <c r="X13" s="159"/>
      <c r="Y13" s="159">
        <f>905884.65+146250+3170596.28+511875+526067.32</f>
        <v>5260673.25</v>
      </c>
      <c r="Z13" s="334">
        <f t="shared" si="4"/>
        <v>1</v>
      </c>
      <c r="AA13" s="159"/>
      <c r="AB13" s="335">
        <f t="shared" si="1"/>
        <v>0</v>
      </c>
      <c r="AC13" s="336">
        <f t="shared" si="2"/>
        <v>0</v>
      </c>
      <c r="AD13" s="367" t="s">
        <v>146</v>
      </c>
      <c r="AE13" s="380"/>
      <c r="AF13" s="337"/>
      <c r="AG13" s="337"/>
      <c r="AH13" s="337"/>
      <c r="AI13" s="337"/>
      <c r="AJ13" s="338"/>
      <c r="AK13" s="201"/>
      <c r="AL13" s="201"/>
      <c r="AM13" s="201"/>
      <c r="AN13" s="339"/>
      <c r="AO13" s="339"/>
      <c r="AP13" s="339"/>
      <c r="AQ13" s="339"/>
    </row>
    <row r="14" spans="1:43" s="355" customFormat="1" ht="15.75" customHeight="1" x14ac:dyDescent="0.25">
      <c r="A14" s="167">
        <v>12</v>
      </c>
      <c r="B14" s="167" t="s">
        <v>15</v>
      </c>
      <c r="C14" s="152" t="s">
        <v>77</v>
      </c>
      <c r="D14" s="322" t="s">
        <v>82</v>
      </c>
      <c r="E14" s="182" t="s">
        <v>27</v>
      </c>
      <c r="F14" s="155" t="s">
        <v>155</v>
      </c>
      <c r="G14" s="343" t="s">
        <v>146</v>
      </c>
      <c r="H14" s="293"/>
      <c r="I14" s="294"/>
      <c r="J14" s="294"/>
      <c r="K14" s="294"/>
      <c r="L14" s="294">
        <v>1</v>
      </c>
      <c r="M14" s="294"/>
      <c r="N14" s="294"/>
      <c r="O14" s="294"/>
      <c r="P14" s="346"/>
      <c r="Q14" s="347"/>
      <c r="R14" s="155">
        <v>140625</v>
      </c>
      <c r="S14" s="156">
        <v>42530</v>
      </c>
      <c r="T14" s="157" t="s">
        <v>97</v>
      </c>
      <c r="U14" s="161"/>
      <c r="V14" s="161">
        <f>96000+44625</f>
        <v>140625</v>
      </c>
      <c r="W14" s="349">
        <f>V14/R14</f>
        <v>1</v>
      </c>
      <c r="X14" s="161"/>
      <c r="Y14" s="161">
        <f>96000+44625</f>
        <v>140625</v>
      </c>
      <c r="Z14" s="287">
        <f>Y14/R14</f>
        <v>1</v>
      </c>
      <c r="AA14" s="161"/>
      <c r="AB14" s="262">
        <f t="shared" si="1"/>
        <v>0</v>
      </c>
      <c r="AC14" s="261">
        <f t="shared" si="2"/>
        <v>0</v>
      </c>
      <c r="AD14" s="367" t="s">
        <v>146</v>
      </c>
      <c r="AE14" s="379"/>
      <c r="AF14" s="352"/>
      <c r="AG14" s="352"/>
      <c r="AH14" s="352"/>
      <c r="AI14" s="352"/>
      <c r="AJ14" s="352"/>
      <c r="AK14" s="350"/>
      <c r="AL14" s="350"/>
      <c r="AM14" s="350"/>
      <c r="AN14" s="354"/>
      <c r="AO14" s="354"/>
      <c r="AP14" s="354"/>
      <c r="AQ14" s="354"/>
    </row>
    <row r="15" spans="1:43" s="264" customFormat="1" ht="15.75" customHeight="1" x14ac:dyDescent="0.25">
      <c r="A15" s="167">
        <v>13</v>
      </c>
      <c r="B15" s="167" t="s">
        <v>15</v>
      </c>
      <c r="C15" s="152" t="s">
        <v>78</v>
      </c>
      <c r="D15" s="322" t="s">
        <v>81</v>
      </c>
      <c r="E15" s="182" t="s">
        <v>27</v>
      </c>
      <c r="F15" s="155" t="s">
        <v>155</v>
      </c>
      <c r="G15" s="302" t="s">
        <v>146</v>
      </c>
      <c r="H15" s="284"/>
      <c r="I15" s="285"/>
      <c r="J15" s="285"/>
      <c r="K15" s="285"/>
      <c r="L15" s="285"/>
      <c r="M15" s="285"/>
      <c r="N15" s="285">
        <v>1</v>
      </c>
      <c r="O15" s="285"/>
      <c r="P15" s="201"/>
      <c r="Q15" s="286"/>
      <c r="R15" s="155">
        <v>594625</v>
      </c>
      <c r="S15" s="156">
        <v>42530</v>
      </c>
      <c r="T15" s="157" t="s">
        <v>97</v>
      </c>
      <c r="U15" s="161"/>
      <c r="V15" s="161">
        <v>594625</v>
      </c>
      <c r="W15" s="160">
        <f t="shared" si="3"/>
        <v>1</v>
      </c>
      <c r="X15" s="161"/>
      <c r="Y15" s="161">
        <v>594625</v>
      </c>
      <c r="Z15" s="287">
        <f t="shared" si="4"/>
        <v>1</v>
      </c>
      <c r="AA15" s="161"/>
      <c r="AB15" s="262">
        <f t="shared" si="1"/>
        <v>0</v>
      </c>
      <c r="AC15" s="261">
        <f t="shared" si="2"/>
        <v>0</v>
      </c>
      <c r="AD15" s="367" t="s">
        <v>146</v>
      </c>
      <c r="AE15" s="379"/>
      <c r="AF15" s="323"/>
      <c r="AG15" s="323"/>
      <c r="AH15" s="323"/>
      <c r="AI15" s="323"/>
      <c r="AJ15" s="323"/>
      <c r="AK15" s="262"/>
      <c r="AL15" s="262"/>
      <c r="AM15" s="262"/>
      <c r="AN15" s="263"/>
      <c r="AO15" s="263"/>
      <c r="AP15" s="263"/>
      <c r="AQ15" s="263"/>
    </row>
    <row r="16" spans="1:43" s="355" customFormat="1" ht="18" customHeight="1" x14ac:dyDescent="0.25">
      <c r="A16" s="167">
        <v>14</v>
      </c>
      <c r="B16" s="167" t="s">
        <v>15</v>
      </c>
      <c r="C16" s="152" t="s">
        <v>79</v>
      </c>
      <c r="D16" s="322" t="s">
        <v>80</v>
      </c>
      <c r="E16" s="182" t="s">
        <v>27</v>
      </c>
      <c r="F16" s="155" t="s">
        <v>155</v>
      </c>
      <c r="G16" s="343" t="s">
        <v>146</v>
      </c>
      <c r="H16" s="293"/>
      <c r="I16" s="294"/>
      <c r="J16" s="294"/>
      <c r="K16" s="294"/>
      <c r="L16" s="294"/>
      <c r="M16" s="294"/>
      <c r="N16" s="294">
        <v>1</v>
      </c>
      <c r="O16" s="294"/>
      <c r="P16" s="346"/>
      <c r="Q16" s="347"/>
      <c r="R16" s="155">
        <v>140625</v>
      </c>
      <c r="S16" s="156">
        <v>42530</v>
      </c>
      <c r="T16" s="157" t="s">
        <v>97</v>
      </c>
      <c r="U16" s="161"/>
      <c r="V16" s="161">
        <f>96000+44625</f>
        <v>140625</v>
      </c>
      <c r="W16" s="360">
        <f>V16/R16</f>
        <v>1</v>
      </c>
      <c r="X16" s="161"/>
      <c r="Y16" s="161">
        <f>96000+44625</f>
        <v>140625</v>
      </c>
      <c r="Z16" s="287">
        <f>Y16/R16</f>
        <v>1</v>
      </c>
      <c r="AA16" s="161"/>
      <c r="AB16" s="262">
        <f t="shared" si="1"/>
        <v>0</v>
      </c>
      <c r="AC16" s="261">
        <f t="shared" si="2"/>
        <v>0</v>
      </c>
      <c r="AD16" s="367" t="s">
        <v>146</v>
      </c>
      <c r="AE16" s="379"/>
      <c r="AF16" s="352"/>
      <c r="AG16" s="352"/>
      <c r="AH16" s="352"/>
      <c r="AI16" s="352"/>
      <c r="AJ16" s="352"/>
      <c r="AK16" s="350"/>
      <c r="AL16" s="350"/>
      <c r="AM16" s="350"/>
      <c r="AN16" s="354"/>
      <c r="AO16" s="354"/>
      <c r="AP16" s="354"/>
      <c r="AQ16" s="354"/>
    </row>
    <row r="17" spans="1:44" s="36" customFormat="1" ht="15.75" thickBot="1" x14ac:dyDescent="0.3">
      <c r="A17" s="115"/>
      <c r="B17" s="116"/>
      <c r="C17" s="116"/>
      <c r="D17" s="119"/>
      <c r="E17" s="218"/>
      <c r="F17" s="80"/>
      <c r="G17" s="374"/>
      <c r="H17" s="223"/>
      <c r="I17" s="224"/>
      <c r="J17" s="224"/>
      <c r="K17" s="224"/>
      <c r="L17" s="224"/>
      <c r="M17" s="224"/>
      <c r="N17" s="224"/>
      <c r="O17" s="224"/>
      <c r="P17" s="143"/>
      <c r="Q17" s="210">
        <f>SUM(R3:R16)</f>
        <v>49505512.25</v>
      </c>
      <c r="R17" s="117"/>
      <c r="S17" s="118"/>
      <c r="T17" s="118"/>
      <c r="U17" s="225">
        <f>SUM(V3:V17)</f>
        <v>48776912.25</v>
      </c>
      <c r="V17" s="226"/>
      <c r="W17" s="227"/>
      <c r="X17" s="228">
        <f>SUM(Y3:Y17)</f>
        <v>48776912.25</v>
      </c>
      <c r="Y17" s="229"/>
      <c r="Z17" s="230"/>
      <c r="AA17" s="172">
        <f>SUM(AC3:AC16)</f>
        <v>728600</v>
      </c>
      <c r="AB17" s="231"/>
      <c r="AC17" s="232"/>
      <c r="AD17" s="233"/>
      <c r="AE17" s="234"/>
      <c r="AF17" s="234"/>
      <c r="AG17" s="234"/>
      <c r="AH17" s="234"/>
      <c r="AI17" s="234"/>
      <c r="AJ17" s="234"/>
      <c r="AK17" s="34"/>
      <c r="AL17" s="34"/>
      <c r="AM17" s="34"/>
      <c r="AN17" s="35"/>
      <c r="AO17" s="35"/>
      <c r="AP17" s="35"/>
      <c r="AQ17" s="35"/>
    </row>
    <row r="18" spans="1:44" s="93" customFormat="1" x14ac:dyDescent="0.25">
      <c r="A18" s="75">
        <v>15</v>
      </c>
      <c r="B18" s="105" t="s">
        <v>16</v>
      </c>
      <c r="C18" s="108" t="s">
        <v>60</v>
      </c>
      <c r="D18" s="109" t="s">
        <v>42</v>
      </c>
      <c r="E18" s="183" t="s">
        <v>45</v>
      </c>
      <c r="F18" s="76" t="s">
        <v>156</v>
      </c>
      <c r="G18" s="267" t="s">
        <v>148</v>
      </c>
      <c r="H18" s="219">
        <v>0.1</v>
      </c>
      <c r="I18" s="196"/>
      <c r="J18" s="196"/>
      <c r="K18" s="196"/>
      <c r="L18" s="196">
        <v>0.1</v>
      </c>
      <c r="M18" s="196">
        <v>0.7</v>
      </c>
      <c r="N18" s="196">
        <v>0.1</v>
      </c>
      <c r="O18" s="196"/>
      <c r="P18" s="144"/>
      <c r="Q18" s="211"/>
      <c r="R18" s="49">
        <v>4455000</v>
      </c>
      <c r="S18" s="90">
        <v>42565</v>
      </c>
      <c r="T18" s="111" t="s">
        <v>97</v>
      </c>
      <c r="U18" s="94"/>
      <c r="V18" s="107">
        <f>3564000+445500</f>
        <v>4009500</v>
      </c>
      <c r="W18" s="95">
        <f>V18/R18</f>
        <v>0.9</v>
      </c>
      <c r="X18" s="96"/>
      <c r="Y18" s="96">
        <f>3564000+445500</f>
        <v>4009500</v>
      </c>
      <c r="Z18" s="97">
        <f>Y18/R18</f>
        <v>0.9</v>
      </c>
      <c r="AA18" s="98"/>
      <c r="AB18" s="106">
        <f>Y18-V18</f>
        <v>0</v>
      </c>
      <c r="AC18" s="106">
        <f>R18-Y18</f>
        <v>445500</v>
      </c>
      <c r="AD18" s="183" t="s">
        <v>93</v>
      </c>
      <c r="AE18" s="384" t="s">
        <v>206</v>
      </c>
      <c r="AF18" s="187"/>
      <c r="AG18" s="187"/>
      <c r="AH18" s="187"/>
      <c r="AI18" s="187"/>
      <c r="AJ18" s="187"/>
      <c r="AK18" s="91"/>
      <c r="AL18" s="91"/>
      <c r="AM18" s="91"/>
      <c r="AN18" s="92"/>
      <c r="AO18" s="92"/>
      <c r="AP18" s="92"/>
      <c r="AQ18" s="92"/>
    </row>
    <row r="19" spans="1:44" s="310" customFormat="1" x14ac:dyDescent="0.25">
      <c r="A19" s="167">
        <v>16</v>
      </c>
      <c r="B19" s="151" t="s">
        <v>16</v>
      </c>
      <c r="C19" s="152" t="s">
        <v>61</v>
      </c>
      <c r="D19" s="413" t="s">
        <v>43</v>
      </c>
      <c r="E19" s="182" t="s">
        <v>46</v>
      </c>
      <c r="F19" s="155" t="s">
        <v>156</v>
      </c>
      <c r="G19" s="302" t="s">
        <v>146</v>
      </c>
      <c r="H19" s="303">
        <v>0.2</v>
      </c>
      <c r="I19" s="304"/>
      <c r="J19" s="304"/>
      <c r="K19" s="304"/>
      <c r="L19" s="304"/>
      <c r="M19" s="304">
        <v>0.7</v>
      </c>
      <c r="N19" s="304">
        <v>0.1</v>
      </c>
      <c r="O19" s="304"/>
      <c r="P19" s="201"/>
      <c r="Q19" s="213"/>
      <c r="R19" s="155">
        <v>780000</v>
      </c>
      <c r="S19" s="156">
        <v>42571</v>
      </c>
      <c r="T19" s="157" t="s">
        <v>97</v>
      </c>
      <c r="U19" s="161"/>
      <c r="V19" s="161">
        <v>780000</v>
      </c>
      <c r="W19" s="160">
        <f t="shared" ref="W19:W32" si="5">V19/R19</f>
        <v>1</v>
      </c>
      <c r="X19" s="161"/>
      <c r="Y19" s="161">
        <v>780000</v>
      </c>
      <c r="Z19" s="160">
        <f>Y19/R19</f>
        <v>1</v>
      </c>
      <c r="AA19" s="161"/>
      <c r="AB19" s="161">
        <f t="shared" ref="AB19:AB32" si="6">Y19-V19</f>
        <v>0</v>
      </c>
      <c r="AC19" s="177">
        <f>R19-Y19</f>
        <v>0</v>
      </c>
      <c r="AD19" s="367" t="s">
        <v>146</v>
      </c>
      <c r="AE19" s="187"/>
      <c r="AF19" s="306"/>
      <c r="AG19" s="306"/>
      <c r="AH19" s="306"/>
      <c r="AI19" s="306"/>
      <c r="AJ19" s="306"/>
      <c r="AK19" s="307"/>
      <c r="AL19" s="307"/>
      <c r="AM19" s="307"/>
      <c r="AN19" s="308"/>
      <c r="AO19" s="308"/>
      <c r="AP19" s="308"/>
      <c r="AQ19" s="308"/>
      <c r="AR19" s="309"/>
    </row>
    <row r="20" spans="1:44" s="310" customFormat="1" x14ac:dyDescent="0.25">
      <c r="A20" s="150">
        <v>17</v>
      </c>
      <c r="B20" s="151" t="s">
        <v>16</v>
      </c>
      <c r="C20" s="152" t="s">
        <v>62</v>
      </c>
      <c r="D20" s="153" t="s">
        <v>47</v>
      </c>
      <c r="E20" s="182" t="s">
        <v>50</v>
      </c>
      <c r="F20" s="155" t="s">
        <v>157</v>
      </c>
      <c r="G20" s="302" t="s">
        <v>146</v>
      </c>
      <c r="H20" s="303">
        <v>0.2</v>
      </c>
      <c r="I20" s="304"/>
      <c r="J20" s="304"/>
      <c r="K20" s="304"/>
      <c r="L20" s="304"/>
      <c r="M20" s="304"/>
      <c r="N20" s="304"/>
      <c r="O20" s="304">
        <v>0.8</v>
      </c>
      <c r="P20" s="201"/>
      <c r="Q20" s="213"/>
      <c r="R20" s="155">
        <v>7360000</v>
      </c>
      <c r="S20" s="156">
        <v>42590</v>
      </c>
      <c r="T20" s="157" t="s">
        <v>97</v>
      </c>
      <c r="U20" s="161"/>
      <c r="V20" s="161">
        <v>7360000</v>
      </c>
      <c r="W20" s="160">
        <f t="shared" si="5"/>
        <v>1</v>
      </c>
      <c r="X20" s="161"/>
      <c r="Y20" s="161">
        <v>7360000</v>
      </c>
      <c r="Z20" s="160">
        <f t="shared" ref="Z20:Z32" si="7">Y20/R20</f>
        <v>1</v>
      </c>
      <c r="AA20" s="161"/>
      <c r="AB20" s="161">
        <f t="shared" si="6"/>
        <v>0</v>
      </c>
      <c r="AC20" s="161">
        <f>R20-Y20</f>
        <v>0</v>
      </c>
      <c r="AD20" s="367" t="s">
        <v>146</v>
      </c>
      <c r="AE20" s="187"/>
      <c r="AF20" s="306"/>
      <c r="AG20" s="306"/>
      <c r="AH20" s="306"/>
      <c r="AI20" s="306"/>
      <c r="AJ20" s="306"/>
      <c r="AK20" s="307"/>
      <c r="AL20" s="307"/>
      <c r="AM20" s="307"/>
      <c r="AN20" s="308"/>
      <c r="AO20" s="308"/>
      <c r="AP20" s="308"/>
      <c r="AQ20" s="308"/>
      <c r="AR20" s="309"/>
    </row>
    <row r="21" spans="1:44" s="310" customFormat="1" x14ac:dyDescent="0.25">
      <c r="A21" s="167">
        <v>18</v>
      </c>
      <c r="B21" s="151" t="s">
        <v>16</v>
      </c>
      <c r="C21" s="152" t="s">
        <v>55</v>
      </c>
      <c r="D21" s="153" t="s">
        <v>56</v>
      </c>
      <c r="E21" s="182" t="s">
        <v>67</v>
      </c>
      <c r="F21" s="155" t="s">
        <v>156</v>
      </c>
      <c r="G21" s="302" t="s">
        <v>146</v>
      </c>
      <c r="H21" s="303"/>
      <c r="I21" s="304"/>
      <c r="J21" s="304"/>
      <c r="K21" s="304"/>
      <c r="L21" s="304"/>
      <c r="M21" s="304"/>
      <c r="N21" s="304"/>
      <c r="O21" s="304">
        <v>1</v>
      </c>
      <c r="P21" s="201"/>
      <c r="Q21" s="213"/>
      <c r="R21" s="155">
        <v>495000</v>
      </c>
      <c r="S21" s="156">
        <v>42593</v>
      </c>
      <c r="T21" s="157" t="s">
        <v>97</v>
      </c>
      <c r="U21" s="161"/>
      <c r="V21" s="161">
        <v>495000</v>
      </c>
      <c r="W21" s="160">
        <f>V21/R21</f>
        <v>1</v>
      </c>
      <c r="X21" s="161"/>
      <c r="Y21" s="161">
        <v>495000</v>
      </c>
      <c r="Z21" s="160">
        <f t="shared" si="7"/>
        <v>1</v>
      </c>
      <c r="AA21" s="161"/>
      <c r="AB21" s="161">
        <f t="shared" si="6"/>
        <v>0</v>
      </c>
      <c r="AC21" s="161">
        <f>R21-Y21</f>
        <v>0</v>
      </c>
      <c r="AD21" s="367" t="s">
        <v>146</v>
      </c>
      <c r="AE21" s="187"/>
      <c r="AF21" s="306"/>
      <c r="AG21" s="306"/>
      <c r="AH21" s="306"/>
      <c r="AI21" s="306"/>
      <c r="AJ21" s="306"/>
      <c r="AK21" s="307"/>
      <c r="AL21" s="307"/>
      <c r="AM21" s="307"/>
      <c r="AN21" s="308"/>
      <c r="AO21" s="308"/>
      <c r="AP21" s="308"/>
      <c r="AQ21" s="308"/>
      <c r="AR21" s="309"/>
    </row>
    <row r="22" spans="1:44" s="166" customFormat="1" x14ac:dyDescent="0.25">
      <c r="A22" s="150">
        <v>19</v>
      </c>
      <c r="B22" s="151" t="s">
        <v>16</v>
      </c>
      <c r="C22" s="152" t="s">
        <v>63</v>
      </c>
      <c r="D22" s="153" t="s">
        <v>49</v>
      </c>
      <c r="E22" s="182" t="s">
        <v>51</v>
      </c>
      <c r="F22" s="155" t="s">
        <v>156</v>
      </c>
      <c r="G22" s="265" t="s">
        <v>146</v>
      </c>
      <c r="H22" s="219"/>
      <c r="I22" s="196"/>
      <c r="J22" s="196"/>
      <c r="K22" s="196"/>
      <c r="L22" s="196"/>
      <c r="M22" s="196"/>
      <c r="N22" s="196"/>
      <c r="O22" s="196"/>
      <c r="P22" s="201"/>
      <c r="Q22" s="213"/>
      <c r="R22" s="155">
        <v>12028000</v>
      </c>
      <c r="S22" s="156">
        <v>42597</v>
      </c>
      <c r="T22" s="157" t="s">
        <v>97</v>
      </c>
      <c r="U22" s="154"/>
      <c r="V22" s="159">
        <v>12028000</v>
      </c>
      <c r="W22" s="160">
        <f t="shared" si="5"/>
        <v>1</v>
      </c>
      <c r="X22" s="154"/>
      <c r="Y22" s="161">
        <v>12028000</v>
      </c>
      <c r="Z22" s="160">
        <f t="shared" si="7"/>
        <v>1</v>
      </c>
      <c r="AA22" s="154"/>
      <c r="AB22" s="161">
        <f t="shared" si="6"/>
        <v>0</v>
      </c>
      <c r="AC22" s="161">
        <f>R22-Y22</f>
        <v>0</v>
      </c>
      <c r="AD22" s="367" t="s">
        <v>146</v>
      </c>
      <c r="AE22" s="188"/>
      <c r="AF22" s="188"/>
      <c r="AG22" s="188"/>
      <c r="AH22" s="188"/>
      <c r="AI22" s="188"/>
      <c r="AJ22" s="188"/>
      <c r="AK22" s="162"/>
      <c r="AL22" s="162"/>
      <c r="AM22" s="162"/>
      <c r="AN22" s="163"/>
      <c r="AO22" s="163"/>
      <c r="AP22" s="163"/>
      <c r="AQ22" s="163"/>
      <c r="AR22" s="164"/>
    </row>
    <row r="23" spans="1:44" s="166" customFormat="1" x14ac:dyDescent="0.25">
      <c r="A23" s="167">
        <v>20</v>
      </c>
      <c r="B23" s="151" t="s">
        <v>16</v>
      </c>
      <c r="C23" s="152" t="s">
        <v>64</v>
      </c>
      <c r="D23" s="153" t="s">
        <v>48</v>
      </c>
      <c r="E23" s="182" t="s">
        <v>52</v>
      </c>
      <c r="F23" s="155" t="s">
        <v>156</v>
      </c>
      <c r="G23" s="302" t="s">
        <v>146</v>
      </c>
      <c r="H23" s="303">
        <v>0.3</v>
      </c>
      <c r="I23" s="304"/>
      <c r="J23" s="304"/>
      <c r="K23" s="304"/>
      <c r="L23" s="304"/>
      <c r="M23" s="304"/>
      <c r="N23" s="304">
        <v>0.6</v>
      </c>
      <c r="O23" s="304">
        <v>0.1</v>
      </c>
      <c r="P23" s="201"/>
      <c r="Q23" s="213"/>
      <c r="R23" s="155">
        <v>3225870</v>
      </c>
      <c r="S23" s="156">
        <v>42597</v>
      </c>
      <c r="T23" s="157" t="s">
        <v>97</v>
      </c>
      <c r="U23" s="154"/>
      <c r="V23" s="159">
        <v>3225870</v>
      </c>
      <c r="W23" s="160">
        <f t="shared" si="5"/>
        <v>1</v>
      </c>
      <c r="X23" s="154"/>
      <c r="Y23" s="159">
        <v>3225870</v>
      </c>
      <c r="Z23" s="160">
        <f t="shared" si="7"/>
        <v>1</v>
      </c>
      <c r="AA23" s="154"/>
      <c r="AB23" s="161">
        <f t="shared" si="6"/>
        <v>0</v>
      </c>
      <c r="AC23" s="161">
        <f t="shared" ref="AC23:AC32" si="8">R23-Y23</f>
        <v>0</v>
      </c>
      <c r="AD23" s="182" t="s">
        <v>94</v>
      </c>
      <c r="AE23" s="188"/>
      <c r="AF23" s="305"/>
      <c r="AG23" s="305"/>
      <c r="AH23" s="305"/>
      <c r="AI23" s="305"/>
      <c r="AJ23" s="305"/>
      <c r="AK23" s="162"/>
      <c r="AL23" s="162"/>
      <c r="AM23" s="162"/>
      <c r="AN23" s="163"/>
      <c r="AO23" s="163"/>
      <c r="AP23" s="163"/>
      <c r="AQ23" s="163"/>
      <c r="AR23" s="164"/>
    </row>
    <row r="24" spans="1:44" s="166" customFormat="1" x14ac:dyDescent="0.25">
      <c r="A24" s="150">
        <v>21</v>
      </c>
      <c r="B24" s="151" t="s">
        <v>16</v>
      </c>
      <c r="C24" s="152" t="s">
        <v>135</v>
      </c>
      <c r="D24" s="165" t="s">
        <v>136</v>
      </c>
      <c r="E24" s="182" t="s">
        <v>137</v>
      </c>
      <c r="F24" s="155" t="s">
        <v>156</v>
      </c>
      <c r="G24" s="265" t="s">
        <v>146</v>
      </c>
      <c r="H24" s="219"/>
      <c r="I24" s="196"/>
      <c r="J24" s="196"/>
      <c r="K24" s="196"/>
      <c r="L24" s="196"/>
      <c r="M24" s="196"/>
      <c r="N24" s="196"/>
      <c r="O24" s="196"/>
      <c r="P24" s="201"/>
      <c r="Q24" s="213"/>
      <c r="R24" s="155">
        <v>809450</v>
      </c>
      <c r="S24" s="156">
        <v>42601</v>
      </c>
      <c r="T24" s="157" t="s">
        <v>97</v>
      </c>
      <c r="U24" s="154"/>
      <c r="V24" s="159">
        <v>809450</v>
      </c>
      <c r="W24" s="160">
        <f>V24/R24</f>
        <v>1</v>
      </c>
      <c r="X24" s="154"/>
      <c r="Y24" s="159">
        <v>809450</v>
      </c>
      <c r="Z24" s="160">
        <f>Y24/R24</f>
        <v>1</v>
      </c>
      <c r="AA24" s="154"/>
      <c r="AB24" s="161">
        <f t="shared" si="6"/>
        <v>0</v>
      </c>
      <c r="AC24" s="161">
        <f t="shared" si="8"/>
        <v>0</v>
      </c>
      <c r="AD24" s="367" t="s">
        <v>146</v>
      </c>
      <c r="AE24" s="188"/>
      <c r="AF24" s="188"/>
      <c r="AG24" s="188"/>
      <c r="AH24" s="188"/>
      <c r="AI24" s="188"/>
      <c r="AJ24" s="188"/>
      <c r="AK24" s="162"/>
      <c r="AL24" s="162"/>
      <c r="AM24" s="162"/>
      <c r="AN24" s="163"/>
      <c r="AO24" s="163"/>
      <c r="AP24" s="163"/>
      <c r="AQ24" s="163"/>
      <c r="AR24" s="164"/>
    </row>
    <row r="25" spans="1:44" s="127" customFormat="1" x14ac:dyDescent="0.25">
      <c r="A25" s="50">
        <v>22</v>
      </c>
      <c r="B25" s="105" t="s">
        <v>16</v>
      </c>
      <c r="C25" s="51" t="s">
        <v>65</v>
      </c>
      <c r="D25" s="52" t="s">
        <v>53</v>
      </c>
      <c r="E25" s="183" t="s">
        <v>54</v>
      </c>
      <c r="F25" s="53" t="s">
        <v>157</v>
      </c>
      <c r="G25" s="265" t="s">
        <v>149</v>
      </c>
      <c r="H25" s="219">
        <v>0.2</v>
      </c>
      <c r="I25" s="196"/>
      <c r="J25" s="196"/>
      <c r="K25" s="196"/>
      <c r="L25" s="196"/>
      <c r="M25" s="196">
        <v>0.7</v>
      </c>
      <c r="N25" s="196">
        <v>0.1</v>
      </c>
      <c r="O25" s="196"/>
      <c r="P25" s="200"/>
      <c r="Q25" s="212"/>
      <c r="R25" s="53">
        <v>3655950</v>
      </c>
      <c r="S25" s="54">
        <v>42615</v>
      </c>
      <c r="T25" s="111" t="s">
        <v>97</v>
      </c>
      <c r="U25" s="129"/>
      <c r="V25" s="128">
        <v>3290355</v>
      </c>
      <c r="W25" s="95">
        <f>V25/R25</f>
        <v>0.9</v>
      </c>
      <c r="X25" s="130"/>
      <c r="Y25" s="131">
        <v>3655950</v>
      </c>
      <c r="Z25" s="124">
        <f>Y25/R25</f>
        <v>1</v>
      </c>
      <c r="AA25" s="173"/>
      <c r="AB25" s="98">
        <f>Y25-V25</f>
        <v>365595</v>
      </c>
      <c r="AC25" s="98">
        <f>R25-Y25</f>
        <v>0</v>
      </c>
      <c r="AD25" s="183" t="s">
        <v>92</v>
      </c>
      <c r="AE25" s="188"/>
      <c r="AF25" s="188"/>
      <c r="AG25" s="188"/>
      <c r="AH25" s="188"/>
      <c r="AI25" s="188"/>
      <c r="AJ25" s="188"/>
      <c r="AK25" s="29"/>
      <c r="AL25" s="29"/>
      <c r="AM25" s="29"/>
      <c r="AN25" s="126"/>
      <c r="AO25" s="126"/>
      <c r="AP25" s="126"/>
      <c r="AQ25" s="126"/>
      <c r="AR25" s="28"/>
    </row>
    <row r="26" spans="1:44" x14ac:dyDescent="0.25">
      <c r="A26" s="75">
        <v>23</v>
      </c>
      <c r="B26" s="105" t="s">
        <v>16</v>
      </c>
      <c r="C26" s="51" t="s">
        <v>66</v>
      </c>
      <c r="D26" s="52" t="s">
        <v>59</v>
      </c>
      <c r="E26" s="183" t="s">
        <v>23</v>
      </c>
      <c r="F26" s="53" t="s">
        <v>157</v>
      </c>
      <c r="G26" s="265" t="s">
        <v>152</v>
      </c>
      <c r="H26" s="219">
        <v>0.1</v>
      </c>
      <c r="I26" s="196"/>
      <c r="J26" s="196">
        <v>0.7</v>
      </c>
      <c r="K26" s="196"/>
      <c r="L26" s="196">
        <v>0.1</v>
      </c>
      <c r="M26" s="196"/>
      <c r="N26" s="196">
        <v>0.1</v>
      </c>
      <c r="O26" s="196"/>
      <c r="P26" s="200"/>
      <c r="Q26" s="212"/>
      <c r="R26" s="53">
        <v>10500000</v>
      </c>
      <c r="S26" s="54">
        <v>42615</v>
      </c>
      <c r="T26" s="111" t="s">
        <v>97</v>
      </c>
      <c r="U26" s="113"/>
      <c r="V26" s="60">
        <v>8400000</v>
      </c>
      <c r="W26" s="56">
        <f>V26/R26</f>
        <v>0.8</v>
      </c>
      <c r="X26" s="63"/>
      <c r="Y26" s="62">
        <v>8400000</v>
      </c>
      <c r="Z26" s="58">
        <f>Y26/R26</f>
        <v>0.8</v>
      </c>
      <c r="AA26" s="173"/>
      <c r="AB26" s="68">
        <f t="shared" si="6"/>
        <v>0</v>
      </c>
      <c r="AC26" s="68">
        <f>R26-Y26</f>
        <v>2100000</v>
      </c>
      <c r="AD26" s="184"/>
      <c r="AE26" s="383" t="s">
        <v>205</v>
      </c>
      <c r="AF26" s="188"/>
      <c r="AG26" s="188"/>
      <c r="AH26" s="188"/>
      <c r="AI26" s="188"/>
      <c r="AJ26" s="188"/>
    </row>
    <row r="27" spans="1:44" s="64" customFormat="1" x14ac:dyDescent="0.25">
      <c r="A27" s="50">
        <v>24</v>
      </c>
      <c r="B27" s="105" t="s">
        <v>16</v>
      </c>
      <c r="C27" s="51" t="s">
        <v>96</v>
      </c>
      <c r="D27" s="65" t="s">
        <v>99</v>
      </c>
      <c r="E27" s="183" t="s">
        <v>26</v>
      </c>
      <c r="F27" s="53" t="s">
        <v>156</v>
      </c>
      <c r="G27" s="265" t="s">
        <v>148</v>
      </c>
      <c r="H27" s="219">
        <v>0.2</v>
      </c>
      <c r="I27" s="196"/>
      <c r="J27" s="196"/>
      <c r="K27" s="196"/>
      <c r="L27" s="196">
        <v>0.7</v>
      </c>
      <c r="M27" s="196"/>
      <c r="N27" s="196">
        <v>0.1</v>
      </c>
      <c r="O27" s="196"/>
      <c r="P27" s="200"/>
      <c r="Q27" s="212"/>
      <c r="R27" s="53">
        <v>13320000</v>
      </c>
      <c r="S27" s="54">
        <v>42615</v>
      </c>
      <c r="T27" s="111" t="s">
        <v>97</v>
      </c>
      <c r="U27" s="61"/>
      <c r="V27" s="122">
        <f>2664000+9324000</f>
        <v>11988000</v>
      </c>
      <c r="W27" s="56">
        <f>V27/R27</f>
        <v>0.9</v>
      </c>
      <c r="X27" s="63"/>
      <c r="Y27" s="123">
        <f>2664000+9324000</f>
        <v>11988000</v>
      </c>
      <c r="Z27" s="58">
        <f>Y27/R27</f>
        <v>0.9</v>
      </c>
      <c r="AA27" s="173"/>
      <c r="AB27" s="68">
        <f t="shared" si="6"/>
        <v>0</v>
      </c>
      <c r="AC27" s="68">
        <f>R27-Y27</f>
        <v>1332000</v>
      </c>
      <c r="AD27" s="184"/>
      <c r="AE27" s="383" t="s">
        <v>205</v>
      </c>
      <c r="AF27" s="188"/>
      <c r="AG27" s="188"/>
      <c r="AH27" s="188"/>
      <c r="AI27" s="188"/>
      <c r="AJ27" s="188"/>
      <c r="AK27" s="2"/>
      <c r="AL27" s="2"/>
      <c r="AM27" s="2"/>
      <c r="AN27" s="1"/>
      <c r="AO27" s="1"/>
      <c r="AP27" s="1"/>
      <c r="AQ27" s="1"/>
      <c r="AR27"/>
    </row>
    <row r="28" spans="1:44" s="164" customFormat="1" x14ac:dyDescent="0.25">
      <c r="A28" s="150">
        <v>25</v>
      </c>
      <c r="B28" s="151" t="s">
        <v>16</v>
      </c>
      <c r="C28" s="152" t="s">
        <v>68</v>
      </c>
      <c r="D28" s="153" t="s">
        <v>70</v>
      </c>
      <c r="E28" s="182" t="s">
        <v>69</v>
      </c>
      <c r="F28" s="155" t="s">
        <v>157</v>
      </c>
      <c r="G28" s="265" t="s">
        <v>146</v>
      </c>
      <c r="H28" s="219"/>
      <c r="I28" s="196"/>
      <c r="J28" s="196"/>
      <c r="K28" s="196"/>
      <c r="L28" s="196"/>
      <c r="M28" s="196"/>
      <c r="N28" s="196"/>
      <c r="O28" s="196"/>
      <c r="P28" s="201"/>
      <c r="Q28" s="213"/>
      <c r="R28" s="155">
        <v>500000</v>
      </c>
      <c r="S28" s="156">
        <v>42628</v>
      </c>
      <c r="T28" s="157" t="s">
        <v>97</v>
      </c>
      <c r="U28" s="158"/>
      <c r="V28" s="159">
        <v>500000</v>
      </c>
      <c r="W28" s="160">
        <f t="shared" si="5"/>
        <v>1</v>
      </c>
      <c r="X28" s="154"/>
      <c r="Y28" s="159">
        <v>500000</v>
      </c>
      <c r="Z28" s="160">
        <f t="shared" si="7"/>
        <v>1</v>
      </c>
      <c r="AA28" s="154"/>
      <c r="AB28" s="161">
        <f t="shared" si="6"/>
        <v>0</v>
      </c>
      <c r="AC28" s="161">
        <f t="shared" si="8"/>
        <v>0</v>
      </c>
      <c r="AD28" s="367" t="s">
        <v>146</v>
      </c>
      <c r="AE28" s="188"/>
      <c r="AF28" s="188"/>
      <c r="AG28" s="188"/>
      <c r="AH28" s="188"/>
      <c r="AI28" s="188"/>
      <c r="AJ28" s="188"/>
      <c r="AK28" s="162"/>
      <c r="AL28" s="162"/>
      <c r="AM28" s="162"/>
      <c r="AN28" s="163"/>
      <c r="AO28" s="163"/>
      <c r="AP28" s="163"/>
      <c r="AQ28" s="163"/>
    </row>
    <row r="29" spans="1:44" s="435" customFormat="1" x14ac:dyDescent="0.25">
      <c r="A29" s="414">
        <v>26</v>
      </c>
      <c r="B29" s="415" t="s">
        <v>16</v>
      </c>
      <c r="C29" s="416" t="s">
        <v>71</v>
      </c>
      <c r="D29" s="413" t="s">
        <v>73</v>
      </c>
      <c r="E29" s="417" t="s">
        <v>72</v>
      </c>
      <c r="F29" s="418" t="s">
        <v>156</v>
      </c>
      <c r="G29" s="419" t="s">
        <v>146</v>
      </c>
      <c r="H29" s="420"/>
      <c r="I29" s="421"/>
      <c r="J29" s="421"/>
      <c r="K29" s="421"/>
      <c r="L29" s="421"/>
      <c r="M29" s="421"/>
      <c r="N29" s="421"/>
      <c r="O29" s="421">
        <v>1</v>
      </c>
      <c r="P29" s="422"/>
      <c r="Q29" s="423"/>
      <c r="R29" s="418">
        <v>500000</v>
      </c>
      <c r="S29" s="424">
        <v>42633</v>
      </c>
      <c r="T29" s="425" t="s">
        <v>97</v>
      </c>
      <c r="U29" s="426"/>
      <c r="V29" s="427">
        <v>500000</v>
      </c>
      <c r="W29" s="428">
        <f>V29/R29</f>
        <v>1</v>
      </c>
      <c r="X29" s="429"/>
      <c r="Y29" s="427">
        <v>500000</v>
      </c>
      <c r="Z29" s="428">
        <f t="shared" si="7"/>
        <v>1</v>
      </c>
      <c r="AA29" s="429"/>
      <c r="AB29" s="375">
        <f t="shared" si="6"/>
        <v>0</v>
      </c>
      <c r="AC29" s="375">
        <f>R29-Y29</f>
        <v>0</v>
      </c>
      <c r="AD29" s="430"/>
      <c r="AE29" s="431" t="s">
        <v>205</v>
      </c>
      <c r="AF29" s="432"/>
      <c r="AG29" s="432"/>
      <c r="AH29" s="432"/>
      <c r="AI29" s="432"/>
      <c r="AJ29" s="432"/>
      <c r="AK29" s="433"/>
      <c r="AL29" s="433"/>
      <c r="AM29" s="433"/>
      <c r="AN29" s="434"/>
      <c r="AO29" s="434"/>
      <c r="AP29" s="434"/>
      <c r="AQ29" s="434"/>
    </row>
    <row r="30" spans="1:44" s="164" customFormat="1" ht="15.75" customHeight="1" x14ac:dyDescent="0.25">
      <c r="A30" s="150">
        <v>27</v>
      </c>
      <c r="B30" s="151" t="s">
        <v>16</v>
      </c>
      <c r="C30" s="152" t="s">
        <v>138</v>
      </c>
      <c r="D30" s="153" t="s">
        <v>139</v>
      </c>
      <c r="E30" s="193" t="s">
        <v>106</v>
      </c>
      <c r="F30" s="273" t="s">
        <v>157</v>
      </c>
      <c r="G30" s="265" t="s">
        <v>146</v>
      </c>
      <c r="H30" s="219"/>
      <c r="I30" s="196"/>
      <c r="J30" s="196"/>
      <c r="K30" s="196"/>
      <c r="L30" s="196"/>
      <c r="M30" s="196"/>
      <c r="N30" s="196"/>
      <c r="O30" s="196"/>
      <c r="P30" s="202"/>
      <c r="Q30" s="213"/>
      <c r="R30" s="155">
        <v>310000</v>
      </c>
      <c r="S30" s="156">
        <v>42640</v>
      </c>
      <c r="T30" s="157" t="s">
        <v>97</v>
      </c>
      <c r="U30" s="158"/>
      <c r="V30" s="159">
        <v>310000</v>
      </c>
      <c r="W30" s="160">
        <f>V30/R30</f>
        <v>1</v>
      </c>
      <c r="X30" s="154"/>
      <c r="Y30" s="159">
        <v>310000</v>
      </c>
      <c r="Z30" s="160">
        <f>Y30/R30</f>
        <v>1</v>
      </c>
      <c r="AA30" s="154"/>
      <c r="AB30" s="161">
        <f t="shared" si="6"/>
        <v>0</v>
      </c>
      <c r="AC30" s="161">
        <f t="shared" si="8"/>
        <v>0</v>
      </c>
      <c r="AD30" s="367" t="s">
        <v>146</v>
      </c>
      <c r="AE30" s="188"/>
      <c r="AF30" s="188"/>
      <c r="AG30" s="188"/>
      <c r="AH30" s="188"/>
      <c r="AI30" s="188"/>
      <c r="AJ30" s="188"/>
      <c r="AK30" s="162"/>
      <c r="AL30" s="162"/>
      <c r="AM30" s="162"/>
      <c r="AN30" s="163"/>
      <c r="AO30" s="163"/>
      <c r="AP30" s="163"/>
      <c r="AQ30" s="163"/>
    </row>
    <row r="31" spans="1:44" s="164" customFormat="1" x14ac:dyDescent="0.25">
      <c r="A31" s="167">
        <v>28</v>
      </c>
      <c r="B31" s="151" t="s">
        <v>16</v>
      </c>
      <c r="C31" s="152" t="s">
        <v>105</v>
      </c>
      <c r="D31" s="153" t="s">
        <v>115</v>
      </c>
      <c r="E31" s="193" t="s">
        <v>106</v>
      </c>
      <c r="F31" s="273" t="s">
        <v>157</v>
      </c>
      <c r="G31" s="265" t="s">
        <v>146</v>
      </c>
      <c r="H31" s="219"/>
      <c r="I31" s="196"/>
      <c r="J31" s="196"/>
      <c r="K31" s="196"/>
      <c r="L31" s="196"/>
      <c r="M31" s="196"/>
      <c r="N31" s="196"/>
      <c r="O31" s="196"/>
      <c r="P31" s="202"/>
      <c r="Q31" s="213"/>
      <c r="R31" s="155">
        <v>1150000</v>
      </c>
      <c r="S31" s="156">
        <v>42640</v>
      </c>
      <c r="T31" s="157" t="s">
        <v>97</v>
      </c>
      <c r="U31" s="158"/>
      <c r="V31" s="159">
        <v>1150000</v>
      </c>
      <c r="W31" s="160">
        <f t="shared" si="5"/>
        <v>1</v>
      </c>
      <c r="X31" s="154"/>
      <c r="Y31" s="159">
        <v>1150000</v>
      </c>
      <c r="Z31" s="160">
        <f t="shared" si="7"/>
        <v>1</v>
      </c>
      <c r="AA31" s="154"/>
      <c r="AB31" s="161">
        <f t="shared" si="6"/>
        <v>0</v>
      </c>
      <c r="AC31" s="161">
        <f t="shared" si="8"/>
        <v>0</v>
      </c>
      <c r="AD31" s="367" t="s">
        <v>146</v>
      </c>
      <c r="AE31" s="188"/>
      <c r="AF31" s="188"/>
      <c r="AG31" s="188"/>
      <c r="AH31" s="188"/>
      <c r="AI31" s="188"/>
      <c r="AJ31" s="188"/>
      <c r="AK31" s="162"/>
      <c r="AL31" s="162"/>
      <c r="AM31" s="162"/>
      <c r="AN31" s="163"/>
      <c r="AO31" s="163"/>
      <c r="AP31" s="163"/>
      <c r="AQ31" s="163"/>
    </row>
    <row r="32" spans="1:44" s="314" customFormat="1" x14ac:dyDescent="0.25">
      <c r="A32" s="150">
        <v>29</v>
      </c>
      <c r="B32" s="167" t="s">
        <v>16</v>
      </c>
      <c r="C32" s="152" t="s">
        <v>75</v>
      </c>
      <c r="D32" s="153" t="s">
        <v>76</v>
      </c>
      <c r="E32" s="182" t="s">
        <v>74</v>
      </c>
      <c r="F32" s="155" t="s">
        <v>157</v>
      </c>
      <c r="G32" s="302" t="s">
        <v>146</v>
      </c>
      <c r="H32" s="303">
        <v>0.2</v>
      </c>
      <c r="I32" s="304"/>
      <c r="J32" s="304"/>
      <c r="K32" s="304"/>
      <c r="L32" s="304"/>
      <c r="M32" s="304"/>
      <c r="N32" s="304"/>
      <c r="O32" s="304">
        <v>0.8</v>
      </c>
      <c r="P32" s="201"/>
      <c r="Q32" s="213"/>
      <c r="R32" s="155">
        <v>946000</v>
      </c>
      <c r="S32" s="156">
        <v>42640</v>
      </c>
      <c r="T32" s="157" t="s">
        <v>97</v>
      </c>
      <c r="U32" s="158"/>
      <c r="V32" s="159">
        <v>946000</v>
      </c>
      <c r="W32" s="160">
        <f t="shared" si="5"/>
        <v>1</v>
      </c>
      <c r="X32" s="154"/>
      <c r="Y32" s="159">
        <v>946000</v>
      </c>
      <c r="Z32" s="160">
        <f t="shared" si="7"/>
        <v>1</v>
      </c>
      <c r="AA32" s="154"/>
      <c r="AB32" s="311">
        <f t="shared" si="6"/>
        <v>0</v>
      </c>
      <c r="AC32" s="311">
        <f t="shared" si="8"/>
        <v>0</v>
      </c>
      <c r="AD32" s="367" t="s">
        <v>146</v>
      </c>
      <c r="AE32" s="188"/>
      <c r="AF32" s="305"/>
      <c r="AG32" s="305"/>
      <c r="AH32" s="305"/>
      <c r="AI32" s="305"/>
      <c r="AJ32" s="305"/>
      <c r="AK32" s="312"/>
      <c r="AL32" s="312"/>
      <c r="AM32" s="312"/>
      <c r="AN32" s="313"/>
      <c r="AO32" s="313"/>
      <c r="AP32" s="313"/>
      <c r="AQ32" s="313"/>
    </row>
    <row r="33" spans="1:43" s="103" customFormat="1" ht="15.75" thickBot="1" x14ac:dyDescent="0.3">
      <c r="A33" s="99"/>
      <c r="B33" s="80"/>
      <c r="C33" s="81"/>
      <c r="D33" s="82"/>
      <c r="E33" s="194"/>
      <c r="F33" s="83"/>
      <c r="G33" s="268"/>
      <c r="H33" s="373"/>
      <c r="I33" s="372"/>
      <c r="J33" s="372"/>
      <c r="K33" s="372"/>
      <c r="L33" s="372"/>
      <c r="M33" s="372"/>
      <c r="N33" s="372"/>
      <c r="O33" s="372"/>
      <c r="P33" s="203"/>
      <c r="Q33" s="214">
        <f>SUM(R18:R32)</f>
        <v>60035270</v>
      </c>
      <c r="R33" s="83"/>
      <c r="S33" s="84"/>
      <c r="T33" s="369"/>
      <c r="U33" s="114">
        <f>SUM(V18:V32)</f>
        <v>55792175</v>
      </c>
      <c r="V33" s="85"/>
      <c r="W33" s="86"/>
      <c r="X33" s="87">
        <f>SUM(Y18:Y32)</f>
        <v>56157770</v>
      </c>
      <c r="Y33" s="88"/>
      <c r="Z33" s="89"/>
      <c r="AA33" s="174">
        <f>SUM(AC18:AC32)</f>
        <v>3877500</v>
      </c>
      <c r="AB33" s="100"/>
      <c r="AC33" s="100"/>
      <c r="AD33" s="186"/>
      <c r="AE33" s="188"/>
      <c r="AF33" s="188"/>
      <c r="AG33" s="188"/>
      <c r="AH33" s="188"/>
      <c r="AI33" s="188"/>
      <c r="AJ33" s="188"/>
      <c r="AK33" s="104"/>
      <c r="AL33" s="104"/>
      <c r="AM33" s="101"/>
      <c r="AN33" s="102"/>
      <c r="AO33" s="102"/>
      <c r="AP33" s="102"/>
      <c r="AQ33" s="102"/>
    </row>
    <row r="34" spans="1:43" s="164" customFormat="1" x14ac:dyDescent="0.25">
      <c r="A34" s="167">
        <v>30</v>
      </c>
      <c r="B34" s="167" t="s">
        <v>17</v>
      </c>
      <c r="C34" s="152" t="s">
        <v>89</v>
      </c>
      <c r="D34" s="153" t="s">
        <v>111</v>
      </c>
      <c r="E34" s="195" t="s">
        <v>90</v>
      </c>
      <c r="F34" s="370" t="s">
        <v>155</v>
      </c>
      <c r="G34" s="371" t="s">
        <v>146</v>
      </c>
      <c r="H34" s="223"/>
      <c r="I34" s="224"/>
      <c r="J34" s="224"/>
      <c r="K34" s="224"/>
      <c r="L34" s="224"/>
      <c r="M34" s="224"/>
      <c r="N34" s="224"/>
      <c r="O34" s="224"/>
      <c r="P34" s="204"/>
      <c r="Q34" s="213"/>
      <c r="R34" s="155">
        <v>3000000</v>
      </c>
      <c r="S34" s="156">
        <v>42662</v>
      </c>
      <c r="T34" s="368" t="s">
        <v>114</v>
      </c>
      <c r="U34" s="154"/>
      <c r="V34" s="159">
        <v>3000000</v>
      </c>
      <c r="W34" s="175">
        <f>V34/R34</f>
        <v>1</v>
      </c>
      <c r="X34" s="154"/>
      <c r="Y34" s="176">
        <v>3000000</v>
      </c>
      <c r="Z34" s="175">
        <f t="shared" ref="Z34:Z42" si="9">Y34/R34</f>
        <v>1</v>
      </c>
      <c r="AA34" s="154"/>
      <c r="AB34" s="177">
        <f t="shared" ref="AB34:AB41" si="10">Y34-V34</f>
        <v>0</v>
      </c>
      <c r="AC34" s="177">
        <f t="shared" ref="AC34:AC42" si="11">R34-Y34</f>
        <v>0</v>
      </c>
      <c r="AD34" s="367" t="s">
        <v>146</v>
      </c>
      <c r="AE34" s="188"/>
      <c r="AF34" s="188"/>
      <c r="AG34" s="188"/>
      <c r="AH34" s="188"/>
      <c r="AI34" s="188"/>
      <c r="AJ34" s="188"/>
      <c r="AK34" s="162"/>
      <c r="AL34" s="162"/>
      <c r="AM34" s="162"/>
      <c r="AN34" s="163"/>
      <c r="AO34" s="163"/>
      <c r="AP34" s="163"/>
      <c r="AQ34" s="163"/>
    </row>
    <row r="35" spans="1:43" x14ac:dyDescent="0.25">
      <c r="A35" s="50">
        <v>31</v>
      </c>
      <c r="B35" s="50" t="s">
        <v>17</v>
      </c>
      <c r="C35" s="51" t="s">
        <v>84</v>
      </c>
      <c r="D35" s="52" t="s">
        <v>85</v>
      </c>
      <c r="E35" s="183" t="s">
        <v>83</v>
      </c>
      <c r="F35" s="53" t="s">
        <v>157</v>
      </c>
      <c r="G35" s="265" t="s">
        <v>145</v>
      </c>
      <c r="H35" s="221"/>
      <c r="I35" s="222"/>
      <c r="J35" s="222"/>
      <c r="K35" s="222"/>
      <c r="L35" s="222"/>
      <c r="M35" s="222">
        <v>0.6</v>
      </c>
      <c r="N35" s="222">
        <v>0.4</v>
      </c>
      <c r="O35" s="222"/>
      <c r="P35" s="200"/>
      <c r="Q35" s="212"/>
      <c r="R35" s="53">
        <v>3185000</v>
      </c>
      <c r="S35" s="54">
        <v>42664</v>
      </c>
      <c r="T35" s="111" t="s">
        <v>97</v>
      </c>
      <c r="U35" s="61"/>
      <c r="V35" s="60">
        <f>1911000+637000</f>
        <v>2548000</v>
      </c>
      <c r="W35" s="77">
        <f>V35/R35</f>
        <v>0.8</v>
      </c>
      <c r="X35" s="63"/>
      <c r="Y35" s="78">
        <f>1911000+637000</f>
        <v>2548000</v>
      </c>
      <c r="Z35" s="79">
        <f t="shared" si="9"/>
        <v>0.8</v>
      </c>
      <c r="AA35" s="173"/>
      <c r="AB35" s="74">
        <f t="shared" si="10"/>
        <v>0</v>
      </c>
      <c r="AC35" s="74">
        <f t="shared" si="11"/>
        <v>637000</v>
      </c>
      <c r="AD35" s="184" t="s">
        <v>107</v>
      </c>
      <c r="AE35" s="383" t="s">
        <v>205</v>
      </c>
      <c r="AF35" s="190"/>
      <c r="AG35" s="190"/>
      <c r="AH35" s="190"/>
      <c r="AI35" s="190"/>
      <c r="AJ35" s="190"/>
    </row>
    <row r="36" spans="1:43" s="435" customFormat="1" x14ac:dyDescent="0.25">
      <c r="A36" s="414">
        <v>32</v>
      </c>
      <c r="B36" s="414" t="s">
        <v>17</v>
      </c>
      <c r="C36" s="416" t="s">
        <v>127</v>
      </c>
      <c r="D36" s="413" t="s">
        <v>128</v>
      </c>
      <c r="E36" s="417" t="s">
        <v>129</v>
      </c>
      <c r="F36" s="418" t="s">
        <v>155</v>
      </c>
      <c r="G36" s="419" t="s">
        <v>146</v>
      </c>
      <c r="H36" s="420"/>
      <c r="I36" s="421"/>
      <c r="J36" s="421"/>
      <c r="K36" s="421"/>
      <c r="L36" s="421">
        <v>0.9</v>
      </c>
      <c r="M36" s="421"/>
      <c r="N36" s="421"/>
      <c r="O36" s="421">
        <v>0.1</v>
      </c>
      <c r="P36" s="422"/>
      <c r="Q36" s="423"/>
      <c r="R36" s="418">
        <v>3350000</v>
      </c>
      <c r="S36" s="424">
        <v>42664</v>
      </c>
      <c r="T36" s="425" t="s">
        <v>114</v>
      </c>
      <c r="U36" s="445"/>
      <c r="V36" s="427">
        <v>3350000</v>
      </c>
      <c r="W36" s="446">
        <f t="shared" ref="W36:W41" si="12">V36/R36</f>
        <v>1</v>
      </c>
      <c r="X36" s="429"/>
      <c r="Y36" s="447">
        <v>3350000</v>
      </c>
      <c r="Z36" s="446">
        <f t="shared" si="9"/>
        <v>1</v>
      </c>
      <c r="AA36" s="429"/>
      <c r="AB36" s="448">
        <f t="shared" si="10"/>
        <v>0</v>
      </c>
      <c r="AC36" s="448">
        <f t="shared" si="11"/>
        <v>0</v>
      </c>
      <c r="AD36" s="417"/>
      <c r="AE36" s="431" t="s">
        <v>205</v>
      </c>
      <c r="AF36" s="432"/>
      <c r="AG36" s="432"/>
      <c r="AH36" s="432"/>
      <c r="AI36" s="432"/>
      <c r="AJ36" s="432"/>
      <c r="AK36" s="433"/>
      <c r="AL36" s="433"/>
      <c r="AM36" s="433"/>
      <c r="AN36" s="434"/>
      <c r="AO36" s="434"/>
      <c r="AP36" s="434"/>
      <c r="AQ36" s="434"/>
    </row>
    <row r="37" spans="1:43" s="164" customFormat="1" x14ac:dyDescent="0.25">
      <c r="A37" s="167">
        <v>33</v>
      </c>
      <c r="B37" s="167" t="s">
        <v>17</v>
      </c>
      <c r="C37" s="152" t="s">
        <v>108</v>
      </c>
      <c r="D37" s="153" t="s">
        <v>116</v>
      </c>
      <c r="E37" s="182" t="s">
        <v>27</v>
      </c>
      <c r="F37" s="155" t="s">
        <v>156</v>
      </c>
      <c r="G37" s="302" t="s">
        <v>146</v>
      </c>
      <c r="H37" s="303"/>
      <c r="I37" s="304"/>
      <c r="J37" s="304"/>
      <c r="K37" s="304"/>
      <c r="L37" s="304"/>
      <c r="M37" s="304"/>
      <c r="N37" s="304">
        <v>1</v>
      </c>
      <c r="O37" s="304"/>
      <c r="P37" s="201"/>
      <c r="Q37" s="213"/>
      <c r="R37" s="155">
        <v>42332</v>
      </c>
      <c r="S37" s="156">
        <v>42668</v>
      </c>
      <c r="T37" s="157" t="s">
        <v>97</v>
      </c>
      <c r="U37" s="178"/>
      <c r="V37" s="159">
        <v>42332</v>
      </c>
      <c r="W37" s="175">
        <f t="shared" si="12"/>
        <v>1</v>
      </c>
      <c r="X37" s="154"/>
      <c r="Y37" s="176">
        <v>42332</v>
      </c>
      <c r="Z37" s="175">
        <f t="shared" si="9"/>
        <v>1</v>
      </c>
      <c r="AA37" s="154"/>
      <c r="AB37" s="177">
        <f t="shared" si="10"/>
        <v>0</v>
      </c>
      <c r="AC37" s="177">
        <f t="shared" si="11"/>
        <v>0</v>
      </c>
      <c r="AD37" s="367" t="s">
        <v>146</v>
      </c>
      <c r="AE37" s="188"/>
      <c r="AF37" s="305"/>
      <c r="AG37" s="305"/>
      <c r="AH37" s="305"/>
      <c r="AI37" s="305"/>
      <c r="AJ37" s="305"/>
      <c r="AK37" s="162"/>
      <c r="AL37" s="162"/>
      <c r="AM37" s="162"/>
      <c r="AN37" s="163"/>
      <c r="AO37" s="163"/>
      <c r="AP37" s="163"/>
      <c r="AQ37" s="163"/>
    </row>
    <row r="38" spans="1:43" x14ac:dyDescent="0.25">
      <c r="A38" s="167">
        <v>34</v>
      </c>
      <c r="B38" s="167" t="s">
        <v>17</v>
      </c>
      <c r="C38" s="152" t="s">
        <v>125</v>
      </c>
      <c r="D38" s="153" t="s">
        <v>130</v>
      </c>
      <c r="E38" s="182" t="s">
        <v>126</v>
      </c>
      <c r="F38" s="155" t="s">
        <v>157</v>
      </c>
      <c r="G38" s="302" t="s">
        <v>146</v>
      </c>
      <c r="H38" s="303">
        <v>0.2</v>
      </c>
      <c r="I38" s="304"/>
      <c r="J38" s="304"/>
      <c r="K38" s="304"/>
      <c r="L38" s="304"/>
      <c r="M38" s="304"/>
      <c r="N38" s="304"/>
      <c r="O38" s="304">
        <v>0.8</v>
      </c>
      <c r="P38" s="201"/>
      <c r="Q38" s="213"/>
      <c r="R38" s="155">
        <v>1820000</v>
      </c>
      <c r="S38" s="156">
        <v>42669</v>
      </c>
      <c r="T38" s="157" t="s">
        <v>141</v>
      </c>
      <c r="U38" s="178"/>
      <c r="V38" s="159">
        <f>364000+1274000+182000</f>
        <v>1820000</v>
      </c>
      <c r="W38" s="175">
        <f t="shared" si="12"/>
        <v>1</v>
      </c>
      <c r="X38" s="154"/>
      <c r="Y38" s="176">
        <f>364000+1274000+182000</f>
        <v>1820000</v>
      </c>
      <c r="Z38" s="175">
        <f t="shared" si="9"/>
        <v>1</v>
      </c>
      <c r="AA38" s="154"/>
      <c r="AB38" s="177">
        <f t="shared" si="10"/>
        <v>0</v>
      </c>
      <c r="AC38" s="177">
        <f t="shared" si="11"/>
        <v>0</v>
      </c>
      <c r="AD38" s="367" t="s">
        <v>146</v>
      </c>
      <c r="AE38" s="383" t="s">
        <v>205</v>
      </c>
      <c r="AF38" s="188"/>
      <c r="AG38" s="188"/>
      <c r="AH38" s="188"/>
      <c r="AI38" s="188"/>
      <c r="AJ38" s="188"/>
    </row>
    <row r="39" spans="1:43" s="164" customFormat="1" x14ac:dyDescent="0.25">
      <c r="A39" s="167">
        <v>35</v>
      </c>
      <c r="B39" s="167" t="s">
        <v>17</v>
      </c>
      <c r="C39" s="152" t="s">
        <v>109</v>
      </c>
      <c r="D39" s="153" t="s">
        <v>113</v>
      </c>
      <c r="E39" s="182" t="s">
        <v>104</v>
      </c>
      <c r="F39" s="155" t="s">
        <v>157</v>
      </c>
      <c r="G39" s="265" t="s">
        <v>146</v>
      </c>
      <c r="H39" s="219"/>
      <c r="I39" s="196"/>
      <c r="J39" s="196"/>
      <c r="K39" s="196"/>
      <c r="L39" s="196"/>
      <c r="M39" s="196"/>
      <c r="N39" s="196"/>
      <c r="O39" s="196"/>
      <c r="P39" s="201"/>
      <c r="Q39" s="213"/>
      <c r="R39" s="155">
        <v>244288</v>
      </c>
      <c r="S39" s="156">
        <v>42696</v>
      </c>
      <c r="T39" s="157" t="s">
        <v>97</v>
      </c>
      <c r="U39" s="178"/>
      <c r="V39" s="159">
        <v>244288</v>
      </c>
      <c r="W39" s="175">
        <f t="shared" si="12"/>
        <v>1</v>
      </c>
      <c r="X39" s="154"/>
      <c r="Y39" s="176">
        <v>244288</v>
      </c>
      <c r="Z39" s="175">
        <f t="shared" si="9"/>
        <v>1</v>
      </c>
      <c r="AA39" s="154"/>
      <c r="AB39" s="177">
        <f t="shared" si="10"/>
        <v>0</v>
      </c>
      <c r="AC39" s="177">
        <f t="shared" si="11"/>
        <v>0</v>
      </c>
      <c r="AD39" s="367" t="s">
        <v>146</v>
      </c>
      <c r="AE39" s="188"/>
      <c r="AF39" s="188"/>
      <c r="AG39" s="188"/>
      <c r="AH39" s="188"/>
      <c r="AI39" s="188"/>
      <c r="AJ39" s="188"/>
      <c r="AK39" s="162"/>
      <c r="AL39" s="162"/>
      <c r="AM39" s="162"/>
      <c r="AN39" s="163"/>
      <c r="AO39" s="163"/>
      <c r="AP39" s="163"/>
      <c r="AQ39" s="163"/>
    </row>
    <row r="40" spans="1:43" s="164" customFormat="1" x14ac:dyDescent="0.25">
      <c r="A40" s="167">
        <v>36</v>
      </c>
      <c r="B40" s="167" t="s">
        <v>17</v>
      </c>
      <c r="C40" s="152" t="s">
        <v>110</v>
      </c>
      <c r="D40" s="153" t="s">
        <v>112</v>
      </c>
      <c r="E40" s="182" t="s">
        <v>72</v>
      </c>
      <c r="F40" s="155" t="s">
        <v>156</v>
      </c>
      <c r="G40" s="302" t="s">
        <v>146</v>
      </c>
      <c r="H40" s="303"/>
      <c r="I40" s="304"/>
      <c r="J40" s="304"/>
      <c r="K40" s="304"/>
      <c r="L40" s="304"/>
      <c r="M40" s="304"/>
      <c r="N40" s="304">
        <v>1</v>
      </c>
      <c r="O40" s="304"/>
      <c r="P40" s="201"/>
      <c r="Q40" s="213"/>
      <c r="R40" s="155">
        <v>85000</v>
      </c>
      <c r="S40" s="156">
        <v>42697</v>
      </c>
      <c r="T40" s="157" t="s">
        <v>97</v>
      </c>
      <c r="U40" s="178"/>
      <c r="V40" s="159">
        <v>85000</v>
      </c>
      <c r="W40" s="175">
        <f t="shared" si="12"/>
        <v>1</v>
      </c>
      <c r="X40" s="154"/>
      <c r="Y40" s="176">
        <v>85000</v>
      </c>
      <c r="Z40" s="175">
        <f t="shared" si="9"/>
        <v>1</v>
      </c>
      <c r="AA40" s="154"/>
      <c r="AB40" s="177">
        <f t="shared" si="10"/>
        <v>0</v>
      </c>
      <c r="AC40" s="177">
        <f t="shared" si="11"/>
        <v>0</v>
      </c>
      <c r="AD40" s="367" t="s">
        <v>146</v>
      </c>
      <c r="AE40" s="188"/>
      <c r="AF40" s="305"/>
      <c r="AG40" s="305"/>
      <c r="AH40" s="305"/>
      <c r="AI40" s="305"/>
      <c r="AJ40" s="305"/>
      <c r="AK40" s="162"/>
      <c r="AL40" s="162"/>
      <c r="AM40" s="162"/>
      <c r="AN40" s="163"/>
      <c r="AO40" s="163"/>
      <c r="AP40" s="163"/>
      <c r="AQ40" s="163"/>
    </row>
    <row r="41" spans="1:43" s="164" customFormat="1" x14ac:dyDescent="0.25">
      <c r="A41" s="167">
        <v>37</v>
      </c>
      <c r="B41" s="167" t="s">
        <v>17</v>
      </c>
      <c r="C41" s="152" t="s">
        <v>101</v>
      </c>
      <c r="D41" s="153" t="s">
        <v>100</v>
      </c>
      <c r="E41" s="182" t="s">
        <v>102</v>
      </c>
      <c r="F41" s="155" t="s">
        <v>157</v>
      </c>
      <c r="G41" s="302" t="s">
        <v>146</v>
      </c>
      <c r="H41" s="303">
        <v>0.3</v>
      </c>
      <c r="I41" s="304"/>
      <c r="J41" s="304"/>
      <c r="K41" s="304"/>
      <c r="L41" s="304"/>
      <c r="M41" s="304"/>
      <c r="N41" s="304">
        <v>0.6</v>
      </c>
      <c r="O41" s="304">
        <v>0.1</v>
      </c>
      <c r="P41" s="201"/>
      <c r="Q41" s="213"/>
      <c r="R41" s="155">
        <v>451500</v>
      </c>
      <c r="S41" s="156">
        <v>42698</v>
      </c>
      <c r="T41" s="157" t="s">
        <v>97</v>
      </c>
      <c r="U41" s="178"/>
      <c r="V41" s="159">
        <v>451500</v>
      </c>
      <c r="W41" s="175">
        <f t="shared" si="12"/>
        <v>1</v>
      </c>
      <c r="X41" s="154"/>
      <c r="Y41" s="176">
        <v>451500</v>
      </c>
      <c r="Z41" s="175">
        <f t="shared" si="9"/>
        <v>1</v>
      </c>
      <c r="AA41" s="154"/>
      <c r="AB41" s="177">
        <f t="shared" si="10"/>
        <v>0</v>
      </c>
      <c r="AC41" s="177">
        <f t="shared" si="11"/>
        <v>0</v>
      </c>
      <c r="AD41" s="367" t="s">
        <v>146</v>
      </c>
      <c r="AE41" s="188"/>
      <c r="AF41" s="305"/>
      <c r="AG41" s="305"/>
      <c r="AH41" s="305"/>
      <c r="AI41" s="305"/>
      <c r="AJ41" s="305"/>
      <c r="AK41" s="162"/>
      <c r="AL41" s="162"/>
      <c r="AM41" s="162"/>
      <c r="AN41" s="163"/>
      <c r="AO41" s="163"/>
      <c r="AP41" s="163"/>
      <c r="AQ41" s="163"/>
    </row>
    <row r="42" spans="1:43" s="164" customFormat="1" x14ac:dyDescent="0.25">
      <c r="A42" s="167">
        <v>38</v>
      </c>
      <c r="B42" s="167" t="s">
        <v>17</v>
      </c>
      <c r="C42" s="152" t="s">
        <v>118</v>
      </c>
      <c r="D42" s="153" t="s">
        <v>119</v>
      </c>
      <c r="E42" s="182" t="s">
        <v>106</v>
      </c>
      <c r="F42" s="155" t="s">
        <v>157</v>
      </c>
      <c r="G42" s="302" t="s">
        <v>146</v>
      </c>
      <c r="H42" s="303">
        <v>0.2</v>
      </c>
      <c r="I42" s="304"/>
      <c r="J42" s="304">
        <v>0.7</v>
      </c>
      <c r="K42" s="304"/>
      <c r="L42" s="304"/>
      <c r="M42" s="304"/>
      <c r="N42" s="304">
        <v>0.1</v>
      </c>
      <c r="O42" s="304"/>
      <c r="P42" s="201"/>
      <c r="Q42" s="213"/>
      <c r="R42" s="155">
        <v>4700000</v>
      </c>
      <c r="S42" s="156">
        <v>42735</v>
      </c>
      <c r="T42" s="157" t="s">
        <v>97</v>
      </c>
      <c r="U42" s="178"/>
      <c r="V42" s="159">
        <f>3290000+940000+470000</f>
        <v>4700000</v>
      </c>
      <c r="W42" s="175">
        <f>V42/R42</f>
        <v>1</v>
      </c>
      <c r="X42" s="154"/>
      <c r="Y42" s="176">
        <f>940000+3290000+470000</f>
        <v>4700000</v>
      </c>
      <c r="Z42" s="175">
        <f t="shared" si="9"/>
        <v>1</v>
      </c>
      <c r="AA42" s="154"/>
      <c r="AB42" s="177">
        <f>Y42-V42</f>
        <v>0</v>
      </c>
      <c r="AC42" s="177">
        <f t="shared" si="11"/>
        <v>0</v>
      </c>
      <c r="AD42" s="336"/>
      <c r="AE42" s="188"/>
      <c r="AF42" s="305"/>
      <c r="AG42" s="305"/>
      <c r="AH42" s="305"/>
      <c r="AI42" s="305"/>
      <c r="AJ42" s="305"/>
      <c r="AK42" s="162"/>
      <c r="AL42" s="162"/>
      <c r="AM42" s="162"/>
      <c r="AN42" s="163"/>
      <c r="AO42" s="163"/>
      <c r="AP42" s="163"/>
      <c r="AQ42" s="163"/>
    </row>
    <row r="43" spans="1:43" x14ac:dyDescent="0.25">
      <c r="A43" s="50"/>
      <c r="B43" s="50"/>
      <c r="C43" s="51"/>
      <c r="D43" s="52"/>
      <c r="E43" s="183"/>
      <c r="F43" s="53"/>
      <c r="G43" s="265"/>
      <c r="H43" s="219"/>
      <c r="I43" s="196"/>
      <c r="J43" s="196"/>
      <c r="K43" s="196"/>
      <c r="L43" s="196"/>
      <c r="M43" s="196"/>
      <c r="N43" s="196"/>
      <c r="O43" s="196"/>
      <c r="P43" s="200"/>
      <c r="Q43" s="212"/>
      <c r="R43" s="53"/>
      <c r="S43" s="54"/>
      <c r="T43" s="111" t="s">
        <v>97</v>
      </c>
      <c r="U43" s="120"/>
      <c r="V43" s="60"/>
      <c r="W43" s="77"/>
      <c r="X43" s="63"/>
      <c r="Y43" s="78"/>
      <c r="Z43" s="79"/>
      <c r="AA43" s="173"/>
      <c r="AB43" s="74"/>
      <c r="AC43" s="74"/>
      <c r="AD43" s="185"/>
      <c r="AE43" s="188"/>
      <c r="AF43" s="188"/>
      <c r="AG43" s="188"/>
      <c r="AH43" s="188"/>
      <c r="AI43" s="188"/>
      <c r="AJ43" s="188"/>
    </row>
    <row r="44" spans="1:43" ht="15.75" thickBot="1" x14ac:dyDescent="0.3">
      <c r="A44" s="69"/>
      <c r="B44" s="69"/>
      <c r="C44" s="51"/>
      <c r="D44" s="52"/>
      <c r="E44" s="125"/>
      <c r="G44" s="269"/>
      <c r="H44" s="220"/>
      <c r="I44" s="188"/>
      <c r="J44" s="188"/>
      <c r="K44" s="188"/>
      <c r="L44" s="188"/>
      <c r="M44" s="188"/>
      <c r="N44" s="188"/>
      <c r="O44" s="188"/>
      <c r="P44" s="205"/>
      <c r="Q44" s="212">
        <f>SUM(R34:R43)</f>
        <v>16878120</v>
      </c>
      <c r="R44" s="53"/>
      <c r="S44" s="54"/>
      <c r="T44" s="59"/>
      <c r="U44" s="112">
        <f>SUM(V34:V42)</f>
        <v>16241120</v>
      </c>
      <c r="V44" s="60"/>
      <c r="W44" s="70"/>
      <c r="X44" s="71">
        <f>SUM(Y34:Y42)</f>
        <v>16241120</v>
      </c>
      <c r="Y44" s="62"/>
      <c r="Z44" s="72"/>
      <c r="AA44" s="173">
        <f>SUM(AC34:AC42)</f>
        <v>637000</v>
      </c>
      <c r="AB44" s="73"/>
      <c r="AC44" s="73"/>
      <c r="AD44" s="185"/>
      <c r="AE44" s="188"/>
      <c r="AF44" s="188"/>
      <c r="AG44" s="188"/>
      <c r="AH44" s="188"/>
      <c r="AI44" s="188"/>
      <c r="AJ44" s="188"/>
    </row>
    <row r="45" spans="1:43" s="29" customFormat="1" ht="15.75" thickTop="1" x14ac:dyDescent="0.25">
      <c r="A45" s="27"/>
      <c r="B45" s="27"/>
      <c r="C45" s="28"/>
      <c r="F45" s="389"/>
      <c r="G45" s="270"/>
      <c r="H45" s="179"/>
      <c r="I45" s="179"/>
      <c r="J45" s="179"/>
      <c r="K45" s="179"/>
      <c r="L45" s="179"/>
      <c r="M45" s="179"/>
      <c r="N45" s="179"/>
      <c r="O45" s="179"/>
      <c r="Q45" s="215"/>
      <c r="S45" s="30"/>
      <c r="V45" s="2"/>
      <c r="W45" s="2"/>
      <c r="X45" s="2"/>
      <c r="Y45" s="2"/>
      <c r="Z45" s="2"/>
      <c r="AA45" s="2"/>
      <c r="AB45" s="2"/>
      <c r="AC45" s="2"/>
      <c r="AD45" s="2"/>
      <c r="AE45" s="181"/>
      <c r="AF45" s="181"/>
      <c r="AG45" s="181"/>
      <c r="AH45" s="181"/>
      <c r="AI45" s="181"/>
      <c r="AJ45" s="181"/>
      <c r="AK45" s="2"/>
      <c r="AL45" s="2"/>
      <c r="AM45" s="2"/>
      <c r="AN45" s="1"/>
      <c r="AO45" s="1"/>
      <c r="AP45" s="1"/>
      <c r="AQ45" s="1"/>
    </row>
    <row r="46" spans="1:43" s="29" customFormat="1" x14ac:dyDescent="0.25">
      <c r="A46" s="27"/>
      <c r="B46" s="27"/>
      <c r="C46" s="28"/>
      <c r="H46" s="179"/>
      <c r="I46" s="179"/>
      <c r="J46" s="179"/>
      <c r="K46" s="179"/>
      <c r="L46" s="179"/>
      <c r="M46" s="179"/>
      <c r="N46" s="179"/>
      <c r="O46" s="179"/>
      <c r="Q46" s="215"/>
      <c r="S46" s="31"/>
      <c r="V46" s="2"/>
      <c r="W46" s="2"/>
      <c r="X46" s="2"/>
      <c r="Y46" s="2"/>
      <c r="Z46" s="2"/>
      <c r="AA46" s="2"/>
      <c r="AB46" s="2"/>
      <c r="AC46" s="2"/>
      <c r="AD46" s="2"/>
      <c r="AE46" s="181"/>
      <c r="AF46" s="181"/>
      <c r="AG46" s="181"/>
      <c r="AH46" s="181"/>
      <c r="AI46" s="181"/>
      <c r="AJ46" s="181"/>
      <c r="AK46" s="2"/>
      <c r="AL46" s="2"/>
      <c r="AM46" s="2"/>
      <c r="AN46" s="1"/>
      <c r="AO46" s="1"/>
      <c r="AP46" s="1"/>
      <c r="AQ46" s="1"/>
    </row>
    <row r="47" spans="1:43" x14ac:dyDescent="0.25">
      <c r="F47" s="29"/>
      <c r="G47" s="29"/>
    </row>
    <row r="48" spans="1:43" x14ac:dyDescent="0.25">
      <c r="F48" s="29"/>
      <c r="G48" s="29"/>
    </row>
    <row r="49" spans="6:7" x14ac:dyDescent="0.25">
      <c r="F49" s="29"/>
      <c r="G49" s="29"/>
    </row>
    <row r="50" spans="6:7" x14ac:dyDescent="0.25">
      <c r="F50" s="29"/>
      <c r="G50" s="29"/>
    </row>
    <row r="51" spans="6:7" x14ac:dyDescent="0.25">
      <c r="F51" s="29"/>
      <c r="G51" s="29"/>
    </row>
    <row r="52" spans="6:7" x14ac:dyDescent="0.25">
      <c r="F52" s="29"/>
      <c r="G52" s="29"/>
    </row>
    <row r="53" spans="6:7" x14ac:dyDescent="0.25">
      <c r="F53" s="29"/>
      <c r="G53" s="29"/>
    </row>
    <row r="54" spans="6:7" x14ac:dyDescent="0.25">
      <c r="F54" s="29"/>
      <c r="G54" s="29"/>
    </row>
    <row r="55" spans="6:7" x14ac:dyDescent="0.25">
      <c r="F55" s="29"/>
      <c r="G55" s="29"/>
    </row>
    <row r="56" spans="6:7" x14ac:dyDescent="0.25">
      <c r="F56" s="29"/>
      <c r="G56" s="29"/>
    </row>
    <row r="57" spans="6:7" x14ac:dyDescent="0.25">
      <c r="F57" s="29"/>
      <c r="G57" s="29"/>
    </row>
    <row r="58" spans="6:7" x14ac:dyDescent="0.25">
      <c r="F58" s="29"/>
      <c r="G58" s="29"/>
    </row>
    <row r="59" spans="6:7" x14ac:dyDescent="0.25">
      <c r="F59" s="29"/>
      <c r="G59" s="29"/>
    </row>
    <row r="60" spans="6:7" x14ac:dyDescent="0.25">
      <c r="F60" s="29"/>
      <c r="G60" s="29"/>
    </row>
    <row r="61" spans="6:7" x14ac:dyDescent="0.25">
      <c r="F61" s="29"/>
      <c r="G61" s="29"/>
    </row>
    <row r="62" spans="6:7" x14ac:dyDescent="0.25">
      <c r="F62" s="29"/>
      <c r="G62" s="29"/>
    </row>
    <row r="63" spans="6:7" x14ac:dyDescent="0.25">
      <c r="F63" s="29"/>
      <c r="G63" s="29"/>
    </row>
    <row r="64" spans="6:7" x14ac:dyDescent="0.25">
      <c r="F64" s="29"/>
      <c r="G64" s="29"/>
    </row>
    <row r="65" spans="6:7" x14ac:dyDescent="0.25">
      <c r="F65" s="29"/>
      <c r="G65" s="29"/>
    </row>
    <row r="66" spans="6:7" x14ac:dyDescent="0.25">
      <c r="F66" s="29"/>
      <c r="G66" s="29"/>
    </row>
    <row r="67" spans="6:7" x14ac:dyDescent="0.25">
      <c r="F67" s="29"/>
      <c r="G67" s="29"/>
    </row>
    <row r="68" spans="6:7" x14ac:dyDescent="0.25">
      <c r="F68" s="29"/>
      <c r="G68" s="29"/>
    </row>
    <row r="69" spans="6:7" x14ac:dyDescent="0.25">
      <c r="F69" s="29"/>
      <c r="G69" s="29"/>
    </row>
    <row r="70" spans="6:7" x14ac:dyDescent="0.25">
      <c r="F70" s="29"/>
      <c r="G70" s="29"/>
    </row>
    <row r="71" spans="6:7" x14ac:dyDescent="0.25">
      <c r="F71" s="29"/>
      <c r="G71" s="29"/>
    </row>
    <row r="72" spans="6:7" x14ac:dyDescent="0.25">
      <c r="F72" s="29"/>
      <c r="G72" s="29"/>
    </row>
    <row r="73" spans="6:7" x14ac:dyDescent="0.25">
      <c r="F73" s="29"/>
      <c r="G73" s="29"/>
    </row>
    <row r="74" spans="6:7" x14ac:dyDescent="0.25">
      <c r="F74" s="29"/>
      <c r="G74" s="29"/>
    </row>
    <row r="75" spans="6:7" x14ac:dyDescent="0.25">
      <c r="F75" s="29"/>
      <c r="G75" s="29"/>
    </row>
    <row r="76" spans="6:7" x14ac:dyDescent="0.25">
      <c r="F76" s="29"/>
      <c r="G76" s="29"/>
    </row>
    <row r="77" spans="6:7" x14ac:dyDescent="0.25">
      <c r="F77" s="29"/>
      <c r="G77" s="29"/>
    </row>
    <row r="78" spans="6:7" x14ac:dyDescent="0.25">
      <c r="F78" s="29"/>
      <c r="G78" s="29"/>
    </row>
    <row r="79" spans="6:7" x14ac:dyDescent="0.25">
      <c r="F79" s="29"/>
      <c r="G79" s="29"/>
    </row>
    <row r="80" spans="6:7" x14ac:dyDescent="0.25">
      <c r="F80" s="29"/>
      <c r="G80" s="29"/>
    </row>
    <row r="81" spans="6:7" x14ac:dyDescent="0.25">
      <c r="F81" s="29"/>
      <c r="G81" s="29"/>
    </row>
    <row r="82" spans="6:7" x14ac:dyDescent="0.25">
      <c r="F82" s="29"/>
      <c r="G82" s="29"/>
    </row>
    <row r="83" spans="6:7" x14ac:dyDescent="0.25">
      <c r="F83" s="29"/>
      <c r="G83" s="29"/>
    </row>
    <row r="84" spans="6:7" x14ac:dyDescent="0.25">
      <c r="F84" s="29"/>
      <c r="G84" s="29"/>
    </row>
    <row r="85" spans="6:7" x14ac:dyDescent="0.25">
      <c r="F85" s="29"/>
      <c r="G85" s="29"/>
    </row>
    <row r="86" spans="6:7" x14ac:dyDescent="0.25">
      <c r="F86" s="29"/>
      <c r="G86" s="29"/>
    </row>
  </sheetData>
  <autoFilter ref="A1:AR44"/>
  <dataConsolidate/>
  <mergeCells count="1">
    <mergeCell ref="T1:T2"/>
  </mergeCells>
  <conditionalFormatting sqref="G1:G1048576">
    <cfRule type="cellIs" dxfId="16" priority="1" operator="equal">
      <formula>"Finish"</formula>
    </cfRule>
  </conditionalFormatting>
  <conditionalFormatting sqref="H3:O43">
    <cfRule type="cellIs" dxfId="15" priority="36" operator="equal">
      <formula>0</formula>
    </cfRule>
    <cfRule type="expression" dxfId="14" priority="37">
      <formula>IF(AND(MATCH($G3,$2:$2,0)&lt;=MATCH(H$2,$2:$2,0),SUM($H3:H3)&lt;=$Z3),1,0)</formula>
    </cfRule>
    <cfRule type="expression" dxfId="13" priority="38">
      <formula>IF(AND($G3=H$2,H3&lt;&gt;""),1,0)</formula>
    </cfRule>
    <cfRule type="expression" dxfId="12" priority="39">
      <formula>IF($Z3-SUM($H3:H3)&gt;=0,1,0)</formula>
    </cfRule>
    <cfRule type="expression" dxfId="11" priority="40">
      <formula>IF(MATCH($G3,$2:$2,0)&gt;MATCH(H$2,$2:$2,0),1,0)</formula>
    </cfRule>
  </conditionalFormatting>
  <conditionalFormatting sqref="W1:W1048576 Z1:Z1048576">
    <cfRule type="cellIs" dxfId="10" priority="27" stopIfTrue="1" operator="equal">
      <formula>1</formula>
    </cfRule>
  </conditionalFormatting>
  <dataValidations count="1">
    <dataValidation type="list" allowBlank="1" showInputMessage="1" showErrorMessage="1" sqref="G1:G1048576">
      <formula1>$H$2:$P$2</formula1>
    </dataValidation>
  </dataValidations>
  <pageMargins left="0.31496062992125984" right="0.11811023622047245" top="0.74803149606299213" bottom="0.74803149606299213" header="0.31496062992125984" footer="0.31496062992125984"/>
  <pageSetup paperSize="9" scale="5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'Project Team'!$A:$A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249977111117893"/>
    <pageSetUpPr fitToPage="1"/>
  </sheetPr>
  <dimension ref="A1:BL2023"/>
  <sheetViews>
    <sheetView tabSelected="1" topLeftCell="D1" zoomScaleNormal="100" zoomScaleSheetLayoutView="85" workbookViewId="0">
      <selection activeCell="AC15" sqref="AC15"/>
    </sheetView>
  </sheetViews>
  <sheetFormatPr defaultRowHeight="15" x14ac:dyDescent="0.25"/>
  <cols>
    <col min="1" max="1" width="5.5703125" customWidth="1"/>
    <col min="2" max="2" width="12.28515625" style="3" customWidth="1"/>
    <col min="3" max="3" width="32.140625" customWidth="1"/>
    <col min="4" max="5" width="45.7109375" customWidth="1"/>
    <col min="6" max="8" width="13.85546875" customWidth="1"/>
    <col min="9" max="9" width="11.7109375" customWidth="1"/>
    <col min="10" max="11" width="19.85546875" customWidth="1"/>
    <col min="12" max="26" width="8.7109375" customWidth="1"/>
    <col min="27" max="30" width="25.28515625" customWidth="1"/>
    <col min="31" max="31" width="18.5703125" customWidth="1"/>
    <col min="32" max="32" width="11.7109375" customWidth="1"/>
    <col min="33" max="33" width="16.28515625" style="3" customWidth="1"/>
    <col min="34" max="34" width="43.28515625" style="64" customWidth="1"/>
  </cols>
  <sheetData>
    <row r="1" spans="1:64" ht="42" customHeight="1" x14ac:dyDescent="0.3">
      <c r="A1" s="753" t="s">
        <v>0</v>
      </c>
      <c r="B1" s="754" t="s">
        <v>7</v>
      </c>
      <c r="C1" s="755" t="s">
        <v>251</v>
      </c>
      <c r="D1" s="756" t="s">
        <v>252</v>
      </c>
      <c r="E1" s="763" t="s">
        <v>265</v>
      </c>
      <c r="F1" s="763" t="s">
        <v>267</v>
      </c>
      <c r="G1" s="763" t="s">
        <v>266</v>
      </c>
      <c r="H1" s="763" t="s">
        <v>268</v>
      </c>
      <c r="I1" s="740" t="s">
        <v>255</v>
      </c>
      <c r="J1" s="741" t="s">
        <v>254</v>
      </c>
      <c r="K1" s="767" t="s">
        <v>264</v>
      </c>
      <c r="L1" s="742"/>
      <c r="M1" s="743" t="s">
        <v>147</v>
      </c>
      <c r="N1" s="743" t="s">
        <v>147</v>
      </c>
      <c r="O1" s="743" t="s">
        <v>147</v>
      </c>
      <c r="P1" s="743" t="s">
        <v>147</v>
      </c>
      <c r="Q1" s="743" t="s">
        <v>147</v>
      </c>
      <c r="R1" s="743" t="s">
        <v>147</v>
      </c>
      <c r="S1" s="743" t="s">
        <v>147</v>
      </c>
      <c r="T1" s="743"/>
      <c r="U1" s="743" t="s">
        <v>147</v>
      </c>
      <c r="V1" s="743" t="s">
        <v>147</v>
      </c>
      <c r="W1" s="743" t="s">
        <v>147</v>
      </c>
      <c r="X1" s="743" t="s">
        <v>147</v>
      </c>
      <c r="Y1" s="743"/>
      <c r="Z1" s="743"/>
      <c r="AA1" s="744" t="s">
        <v>269</v>
      </c>
      <c r="AB1" s="744" t="s">
        <v>270</v>
      </c>
      <c r="AC1" s="744" t="s">
        <v>271</v>
      </c>
      <c r="AD1" s="744" t="s">
        <v>272</v>
      </c>
      <c r="AE1" s="744" t="s">
        <v>4</v>
      </c>
      <c r="AF1" s="784" t="s">
        <v>12</v>
      </c>
      <c r="AG1" s="782"/>
      <c r="AH1" s="780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ht="75.75" thickBot="1" x14ac:dyDescent="0.3">
      <c r="A2" s="757"/>
      <c r="B2" s="727">
        <f>SUBTOTAL(3,B1756:B1756)</f>
        <v>0</v>
      </c>
      <c r="C2" s="728"/>
      <c r="D2" s="738"/>
      <c r="E2" s="764"/>
      <c r="F2" s="764"/>
      <c r="G2" s="764"/>
      <c r="H2" s="764"/>
      <c r="I2" s="745"/>
      <c r="J2" s="728"/>
      <c r="K2" s="728"/>
      <c r="L2" s="725" t="s">
        <v>258</v>
      </c>
      <c r="M2" s="725" t="s">
        <v>150</v>
      </c>
      <c r="N2" s="725" t="s">
        <v>260</v>
      </c>
      <c r="O2" s="725" t="s">
        <v>256</v>
      </c>
      <c r="P2" s="725" t="s">
        <v>257</v>
      </c>
      <c r="Q2" s="725" t="s">
        <v>144</v>
      </c>
      <c r="R2" s="725" t="s">
        <v>151</v>
      </c>
      <c r="S2" s="725" t="s">
        <v>152</v>
      </c>
      <c r="T2" s="725" t="s">
        <v>176</v>
      </c>
      <c r="U2" s="725" t="s">
        <v>259</v>
      </c>
      <c r="V2" s="725" t="s">
        <v>148</v>
      </c>
      <c r="W2" s="725" t="s">
        <v>261</v>
      </c>
      <c r="X2" s="725" t="s">
        <v>253</v>
      </c>
      <c r="Y2" s="725" t="s">
        <v>262</v>
      </c>
      <c r="Z2" s="725" t="s">
        <v>146</v>
      </c>
      <c r="AA2" s="729">
        <f>SUM(AA1756:AA1829)</f>
        <v>0</v>
      </c>
      <c r="AB2" s="729"/>
      <c r="AC2" s="729"/>
      <c r="AD2" s="729"/>
      <c r="AE2" s="729">
        <f>SUM(AE1756:AE1829)</f>
        <v>0</v>
      </c>
      <c r="AF2" s="785"/>
      <c r="AG2" s="786" t="s">
        <v>263</v>
      </c>
      <c r="AH2" s="787" t="s">
        <v>273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spans="1:64" ht="18.75" customHeight="1" thickTop="1" x14ac:dyDescent="0.25">
      <c r="A3" s="758"/>
      <c r="B3" s="737"/>
      <c r="C3" s="730"/>
      <c r="D3" s="739"/>
      <c r="E3" s="765"/>
      <c r="F3" s="765"/>
      <c r="G3" s="765"/>
      <c r="H3" s="765"/>
      <c r="I3" s="746" t="str">
        <f>AF3</f>
        <v/>
      </c>
      <c r="J3" s="731"/>
      <c r="K3" s="731" t="str">
        <f>IF(AA3-AE3 = 0,"",AA3-AE3)</f>
        <v/>
      </c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726"/>
      <c r="AA3" s="732"/>
      <c r="AB3" s="732"/>
      <c r="AC3" s="732"/>
      <c r="AD3" s="732"/>
      <c r="AE3" s="733"/>
      <c r="AF3" s="734" t="str">
        <f>IF(AE3 &lt;&gt;"", AE3/AA3,"")</f>
        <v/>
      </c>
      <c r="AG3" s="783"/>
      <c r="AH3" s="781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</row>
    <row r="4" spans="1:64" ht="19.5" customHeight="1" x14ac:dyDescent="0.25">
      <c r="A4" s="758"/>
      <c r="B4" s="737"/>
      <c r="C4" s="730"/>
      <c r="D4" s="739"/>
      <c r="E4" s="765"/>
      <c r="F4" s="765"/>
      <c r="G4" s="765"/>
      <c r="H4" s="765"/>
      <c r="I4" s="746" t="str">
        <f>AF4</f>
        <v/>
      </c>
      <c r="J4" s="731"/>
      <c r="K4" s="731" t="str">
        <f t="shared" ref="K4:K67" si="0">IF(AA4-AE4 = 0,"",AA4-AE4)</f>
        <v/>
      </c>
      <c r="L4" s="726"/>
      <c r="M4" s="726"/>
      <c r="N4" s="726"/>
      <c r="O4" s="726"/>
      <c r="P4" s="726"/>
      <c r="Q4" s="726"/>
      <c r="R4" s="726"/>
      <c r="S4" s="726"/>
      <c r="T4" s="726"/>
      <c r="U4" s="726"/>
      <c r="V4" s="726"/>
      <c r="W4" s="726"/>
      <c r="X4" s="726"/>
      <c r="Y4" s="726"/>
      <c r="Z4" s="726"/>
      <c r="AA4" s="732"/>
      <c r="AB4" s="732"/>
      <c r="AC4" s="732"/>
      <c r="AD4" s="732"/>
      <c r="AE4" s="733"/>
      <c r="AF4" s="734" t="str">
        <f>IF(AE4 &lt;&gt;"", AE4/AA4,"")</f>
        <v/>
      </c>
      <c r="AG4" s="772"/>
      <c r="AH4" s="777"/>
      <c r="AI4" s="735"/>
      <c r="AJ4" s="735"/>
      <c r="AK4" s="735"/>
      <c r="AL4" s="735"/>
      <c r="AM4" s="735"/>
      <c r="AN4" s="735"/>
      <c r="AO4" s="735"/>
      <c r="AP4" s="735"/>
      <c r="AQ4" s="735"/>
      <c r="AR4" s="735"/>
      <c r="AS4" s="735"/>
      <c r="AT4" s="735"/>
      <c r="AU4" s="735"/>
      <c r="AV4" s="735"/>
      <c r="AW4" s="735"/>
      <c r="AX4" s="735"/>
      <c r="AY4" s="735"/>
      <c r="AZ4" s="735"/>
      <c r="BA4" s="735"/>
      <c r="BB4" s="735"/>
      <c r="BC4" s="735"/>
      <c r="BD4" s="735"/>
      <c r="BE4" s="735"/>
      <c r="BF4" s="735"/>
      <c r="BG4" s="735"/>
      <c r="BH4" s="735"/>
      <c r="BI4" s="735"/>
      <c r="BJ4" s="735"/>
      <c r="BK4" s="735"/>
      <c r="BL4" s="735"/>
    </row>
    <row r="5" spans="1:64" ht="19.5" customHeight="1" x14ac:dyDescent="0.25">
      <c r="A5" s="758"/>
      <c r="B5" s="737"/>
      <c r="C5" s="730"/>
      <c r="D5" s="739"/>
      <c r="E5" s="765"/>
      <c r="F5" s="765"/>
      <c r="G5" s="765"/>
      <c r="H5" s="765"/>
      <c r="I5" s="746" t="str">
        <f t="shared" ref="I5:I68" si="1">AF5</f>
        <v/>
      </c>
      <c r="J5" s="731"/>
      <c r="K5" s="731" t="str">
        <f t="shared" si="0"/>
        <v/>
      </c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  <c r="Z5" s="726"/>
      <c r="AA5" s="732"/>
      <c r="AB5" s="732"/>
      <c r="AC5" s="732"/>
      <c r="AD5" s="732"/>
      <c r="AE5" s="733"/>
      <c r="AF5" s="734" t="str">
        <f t="shared" ref="AF5:AF68" si="2">IF(AE5 &lt;&gt;"", AE5/AA5,"")</f>
        <v/>
      </c>
      <c r="AG5" s="772"/>
      <c r="AH5" s="777"/>
      <c r="AI5" s="735"/>
      <c r="AJ5" s="735"/>
      <c r="AK5" s="735"/>
      <c r="AL5" s="735"/>
      <c r="AM5" s="735"/>
      <c r="AN5" s="735"/>
      <c r="AO5" s="735"/>
      <c r="AP5" s="735"/>
      <c r="AQ5" s="735"/>
      <c r="AR5" s="735"/>
      <c r="AS5" s="735"/>
      <c r="AT5" s="735"/>
      <c r="AU5" s="735"/>
      <c r="AV5" s="735"/>
      <c r="AW5" s="735"/>
      <c r="AX5" s="735"/>
      <c r="AY5" s="735"/>
      <c r="AZ5" s="735"/>
      <c r="BA5" s="735"/>
      <c r="BB5" s="735"/>
      <c r="BC5" s="735"/>
      <c r="BD5" s="735"/>
      <c r="BE5" s="735"/>
      <c r="BF5" s="735"/>
      <c r="BG5" s="735"/>
      <c r="BH5" s="735"/>
      <c r="BI5" s="735"/>
      <c r="BJ5" s="735"/>
      <c r="BK5" s="735"/>
      <c r="BL5" s="735"/>
    </row>
    <row r="6" spans="1:64" ht="19.5" customHeight="1" x14ac:dyDescent="0.25">
      <c r="A6" s="758"/>
      <c r="B6" s="737"/>
      <c r="C6" s="730"/>
      <c r="D6" s="739"/>
      <c r="E6" s="765"/>
      <c r="F6" s="765"/>
      <c r="G6" s="765"/>
      <c r="H6" s="765"/>
      <c r="I6" s="746" t="str">
        <f t="shared" si="1"/>
        <v/>
      </c>
      <c r="J6" s="731"/>
      <c r="K6" s="731" t="str">
        <f t="shared" si="0"/>
        <v/>
      </c>
      <c r="L6" s="726"/>
      <c r="M6" s="726"/>
      <c r="N6" s="726"/>
      <c r="O6" s="726"/>
      <c r="P6" s="726"/>
      <c r="Q6" s="726"/>
      <c r="R6" s="726"/>
      <c r="S6" s="726"/>
      <c r="T6" s="726"/>
      <c r="U6" s="726"/>
      <c r="V6" s="726"/>
      <c r="W6" s="726"/>
      <c r="X6" s="726"/>
      <c r="Y6" s="726"/>
      <c r="Z6" s="726"/>
      <c r="AA6" s="732"/>
      <c r="AB6" s="732"/>
      <c r="AC6" s="732"/>
      <c r="AD6" s="732"/>
      <c r="AE6" s="733"/>
      <c r="AF6" s="734" t="str">
        <f t="shared" si="2"/>
        <v/>
      </c>
      <c r="AG6" s="772"/>
      <c r="AH6" s="777"/>
      <c r="AI6" s="735"/>
      <c r="AJ6" s="735"/>
      <c r="AK6" s="735"/>
      <c r="AL6" s="735"/>
      <c r="AM6" s="735"/>
      <c r="AN6" s="735"/>
      <c r="AO6" s="735"/>
      <c r="AP6" s="735"/>
      <c r="AQ6" s="735"/>
      <c r="AR6" s="735"/>
      <c r="AS6" s="735"/>
      <c r="AT6" s="735"/>
      <c r="AU6" s="735"/>
      <c r="AV6" s="735"/>
      <c r="AW6" s="735"/>
      <c r="AX6" s="735"/>
      <c r="AY6" s="735"/>
      <c r="AZ6" s="735"/>
      <c r="BA6" s="735"/>
      <c r="BB6" s="735"/>
      <c r="BC6" s="735"/>
      <c r="BD6" s="735"/>
      <c r="BE6" s="735"/>
      <c r="BF6" s="735"/>
      <c r="BG6" s="735"/>
      <c r="BH6" s="735"/>
      <c r="BI6" s="735"/>
      <c r="BJ6" s="735"/>
      <c r="BK6" s="735"/>
      <c r="BL6" s="735"/>
    </row>
    <row r="7" spans="1:64" ht="18.75" x14ac:dyDescent="0.25">
      <c r="A7" s="758"/>
      <c r="B7" s="737"/>
      <c r="C7" s="730"/>
      <c r="D7" s="739"/>
      <c r="E7" s="765"/>
      <c r="F7" s="765"/>
      <c r="G7" s="765"/>
      <c r="H7" s="765"/>
      <c r="I7" s="746" t="str">
        <f t="shared" si="1"/>
        <v/>
      </c>
      <c r="J7" s="731"/>
      <c r="K7" s="731" t="str">
        <f t="shared" si="0"/>
        <v/>
      </c>
      <c r="L7" s="726"/>
      <c r="M7" s="726"/>
      <c r="N7" s="726"/>
      <c r="O7" s="726"/>
      <c r="P7" s="726"/>
      <c r="Q7" s="726"/>
      <c r="R7" s="726"/>
      <c r="S7" s="726"/>
      <c r="T7" s="726"/>
      <c r="U7" s="726"/>
      <c r="V7" s="726"/>
      <c r="W7" s="726"/>
      <c r="X7" s="726"/>
      <c r="Y7" s="726"/>
      <c r="Z7" s="726"/>
      <c r="AA7" s="732"/>
      <c r="AB7" s="732"/>
      <c r="AC7" s="732"/>
      <c r="AD7" s="732"/>
      <c r="AE7" s="733"/>
      <c r="AF7" s="734" t="str">
        <f t="shared" si="2"/>
        <v/>
      </c>
      <c r="AG7" s="773"/>
    </row>
    <row r="8" spans="1:64" ht="18.75" x14ac:dyDescent="0.25">
      <c r="A8" s="758"/>
      <c r="B8" s="737"/>
      <c r="C8" s="730"/>
      <c r="D8" s="739"/>
      <c r="E8" s="765"/>
      <c r="F8" s="765"/>
      <c r="G8" s="765"/>
      <c r="H8" s="765"/>
      <c r="I8" s="746" t="str">
        <f t="shared" si="1"/>
        <v/>
      </c>
      <c r="J8" s="731"/>
      <c r="K8" s="731" t="str">
        <f t="shared" si="0"/>
        <v/>
      </c>
      <c r="L8" s="726"/>
      <c r="M8" s="726"/>
      <c r="N8" s="726"/>
      <c r="O8" s="726"/>
      <c r="P8" s="726"/>
      <c r="Q8" s="726"/>
      <c r="R8" s="726"/>
      <c r="S8" s="726"/>
      <c r="T8" s="726"/>
      <c r="U8" s="726"/>
      <c r="V8" s="726"/>
      <c r="W8" s="726"/>
      <c r="X8" s="726"/>
      <c r="Y8" s="726"/>
      <c r="Z8" s="726"/>
      <c r="AA8" s="732"/>
      <c r="AB8" s="732"/>
      <c r="AC8" s="732"/>
      <c r="AD8" s="732"/>
      <c r="AE8" s="733"/>
      <c r="AF8" s="734" t="str">
        <f t="shared" si="2"/>
        <v/>
      </c>
      <c r="AG8" s="773"/>
    </row>
    <row r="9" spans="1:64" ht="18.75" x14ac:dyDescent="0.25">
      <c r="A9" s="758"/>
      <c r="B9" s="737"/>
      <c r="C9" s="730"/>
      <c r="D9" s="739"/>
      <c r="E9" s="765"/>
      <c r="F9" s="765"/>
      <c r="G9" s="765"/>
      <c r="H9" s="765"/>
      <c r="I9" s="746" t="str">
        <f t="shared" si="1"/>
        <v/>
      </c>
      <c r="J9" s="731"/>
      <c r="K9" s="731" t="str">
        <f t="shared" si="0"/>
        <v/>
      </c>
      <c r="L9" s="726"/>
      <c r="M9" s="726"/>
      <c r="N9" s="726"/>
      <c r="O9" s="726"/>
      <c r="P9" s="726"/>
      <c r="Q9" s="726"/>
      <c r="R9" s="726"/>
      <c r="S9" s="726"/>
      <c r="T9" s="726"/>
      <c r="U9" s="726"/>
      <c r="V9" s="726"/>
      <c r="W9" s="726"/>
      <c r="X9" s="726"/>
      <c r="Y9" s="726"/>
      <c r="Z9" s="726"/>
      <c r="AA9" s="732"/>
      <c r="AB9" s="732"/>
      <c r="AC9" s="732"/>
      <c r="AD9" s="732"/>
      <c r="AE9" s="733"/>
      <c r="AF9" s="734" t="str">
        <f t="shared" si="2"/>
        <v/>
      </c>
      <c r="AG9" s="773"/>
    </row>
    <row r="10" spans="1:64" ht="18.75" x14ac:dyDescent="0.25">
      <c r="A10" s="758"/>
      <c r="B10" s="737"/>
      <c r="C10" s="730"/>
      <c r="D10" s="739"/>
      <c r="E10" s="765"/>
      <c r="F10" s="765"/>
      <c r="G10" s="765"/>
      <c r="H10" s="765"/>
      <c r="I10" s="746" t="str">
        <f t="shared" si="1"/>
        <v/>
      </c>
      <c r="J10" s="731"/>
      <c r="K10" s="731" t="str">
        <f t="shared" si="0"/>
        <v/>
      </c>
      <c r="L10" s="726"/>
      <c r="M10" s="726"/>
      <c r="N10" s="726"/>
      <c r="O10" s="726"/>
      <c r="P10" s="726"/>
      <c r="Q10" s="726"/>
      <c r="R10" s="726"/>
      <c r="S10" s="726"/>
      <c r="T10" s="726"/>
      <c r="U10" s="726"/>
      <c r="V10" s="726"/>
      <c r="W10" s="726"/>
      <c r="X10" s="726"/>
      <c r="Y10" s="726"/>
      <c r="Z10" s="726"/>
      <c r="AA10" s="732"/>
      <c r="AB10" s="732"/>
      <c r="AC10" s="732"/>
      <c r="AD10" s="732"/>
      <c r="AE10" s="733"/>
      <c r="AF10" s="734" t="str">
        <f t="shared" si="2"/>
        <v/>
      </c>
      <c r="AG10" s="773"/>
    </row>
    <row r="11" spans="1:64" ht="18.75" x14ac:dyDescent="0.25">
      <c r="A11" s="758"/>
      <c r="B11" s="737"/>
      <c r="C11" s="730"/>
      <c r="D11" s="739"/>
      <c r="E11" s="765"/>
      <c r="F11" s="765"/>
      <c r="G11" s="765"/>
      <c r="H11" s="765"/>
      <c r="I11" s="746" t="str">
        <f t="shared" si="1"/>
        <v/>
      </c>
      <c r="J11" s="731"/>
      <c r="K11" s="731" t="str">
        <f t="shared" si="0"/>
        <v/>
      </c>
      <c r="L11" s="726"/>
      <c r="M11" s="726"/>
      <c r="N11" s="726"/>
      <c r="O11" s="726"/>
      <c r="P11" s="726"/>
      <c r="Q11" s="726"/>
      <c r="R11" s="726"/>
      <c r="S11" s="726"/>
      <c r="T11" s="726"/>
      <c r="U11" s="726"/>
      <c r="V11" s="726"/>
      <c r="W11" s="726"/>
      <c r="X11" s="726"/>
      <c r="Y11" s="726"/>
      <c r="Z11" s="726"/>
      <c r="AA11" s="732"/>
      <c r="AB11" s="732"/>
      <c r="AC11" s="732"/>
      <c r="AD11" s="732"/>
      <c r="AE11" s="733"/>
      <c r="AF11" s="734" t="str">
        <f t="shared" si="2"/>
        <v/>
      </c>
      <c r="AG11" s="773"/>
    </row>
    <row r="12" spans="1:64" ht="18.75" x14ac:dyDescent="0.25">
      <c r="A12" s="758"/>
      <c r="B12" s="737"/>
      <c r="C12" s="730"/>
      <c r="D12" s="739"/>
      <c r="E12" s="765"/>
      <c r="F12" s="765"/>
      <c r="G12" s="765"/>
      <c r="H12" s="765"/>
      <c r="I12" s="746" t="str">
        <f t="shared" si="1"/>
        <v/>
      </c>
      <c r="J12" s="731"/>
      <c r="K12" s="731" t="str">
        <f t="shared" si="0"/>
        <v/>
      </c>
      <c r="L12" s="726"/>
      <c r="M12" s="726"/>
      <c r="N12" s="726"/>
      <c r="O12" s="726"/>
      <c r="P12" s="726"/>
      <c r="Q12" s="726"/>
      <c r="R12" s="726"/>
      <c r="S12" s="726"/>
      <c r="T12" s="726"/>
      <c r="U12" s="726"/>
      <c r="V12" s="726"/>
      <c r="W12" s="726"/>
      <c r="X12" s="726"/>
      <c r="Y12" s="726"/>
      <c r="Z12" s="726"/>
      <c r="AA12" s="732"/>
      <c r="AB12" s="732"/>
      <c r="AC12" s="732"/>
      <c r="AD12" s="732"/>
      <c r="AE12" s="733"/>
      <c r="AF12" s="734" t="str">
        <f t="shared" si="2"/>
        <v/>
      </c>
      <c r="AG12" s="773"/>
    </row>
    <row r="13" spans="1:64" ht="18.75" x14ac:dyDescent="0.25">
      <c r="A13" s="758"/>
      <c r="B13" s="737"/>
      <c r="C13" s="730"/>
      <c r="D13" s="739"/>
      <c r="E13" s="765"/>
      <c r="F13" s="765"/>
      <c r="G13" s="765"/>
      <c r="H13" s="765"/>
      <c r="I13" s="746" t="str">
        <f t="shared" si="1"/>
        <v/>
      </c>
      <c r="J13" s="731"/>
      <c r="K13" s="731" t="str">
        <f t="shared" si="0"/>
        <v/>
      </c>
      <c r="L13" s="726"/>
      <c r="M13" s="726"/>
      <c r="N13" s="726"/>
      <c r="O13" s="726"/>
      <c r="P13" s="726"/>
      <c r="Q13" s="726"/>
      <c r="R13" s="726"/>
      <c r="S13" s="726"/>
      <c r="T13" s="726"/>
      <c r="U13" s="726"/>
      <c r="V13" s="726"/>
      <c r="W13" s="726"/>
      <c r="X13" s="726"/>
      <c r="Y13" s="726"/>
      <c r="Z13" s="726"/>
      <c r="AA13" s="732"/>
      <c r="AB13" s="732"/>
      <c r="AC13" s="732"/>
      <c r="AD13" s="732"/>
      <c r="AE13" s="733"/>
      <c r="AF13" s="734" t="str">
        <f t="shared" si="2"/>
        <v/>
      </c>
      <c r="AG13" s="773"/>
    </row>
    <row r="14" spans="1:64" ht="18.75" x14ac:dyDescent="0.25">
      <c r="A14" s="758"/>
      <c r="B14" s="737"/>
      <c r="C14" s="730"/>
      <c r="D14" s="739"/>
      <c r="E14" s="765"/>
      <c r="F14" s="765"/>
      <c r="G14" s="765"/>
      <c r="H14" s="765"/>
      <c r="I14" s="746" t="str">
        <f t="shared" si="1"/>
        <v/>
      </c>
      <c r="J14" s="731"/>
      <c r="K14" s="731" t="str">
        <f t="shared" si="0"/>
        <v/>
      </c>
      <c r="L14" s="726"/>
      <c r="M14" s="726"/>
      <c r="N14" s="726"/>
      <c r="O14" s="726"/>
      <c r="P14" s="726"/>
      <c r="Q14" s="726"/>
      <c r="R14" s="726"/>
      <c r="S14" s="726"/>
      <c r="T14" s="726"/>
      <c r="U14" s="726"/>
      <c r="V14" s="726"/>
      <c r="W14" s="726"/>
      <c r="X14" s="726"/>
      <c r="Y14" s="726"/>
      <c r="Z14" s="726"/>
      <c r="AA14" s="732"/>
      <c r="AB14" s="732"/>
      <c r="AC14" s="732"/>
      <c r="AD14" s="732"/>
      <c r="AE14" s="733"/>
      <c r="AF14" s="734" t="str">
        <f t="shared" si="2"/>
        <v/>
      </c>
      <c r="AG14" s="773"/>
    </row>
    <row r="15" spans="1:64" ht="18.75" x14ac:dyDescent="0.25">
      <c r="A15" s="758"/>
      <c r="B15" s="737"/>
      <c r="C15" s="730"/>
      <c r="D15" s="739"/>
      <c r="E15" s="765"/>
      <c r="F15" s="765"/>
      <c r="G15" s="765"/>
      <c r="H15" s="765"/>
      <c r="I15" s="746" t="str">
        <f t="shared" si="1"/>
        <v/>
      </c>
      <c r="J15" s="731"/>
      <c r="K15" s="731" t="str">
        <f t="shared" si="0"/>
        <v/>
      </c>
      <c r="L15" s="726"/>
      <c r="M15" s="726"/>
      <c r="N15" s="726"/>
      <c r="O15" s="726"/>
      <c r="P15" s="726"/>
      <c r="Q15" s="726"/>
      <c r="R15" s="726"/>
      <c r="S15" s="726"/>
      <c r="T15" s="726"/>
      <c r="U15" s="726"/>
      <c r="V15" s="726"/>
      <c r="W15" s="726"/>
      <c r="X15" s="726"/>
      <c r="Y15" s="726"/>
      <c r="Z15" s="726"/>
      <c r="AA15" s="732"/>
      <c r="AB15" s="732"/>
      <c r="AC15" s="732"/>
      <c r="AD15" s="732"/>
      <c r="AE15" s="733"/>
      <c r="AF15" s="734" t="str">
        <f t="shared" si="2"/>
        <v/>
      </c>
      <c r="AG15" s="773"/>
    </row>
    <row r="16" spans="1:64" ht="18.75" x14ac:dyDescent="0.25">
      <c r="A16" s="758"/>
      <c r="B16" s="737"/>
      <c r="C16" s="730"/>
      <c r="D16" s="739"/>
      <c r="E16" s="765"/>
      <c r="F16" s="765"/>
      <c r="G16" s="765"/>
      <c r="H16" s="765"/>
      <c r="I16" s="746" t="str">
        <f t="shared" si="1"/>
        <v/>
      </c>
      <c r="J16" s="731"/>
      <c r="K16" s="731" t="str">
        <f t="shared" si="0"/>
        <v/>
      </c>
      <c r="L16" s="726"/>
      <c r="M16" s="726"/>
      <c r="N16" s="726"/>
      <c r="O16" s="726"/>
      <c r="P16" s="726"/>
      <c r="Q16" s="726"/>
      <c r="R16" s="726"/>
      <c r="S16" s="726"/>
      <c r="T16" s="726"/>
      <c r="U16" s="726"/>
      <c r="V16" s="726"/>
      <c r="W16" s="726"/>
      <c r="X16" s="726"/>
      <c r="Y16" s="726"/>
      <c r="Z16" s="726"/>
      <c r="AA16" s="732"/>
      <c r="AB16" s="732"/>
      <c r="AC16" s="732"/>
      <c r="AD16" s="732"/>
      <c r="AE16" s="733"/>
      <c r="AF16" s="734" t="str">
        <f t="shared" si="2"/>
        <v/>
      </c>
      <c r="AG16" s="773"/>
    </row>
    <row r="17" spans="1:64" ht="18.75" x14ac:dyDescent="0.25">
      <c r="A17" s="758"/>
      <c r="B17" s="737"/>
      <c r="C17" s="730"/>
      <c r="D17" s="739"/>
      <c r="E17" s="765"/>
      <c r="F17" s="765"/>
      <c r="G17" s="765"/>
      <c r="H17" s="765"/>
      <c r="I17" s="746" t="str">
        <f t="shared" si="1"/>
        <v/>
      </c>
      <c r="J17" s="731"/>
      <c r="K17" s="731" t="str">
        <f t="shared" si="0"/>
        <v/>
      </c>
      <c r="L17" s="726"/>
      <c r="M17" s="726"/>
      <c r="N17" s="726"/>
      <c r="O17" s="726"/>
      <c r="P17" s="726"/>
      <c r="Q17" s="726"/>
      <c r="R17" s="726"/>
      <c r="S17" s="726"/>
      <c r="T17" s="726"/>
      <c r="U17" s="726"/>
      <c r="V17" s="726"/>
      <c r="W17" s="726"/>
      <c r="X17" s="726"/>
      <c r="Y17" s="726"/>
      <c r="Z17" s="726"/>
      <c r="AA17" s="732"/>
      <c r="AB17" s="732"/>
      <c r="AC17" s="732"/>
      <c r="AD17" s="732"/>
      <c r="AE17" s="733"/>
      <c r="AF17" s="734" t="str">
        <f t="shared" si="2"/>
        <v/>
      </c>
      <c r="AG17" s="773"/>
    </row>
    <row r="18" spans="1:64" ht="18.75" x14ac:dyDescent="0.25">
      <c r="A18" s="758"/>
      <c r="B18" s="737"/>
      <c r="C18" s="730"/>
      <c r="D18" s="739"/>
      <c r="E18" s="765"/>
      <c r="F18" s="765"/>
      <c r="G18" s="765"/>
      <c r="H18" s="765"/>
      <c r="I18" s="746" t="str">
        <f t="shared" si="1"/>
        <v/>
      </c>
      <c r="J18" s="731"/>
      <c r="K18" s="731" t="str">
        <f t="shared" si="0"/>
        <v/>
      </c>
      <c r="L18" s="726"/>
      <c r="M18" s="726"/>
      <c r="N18" s="726"/>
      <c r="O18" s="726"/>
      <c r="P18" s="726"/>
      <c r="Q18" s="726"/>
      <c r="R18" s="726"/>
      <c r="S18" s="726"/>
      <c r="T18" s="726"/>
      <c r="U18" s="726"/>
      <c r="V18" s="726"/>
      <c r="W18" s="726"/>
      <c r="X18" s="726"/>
      <c r="Y18" s="726"/>
      <c r="Z18" s="726"/>
      <c r="AA18" s="732"/>
      <c r="AB18" s="732"/>
      <c r="AC18" s="732"/>
      <c r="AD18" s="732"/>
      <c r="AE18" s="733"/>
      <c r="AF18" s="734" t="str">
        <f t="shared" si="2"/>
        <v/>
      </c>
      <c r="AG18" s="773"/>
    </row>
    <row r="19" spans="1:64" ht="18.75" x14ac:dyDescent="0.25">
      <c r="A19" s="758"/>
      <c r="B19" s="737"/>
      <c r="C19" s="730"/>
      <c r="D19" s="739"/>
      <c r="E19" s="765"/>
      <c r="F19" s="765"/>
      <c r="G19" s="765"/>
      <c r="H19" s="765"/>
      <c r="I19" s="746" t="str">
        <f t="shared" si="1"/>
        <v/>
      </c>
      <c r="J19" s="731"/>
      <c r="K19" s="731" t="str">
        <f t="shared" si="0"/>
        <v/>
      </c>
      <c r="L19" s="726"/>
      <c r="M19" s="726"/>
      <c r="N19" s="726"/>
      <c r="O19" s="726"/>
      <c r="P19" s="726"/>
      <c r="Q19" s="726"/>
      <c r="R19" s="726"/>
      <c r="S19" s="726"/>
      <c r="T19" s="726"/>
      <c r="U19" s="726"/>
      <c r="V19" s="726"/>
      <c r="W19" s="726"/>
      <c r="X19" s="726"/>
      <c r="Y19" s="726"/>
      <c r="Z19" s="726"/>
      <c r="AA19" s="732"/>
      <c r="AB19" s="732"/>
      <c r="AC19" s="732"/>
      <c r="AD19" s="732"/>
      <c r="AE19" s="733"/>
      <c r="AF19" s="734" t="str">
        <f t="shared" si="2"/>
        <v/>
      </c>
      <c r="AG19" s="773"/>
    </row>
    <row r="20" spans="1:64" ht="18.75" x14ac:dyDescent="0.25">
      <c r="A20" s="758"/>
      <c r="B20" s="737"/>
      <c r="C20" s="730"/>
      <c r="D20" s="739"/>
      <c r="E20" s="765"/>
      <c r="F20" s="765"/>
      <c r="G20" s="765"/>
      <c r="H20" s="765"/>
      <c r="I20" s="746" t="str">
        <f t="shared" si="1"/>
        <v/>
      </c>
      <c r="J20" s="731"/>
      <c r="K20" s="731" t="str">
        <f t="shared" si="0"/>
        <v/>
      </c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726"/>
      <c r="X20" s="726"/>
      <c r="Y20" s="726"/>
      <c r="Z20" s="726"/>
      <c r="AA20" s="732"/>
      <c r="AB20" s="732"/>
      <c r="AC20" s="732"/>
      <c r="AD20" s="732"/>
      <c r="AE20" s="733"/>
      <c r="AF20" s="734" t="str">
        <f t="shared" si="2"/>
        <v/>
      </c>
      <c r="AG20" s="773"/>
    </row>
    <row r="21" spans="1:64" ht="18.75" x14ac:dyDescent="0.25">
      <c r="A21" s="758"/>
      <c r="B21" s="737"/>
      <c r="C21" s="730"/>
      <c r="D21" s="739"/>
      <c r="E21" s="765"/>
      <c r="F21" s="765"/>
      <c r="G21" s="765"/>
      <c r="H21" s="765"/>
      <c r="I21" s="746" t="str">
        <f t="shared" si="1"/>
        <v/>
      </c>
      <c r="J21" s="731"/>
      <c r="K21" s="731" t="str">
        <f t="shared" si="0"/>
        <v/>
      </c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732"/>
      <c r="AB21" s="732"/>
      <c r="AC21" s="732"/>
      <c r="AD21" s="732"/>
      <c r="AE21" s="733"/>
      <c r="AF21" s="734" t="str">
        <f t="shared" si="2"/>
        <v/>
      </c>
      <c r="AG21" s="773"/>
    </row>
    <row r="22" spans="1:64" ht="18.75" x14ac:dyDescent="0.25">
      <c r="A22" s="758"/>
      <c r="B22" s="737"/>
      <c r="C22" s="730"/>
      <c r="D22" s="739"/>
      <c r="E22" s="765"/>
      <c r="F22" s="765"/>
      <c r="G22" s="765"/>
      <c r="H22" s="765"/>
      <c r="I22" s="746" t="str">
        <f t="shared" si="1"/>
        <v/>
      </c>
      <c r="J22" s="731"/>
      <c r="K22" s="731" t="str">
        <f t="shared" si="0"/>
        <v/>
      </c>
      <c r="L22" s="726"/>
      <c r="M22" s="726"/>
      <c r="N22" s="726"/>
      <c r="O22" s="726"/>
      <c r="P22" s="726"/>
      <c r="Q22" s="726"/>
      <c r="R22" s="726"/>
      <c r="S22" s="726"/>
      <c r="T22" s="726"/>
      <c r="U22" s="726"/>
      <c r="V22" s="726"/>
      <c r="W22" s="726"/>
      <c r="X22" s="726"/>
      <c r="Y22" s="726"/>
      <c r="Z22" s="726"/>
      <c r="AA22" s="732"/>
      <c r="AB22" s="732"/>
      <c r="AC22" s="732"/>
      <c r="AD22" s="732"/>
      <c r="AE22" s="733"/>
      <c r="AF22" s="734" t="str">
        <f t="shared" si="2"/>
        <v/>
      </c>
      <c r="AG22" s="773"/>
    </row>
    <row r="23" spans="1:64" ht="18.75" x14ac:dyDescent="0.25">
      <c r="A23" s="758"/>
      <c r="B23" s="737"/>
      <c r="C23" s="730"/>
      <c r="D23" s="739"/>
      <c r="E23" s="765"/>
      <c r="F23" s="765"/>
      <c r="G23" s="765"/>
      <c r="H23" s="765"/>
      <c r="I23" s="746" t="str">
        <f t="shared" si="1"/>
        <v/>
      </c>
      <c r="J23" s="731"/>
      <c r="K23" s="731" t="str">
        <f t="shared" si="0"/>
        <v/>
      </c>
      <c r="L23" s="726"/>
      <c r="M23" s="726"/>
      <c r="N23" s="726"/>
      <c r="O23" s="726"/>
      <c r="P23" s="726"/>
      <c r="Q23" s="726"/>
      <c r="R23" s="726"/>
      <c r="S23" s="726"/>
      <c r="T23" s="726"/>
      <c r="U23" s="726"/>
      <c r="V23" s="726"/>
      <c r="W23" s="726"/>
      <c r="X23" s="726"/>
      <c r="Y23" s="726"/>
      <c r="Z23" s="726"/>
      <c r="AA23" s="732"/>
      <c r="AB23" s="732"/>
      <c r="AC23" s="732"/>
      <c r="AD23" s="732"/>
      <c r="AE23" s="733"/>
      <c r="AF23" s="734" t="str">
        <f t="shared" si="2"/>
        <v/>
      </c>
      <c r="AG23" s="773"/>
    </row>
    <row r="24" spans="1:64" ht="18.75" x14ac:dyDescent="0.25">
      <c r="A24" s="758"/>
      <c r="B24" s="737"/>
      <c r="C24" s="730"/>
      <c r="D24" s="739"/>
      <c r="E24" s="765"/>
      <c r="F24" s="765"/>
      <c r="G24" s="765"/>
      <c r="H24" s="765"/>
      <c r="I24" s="746" t="str">
        <f t="shared" si="1"/>
        <v/>
      </c>
      <c r="J24" s="731"/>
      <c r="K24" s="731" t="str">
        <f t="shared" si="0"/>
        <v/>
      </c>
      <c r="L24" s="726"/>
      <c r="M24" s="726"/>
      <c r="N24" s="726"/>
      <c r="O24" s="726"/>
      <c r="P24" s="726"/>
      <c r="Q24" s="726"/>
      <c r="R24" s="726"/>
      <c r="S24" s="726"/>
      <c r="T24" s="726"/>
      <c r="U24" s="726"/>
      <c r="V24" s="726"/>
      <c r="W24" s="726"/>
      <c r="X24" s="726"/>
      <c r="Y24" s="726"/>
      <c r="Z24" s="726"/>
      <c r="AA24" s="732"/>
      <c r="AB24" s="732"/>
      <c r="AC24" s="732"/>
      <c r="AD24" s="732"/>
      <c r="AE24" s="733"/>
      <c r="AF24" s="734" t="str">
        <f t="shared" si="2"/>
        <v/>
      </c>
      <c r="AG24" s="774"/>
      <c r="AH24" s="778"/>
      <c r="AI24" s="736"/>
      <c r="AJ24" s="736"/>
      <c r="AK24" s="736"/>
      <c r="AL24" s="736"/>
      <c r="AM24" s="736"/>
      <c r="AN24" s="736"/>
      <c r="AO24" s="736"/>
      <c r="AP24" s="736"/>
      <c r="AQ24" s="736"/>
      <c r="AR24" s="736"/>
      <c r="AS24" s="736"/>
      <c r="AT24" s="736"/>
      <c r="AU24" s="736"/>
      <c r="AV24" s="736"/>
      <c r="AW24" s="736"/>
      <c r="AX24" s="736"/>
      <c r="AY24" s="736"/>
      <c r="AZ24" s="736"/>
      <c r="BA24" s="736"/>
      <c r="BB24" s="736"/>
      <c r="BC24" s="736"/>
      <c r="BD24" s="736"/>
      <c r="BE24" s="736"/>
      <c r="BF24" s="736"/>
      <c r="BG24" s="736"/>
      <c r="BH24" s="736"/>
      <c r="BI24" s="736"/>
      <c r="BJ24" s="736"/>
      <c r="BK24" s="736"/>
      <c r="BL24" s="736"/>
    </row>
    <row r="25" spans="1:64" ht="18.75" x14ac:dyDescent="0.25">
      <c r="A25" s="758"/>
      <c r="B25" s="737"/>
      <c r="C25" s="730"/>
      <c r="D25" s="739"/>
      <c r="E25" s="765"/>
      <c r="F25" s="765"/>
      <c r="G25" s="765"/>
      <c r="H25" s="765"/>
      <c r="I25" s="746" t="str">
        <f t="shared" si="1"/>
        <v/>
      </c>
      <c r="J25" s="731"/>
      <c r="K25" s="731" t="str">
        <f t="shared" si="0"/>
        <v/>
      </c>
      <c r="L25" s="726"/>
      <c r="M25" s="726"/>
      <c r="N25" s="726"/>
      <c r="O25" s="726"/>
      <c r="P25" s="726"/>
      <c r="Q25" s="726"/>
      <c r="R25" s="726"/>
      <c r="S25" s="726"/>
      <c r="T25" s="726"/>
      <c r="U25" s="726"/>
      <c r="V25" s="726"/>
      <c r="W25" s="726"/>
      <c r="X25" s="726"/>
      <c r="Y25" s="726"/>
      <c r="Z25" s="726"/>
      <c r="AA25" s="732"/>
      <c r="AB25" s="732"/>
      <c r="AC25" s="732"/>
      <c r="AD25" s="732"/>
      <c r="AE25" s="733"/>
      <c r="AF25" s="734" t="str">
        <f t="shared" si="2"/>
        <v/>
      </c>
      <c r="AG25" s="774"/>
      <c r="AH25" s="778"/>
      <c r="AI25" s="736"/>
      <c r="AJ25" s="736"/>
      <c r="AK25" s="736"/>
      <c r="AL25" s="736"/>
      <c r="AM25" s="736"/>
      <c r="AN25" s="736"/>
      <c r="AO25" s="736"/>
      <c r="AP25" s="736"/>
      <c r="AQ25" s="736"/>
      <c r="AR25" s="736"/>
      <c r="AS25" s="736"/>
      <c r="AT25" s="736"/>
      <c r="AU25" s="736"/>
      <c r="AV25" s="736"/>
      <c r="AW25" s="736"/>
      <c r="AX25" s="736"/>
      <c r="AY25" s="736"/>
      <c r="AZ25" s="736"/>
      <c r="BA25" s="736"/>
      <c r="BB25" s="736"/>
      <c r="BC25" s="736"/>
      <c r="BD25" s="736"/>
      <c r="BE25" s="736"/>
      <c r="BF25" s="736"/>
      <c r="BG25" s="736"/>
      <c r="BH25" s="736"/>
      <c r="BI25" s="736"/>
      <c r="BJ25" s="736"/>
      <c r="BK25" s="736"/>
      <c r="BL25" s="736"/>
    </row>
    <row r="26" spans="1:64" ht="18.75" x14ac:dyDescent="0.25">
      <c r="A26" s="758"/>
      <c r="B26" s="737"/>
      <c r="C26" s="730"/>
      <c r="D26" s="739"/>
      <c r="E26" s="765"/>
      <c r="F26" s="765"/>
      <c r="G26" s="765"/>
      <c r="H26" s="765"/>
      <c r="I26" s="746" t="str">
        <f t="shared" si="1"/>
        <v/>
      </c>
      <c r="J26" s="731"/>
      <c r="K26" s="731" t="str">
        <f t="shared" si="0"/>
        <v/>
      </c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732"/>
      <c r="AB26" s="732"/>
      <c r="AC26" s="732"/>
      <c r="AD26" s="732"/>
      <c r="AE26" s="733"/>
      <c r="AF26" s="734" t="str">
        <f t="shared" si="2"/>
        <v/>
      </c>
      <c r="AG26" s="773"/>
    </row>
    <row r="27" spans="1:64" ht="18.75" x14ac:dyDescent="0.25">
      <c r="A27" s="758"/>
      <c r="B27" s="737"/>
      <c r="C27" s="730"/>
      <c r="D27" s="739"/>
      <c r="E27" s="765"/>
      <c r="F27" s="765"/>
      <c r="G27" s="765"/>
      <c r="H27" s="765"/>
      <c r="I27" s="746" t="str">
        <f t="shared" si="1"/>
        <v/>
      </c>
      <c r="J27" s="731"/>
      <c r="K27" s="731" t="str">
        <f t="shared" si="0"/>
        <v/>
      </c>
      <c r="L27" s="726"/>
      <c r="M27" s="726"/>
      <c r="N27" s="726"/>
      <c r="O27" s="726"/>
      <c r="P27" s="726"/>
      <c r="Q27" s="726"/>
      <c r="R27" s="726"/>
      <c r="S27" s="726"/>
      <c r="T27" s="726"/>
      <c r="U27" s="726"/>
      <c r="V27" s="726"/>
      <c r="W27" s="726"/>
      <c r="X27" s="726"/>
      <c r="Y27" s="726"/>
      <c r="Z27" s="726"/>
      <c r="AA27" s="732"/>
      <c r="AB27" s="732"/>
      <c r="AC27" s="732"/>
      <c r="AD27" s="732"/>
      <c r="AE27" s="733"/>
      <c r="AF27" s="734" t="str">
        <f t="shared" si="2"/>
        <v/>
      </c>
      <c r="AG27" s="773"/>
    </row>
    <row r="28" spans="1:64" ht="18.75" x14ac:dyDescent="0.25">
      <c r="A28" s="758"/>
      <c r="B28" s="737"/>
      <c r="C28" s="730"/>
      <c r="D28" s="739"/>
      <c r="E28" s="765"/>
      <c r="F28" s="765"/>
      <c r="G28" s="765"/>
      <c r="H28" s="765"/>
      <c r="I28" s="746" t="str">
        <f t="shared" si="1"/>
        <v/>
      </c>
      <c r="J28" s="731"/>
      <c r="K28" s="731" t="str">
        <f t="shared" si="0"/>
        <v/>
      </c>
      <c r="L28" s="726"/>
      <c r="M28" s="726"/>
      <c r="N28" s="726"/>
      <c r="O28" s="726"/>
      <c r="P28" s="726"/>
      <c r="Q28" s="726"/>
      <c r="R28" s="726"/>
      <c r="S28" s="726"/>
      <c r="T28" s="726"/>
      <c r="U28" s="726"/>
      <c r="V28" s="726"/>
      <c r="W28" s="726"/>
      <c r="X28" s="726"/>
      <c r="Y28" s="726"/>
      <c r="Z28" s="726"/>
      <c r="AA28" s="732"/>
      <c r="AB28" s="732"/>
      <c r="AC28" s="732"/>
      <c r="AD28" s="732"/>
      <c r="AE28" s="733"/>
      <c r="AF28" s="734" t="str">
        <f t="shared" si="2"/>
        <v/>
      </c>
      <c r="AG28" s="774"/>
      <c r="AH28" s="778"/>
      <c r="AI28" s="736"/>
      <c r="AJ28" s="736"/>
      <c r="AK28" s="736"/>
      <c r="AL28" s="736"/>
      <c r="AM28" s="736"/>
      <c r="AN28" s="736"/>
      <c r="AO28" s="736"/>
      <c r="AP28" s="736"/>
      <c r="AQ28" s="736"/>
      <c r="AR28" s="736"/>
      <c r="AS28" s="736"/>
      <c r="AT28" s="736"/>
      <c r="AU28" s="736"/>
      <c r="AV28" s="736"/>
      <c r="AW28" s="736"/>
      <c r="AX28" s="736"/>
      <c r="AY28" s="736"/>
      <c r="AZ28" s="736"/>
      <c r="BA28" s="736"/>
      <c r="BB28" s="736"/>
      <c r="BC28" s="736"/>
      <c r="BD28" s="736"/>
      <c r="BE28" s="736"/>
      <c r="BF28" s="736"/>
      <c r="BG28" s="736"/>
      <c r="BH28" s="736"/>
      <c r="BI28" s="736"/>
      <c r="BJ28" s="736"/>
      <c r="BK28" s="736"/>
      <c r="BL28" s="736"/>
    </row>
    <row r="29" spans="1:64" ht="18.75" x14ac:dyDescent="0.25">
      <c r="A29" s="758"/>
      <c r="B29" s="737"/>
      <c r="C29" s="730"/>
      <c r="D29" s="739"/>
      <c r="E29" s="765"/>
      <c r="F29" s="765"/>
      <c r="G29" s="765"/>
      <c r="H29" s="765"/>
      <c r="I29" s="746" t="str">
        <f t="shared" si="1"/>
        <v/>
      </c>
      <c r="J29" s="731"/>
      <c r="K29" s="731" t="str">
        <f t="shared" si="0"/>
        <v/>
      </c>
      <c r="L29" s="726"/>
      <c r="M29" s="726"/>
      <c r="N29" s="726"/>
      <c r="O29" s="726"/>
      <c r="P29" s="726"/>
      <c r="Q29" s="726"/>
      <c r="R29" s="726"/>
      <c r="S29" s="726"/>
      <c r="T29" s="726"/>
      <c r="U29" s="726"/>
      <c r="V29" s="726"/>
      <c r="W29" s="726"/>
      <c r="X29" s="726"/>
      <c r="Y29" s="726"/>
      <c r="Z29" s="726"/>
      <c r="AA29" s="732"/>
      <c r="AB29" s="732"/>
      <c r="AC29" s="732"/>
      <c r="AD29" s="732"/>
      <c r="AE29" s="733"/>
      <c r="AF29" s="734" t="str">
        <f t="shared" si="2"/>
        <v/>
      </c>
      <c r="AG29" s="773"/>
    </row>
    <row r="30" spans="1:64" ht="18.75" x14ac:dyDescent="0.25">
      <c r="A30" s="758"/>
      <c r="B30" s="737"/>
      <c r="C30" s="730"/>
      <c r="D30" s="739"/>
      <c r="E30" s="765"/>
      <c r="F30" s="765"/>
      <c r="G30" s="765"/>
      <c r="H30" s="765"/>
      <c r="I30" s="746" t="str">
        <f t="shared" si="1"/>
        <v/>
      </c>
      <c r="J30" s="731"/>
      <c r="K30" s="731" t="str">
        <f t="shared" si="0"/>
        <v/>
      </c>
      <c r="L30" s="726"/>
      <c r="M30" s="726"/>
      <c r="N30" s="726"/>
      <c r="O30" s="726"/>
      <c r="P30" s="726"/>
      <c r="Q30" s="726"/>
      <c r="R30" s="726"/>
      <c r="S30" s="726"/>
      <c r="T30" s="726"/>
      <c r="U30" s="726"/>
      <c r="V30" s="726"/>
      <c r="W30" s="726"/>
      <c r="X30" s="726"/>
      <c r="Y30" s="726"/>
      <c r="Z30" s="726"/>
      <c r="AA30" s="732"/>
      <c r="AB30" s="732"/>
      <c r="AC30" s="732"/>
      <c r="AD30" s="732"/>
      <c r="AE30" s="733"/>
      <c r="AF30" s="734" t="str">
        <f t="shared" si="2"/>
        <v/>
      </c>
      <c r="AG30" s="773"/>
    </row>
    <row r="31" spans="1:64" ht="18.75" x14ac:dyDescent="0.25">
      <c r="A31" s="758"/>
      <c r="B31" s="737"/>
      <c r="C31" s="730"/>
      <c r="D31" s="739"/>
      <c r="E31" s="765"/>
      <c r="F31" s="765"/>
      <c r="G31" s="765"/>
      <c r="H31" s="765"/>
      <c r="I31" s="746" t="str">
        <f t="shared" si="1"/>
        <v/>
      </c>
      <c r="J31" s="731"/>
      <c r="K31" s="731" t="str">
        <f t="shared" si="0"/>
        <v/>
      </c>
      <c r="L31" s="726"/>
      <c r="M31" s="726"/>
      <c r="N31" s="726"/>
      <c r="O31" s="726"/>
      <c r="P31" s="726"/>
      <c r="Q31" s="726"/>
      <c r="R31" s="726"/>
      <c r="S31" s="726"/>
      <c r="T31" s="726"/>
      <c r="U31" s="726"/>
      <c r="V31" s="726"/>
      <c r="W31" s="726"/>
      <c r="X31" s="726"/>
      <c r="Y31" s="726"/>
      <c r="Z31" s="726"/>
      <c r="AA31" s="732"/>
      <c r="AB31" s="732"/>
      <c r="AC31" s="732"/>
      <c r="AD31" s="732"/>
      <c r="AE31" s="733"/>
      <c r="AF31" s="734" t="str">
        <f t="shared" si="2"/>
        <v/>
      </c>
      <c r="AG31" s="774"/>
      <c r="AH31" s="778"/>
      <c r="AI31" s="736"/>
      <c r="AJ31" s="736"/>
      <c r="AK31" s="736"/>
      <c r="AL31" s="736"/>
      <c r="AM31" s="736"/>
      <c r="AN31" s="736"/>
      <c r="AO31" s="736"/>
      <c r="AP31" s="736"/>
      <c r="AQ31" s="736"/>
      <c r="AR31" s="736"/>
      <c r="AS31" s="736"/>
      <c r="AT31" s="736"/>
      <c r="AU31" s="736"/>
      <c r="AV31" s="736"/>
      <c r="AW31" s="736"/>
      <c r="AX31" s="736"/>
      <c r="AY31" s="736"/>
      <c r="AZ31" s="736"/>
      <c r="BA31" s="736"/>
      <c r="BB31" s="736"/>
      <c r="BC31" s="736"/>
      <c r="BD31" s="736"/>
      <c r="BE31" s="736"/>
      <c r="BF31" s="736"/>
      <c r="BG31" s="736"/>
      <c r="BH31" s="736"/>
      <c r="BI31" s="736"/>
      <c r="BJ31" s="736"/>
      <c r="BK31" s="736"/>
      <c r="BL31" s="736"/>
    </row>
    <row r="32" spans="1:64" ht="18.75" x14ac:dyDescent="0.25">
      <c r="A32" s="758"/>
      <c r="B32" s="737"/>
      <c r="C32" s="730"/>
      <c r="D32" s="739"/>
      <c r="E32" s="765"/>
      <c r="F32" s="765"/>
      <c r="G32" s="765"/>
      <c r="H32" s="765"/>
      <c r="I32" s="746" t="str">
        <f t="shared" si="1"/>
        <v/>
      </c>
      <c r="J32" s="731"/>
      <c r="K32" s="731" t="str">
        <f t="shared" si="0"/>
        <v/>
      </c>
      <c r="L32" s="726"/>
      <c r="M32" s="726"/>
      <c r="N32" s="726"/>
      <c r="O32" s="726"/>
      <c r="P32" s="726"/>
      <c r="Q32" s="726"/>
      <c r="R32" s="726"/>
      <c r="S32" s="726"/>
      <c r="T32" s="726"/>
      <c r="U32" s="726"/>
      <c r="V32" s="726"/>
      <c r="W32" s="726"/>
      <c r="X32" s="726"/>
      <c r="Y32" s="726"/>
      <c r="Z32" s="726"/>
      <c r="AA32" s="732"/>
      <c r="AB32" s="732"/>
      <c r="AC32" s="732"/>
      <c r="AD32" s="732"/>
      <c r="AE32" s="733"/>
      <c r="AF32" s="734" t="str">
        <f t="shared" si="2"/>
        <v/>
      </c>
      <c r="AG32" s="773"/>
    </row>
    <row r="33" spans="1:64" ht="18.75" x14ac:dyDescent="0.25">
      <c r="A33" s="758"/>
      <c r="B33" s="737"/>
      <c r="C33" s="730"/>
      <c r="D33" s="739"/>
      <c r="E33" s="765"/>
      <c r="F33" s="765"/>
      <c r="G33" s="765"/>
      <c r="H33" s="765"/>
      <c r="I33" s="746" t="str">
        <f t="shared" si="1"/>
        <v/>
      </c>
      <c r="J33" s="731"/>
      <c r="K33" s="731" t="str">
        <f t="shared" si="0"/>
        <v/>
      </c>
      <c r="L33" s="726"/>
      <c r="M33" s="726"/>
      <c r="N33" s="726"/>
      <c r="O33" s="726"/>
      <c r="P33" s="726"/>
      <c r="Q33" s="726"/>
      <c r="R33" s="726"/>
      <c r="S33" s="726"/>
      <c r="T33" s="726"/>
      <c r="U33" s="726"/>
      <c r="V33" s="726"/>
      <c r="W33" s="726"/>
      <c r="X33" s="726"/>
      <c r="Y33" s="726"/>
      <c r="Z33" s="726"/>
      <c r="AA33" s="732"/>
      <c r="AB33" s="732"/>
      <c r="AC33" s="732"/>
      <c r="AD33" s="732"/>
      <c r="AE33" s="733"/>
      <c r="AF33" s="734" t="str">
        <f t="shared" si="2"/>
        <v/>
      </c>
      <c r="AG33" s="774"/>
      <c r="AH33" s="778"/>
      <c r="AI33" s="736"/>
      <c r="AJ33" s="736"/>
      <c r="AK33" s="736"/>
      <c r="AL33" s="736"/>
      <c r="AM33" s="736"/>
      <c r="AN33" s="736"/>
      <c r="AO33" s="736"/>
      <c r="AP33" s="736"/>
      <c r="AQ33" s="736"/>
      <c r="AR33" s="736"/>
      <c r="AS33" s="736"/>
      <c r="AT33" s="736"/>
      <c r="AU33" s="736"/>
      <c r="AV33" s="736"/>
      <c r="AW33" s="736"/>
      <c r="AX33" s="736"/>
      <c r="AY33" s="736"/>
      <c r="AZ33" s="736"/>
      <c r="BA33" s="736"/>
      <c r="BB33" s="736"/>
      <c r="BC33" s="736"/>
      <c r="BD33" s="736"/>
      <c r="BE33" s="736"/>
      <c r="BF33" s="736"/>
      <c r="BG33" s="736"/>
      <c r="BH33" s="736"/>
      <c r="BI33" s="736"/>
      <c r="BJ33" s="736"/>
      <c r="BK33" s="736"/>
      <c r="BL33" s="736"/>
    </row>
    <row r="34" spans="1:64" ht="18.75" x14ac:dyDescent="0.25">
      <c r="A34" s="758"/>
      <c r="B34" s="737"/>
      <c r="C34" s="730"/>
      <c r="D34" s="739"/>
      <c r="E34" s="765"/>
      <c r="F34" s="765"/>
      <c r="G34" s="765"/>
      <c r="H34" s="765"/>
      <c r="I34" s="746" t="str">
        <f t="shared" si="1"/>
        <v/>
      </c>
      <c r="J34" s="731"/>
      <c r="K34" s="731" t="str">
        <f t="shared" si="0"/>
        <v/>
      </c>
      <c r="L34" s="726"/>
      <c r="M34" s="726"/>
      <c r="N34" s="726"/>
      <c r="O34" s="726"/>
      <c r="P34" s="726"/>
      <c r="Q34" s="726"/>
      <c r="R34" s="726"/>
      <c r="S34" s="726"/>
      <c r="T34" s="726"/>
      <c r="U34" s="726"/>
      <c r="V34" s="726"/>
      <c r="W34" s="726"/>
      <c r="X34" s="726"/>
      <c r="Y34" s="726"/>
      <c r="Z34" s="726"/>
      <c r="AA34" s="732"/>
      <c r="AB34" s="732"/>
      <c r="AC34" s="732"/>
      <c r="AD34" s="732"/>
      <c r="AE34" s="733"/>
      <c r="AF34" s="734" t="str">
        <f t="shared" si="2"/>
        <v/>
      </c>
      <c r="AG34" s="774"/>
      <c r="AH34" s="778"/>
      <c r="AI34" s="736"/>
      <c r="AJ34" s="736"/>
      <c r="AK34" s="736"/>
      <c r="AL34" s="736"/>
      <c r="AM34" s="736"/>
      <c r="AN34" s="736"/>
      <c r="AO34" s="736"/>
      <c r="AP34" s="736"/>
      <c r="AQ34" s="736"/>
      <c r="AR34" s="736"/>
      <c r="AS34" s="736"/>
      <c r="AT34" s="736"/>
      <c r="AU34" s="736"/>
      <c r="AV34" s="736"/>
      <c r="AW34" s="736"/>
      <c r="AX34" s="736"/>
      <c r="AY34" s="736"/>
      <c r="AZ34" s="736"/>
      <c r="BA34" s="736"/>
      <c r="BB34" s="736"/>
      <c r="BC34" s="736"/>
      <c r="BD34" s="736"/>
      <c r="BE34" s="736"/>
      <c r="BF34" s="736"/>
      <c r="BG34" s="736"/>
      <c r="BH34" s="736"/>
      <c r="BI34" s="736"/>
      <c r="BJ34" s="736"/>
      <c r="BK34" s="736"/>
      <c r="BL34" s="736"/>
    </row>
    <row r="35" spans="1:64" ht="18.75" x14ac:dyDescent="0.25">
      <c r="A35" s="758"/>
      <c r="B35" s="737"/>
      <c r="C35" s="730"/>
      <c r="D35" s="739"/>
      <c r="E35" s="765"/>
      <c r="F35" s="765"/>
      <c r="G35" s="765"/>
      <c r="H35" s="765"/>
      <c r="I35" s="746" t="str">
        <f t="shared" si="1"/>
        <v/>
      </c>
      <c r="J35" s="731"/>
      <c r="K35" s="731" t="str">
        <f t="shared" si="0"/>
        <v/>
      </c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732"/>
      <c r="AB35" s="732"/>
      <c r="AC35" s="732"/>
      <c r="AD35" s="732"/>
      <c r="AE35" s="733"/>
      <c r="AF35" s="734" t="str">
        <f t="shared" si="2"/>
        <v/>
      </c>
      <c r="AG35" s="773"/>
    </row>
    <row r="36" spans="1:64" ht="18.75" x14ac:dyDescent="0.25">
      <c r="A36" s="758"/>
      <c r="B36" s="737"/>
      <c r="C36" s="730"/>
      <c r="D36" s="739"/>
      <c r="E36" s="765"/>
      <c r="F36" s="765"/>
      <c r="G36" s="765"/>
      <c r="H36" s="765"/>
      <c r="I36" s="746" t="str">
        <f t="shared" si="1"/>
        <v/>
      </c>
      <c r="J36" s="731"/>
      <c r="K36" s="731" t="str">
        <f t="shared" si="0"/>
        <v/>
      </c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732"/>
      <c r="AB36" s="732"/>
      <c r="AC36" s="732"/>
      <c r="AD36" s="732"/>
      <c r="AE36" s="733"/>
      <c r="AF36" s="734" t="str">
        <f t="shared" si="2"/>
        <v/>
      </c>
      <c r="AG36" s="774"/>
      <c r="AH36" s="778"/>
      <c r="AI36" s="736"/>
      <c r="AJ36" s="736"/>
      <c r="AK36" s="736"/>
      <c r="AL36" s="736"/>
      <c r="AM36" s="736"/>
      <c r="AN36" s="736"/>
      <c r="AO36" s="736"/>
      <c r="AP36" s="736"/>
      <c r="AQ36" s="736"/>
      <c r="AR36" s="736"/>
      <c r="AS36" s="736"/>
      <c r="AT36" s="736"/>
      <c r="AU36" s="736"/>
      <c r="AV36" s="736"/>
      <c r="AW36" s="736"/>
      <c r="AX36" s="736"/>
      <c r="AY36" s="736"/>
      <c r="AZ36" s="736"/>
      <c r="BA36" s="736"/>
      <c r="BB36" s="736"/>
      <c r="BC36" s="736"/>
      <c r="BD36" s="736"/>
      <c r="BE36" s="736"/>
      <c r="BF36" s="736"/>
      <c r="BG36" s="736"/>
      <c r="BH36" s="736"/>
      <c r="BI36" s="736"/>
      <c r="BJ36" s="736"/>
      <c r="BK36" s="736"/>
      <c r="BL36" s="736"/>
    </row>
    <row r="37" spans="1:64" ht="18.75" x14ac:dyDescent="0.25">
      <c r="A37" s="758"/>
      <c r="B37" s="737"/>
      <c r="C37" s="730"/>
      <c r="D37" s="739"/>
      <c r="E37" s="765"/>
      <c r="F37" s="765"/>
      <c r="G37" s="765"/>
      <c r="H37" s="765"/>
      <c r="I37" s="746" t="str">
        <f t="shared" si="1"/>
        <v/>
      </c>
      <c r="J37" s="731"/>
      <c r="K37" s="731" t="str">
        <f t="shared" si="0"/>
        <v/>
      </c>
      <c r="L37" s="726"/>
      <c r="M37" s="726"/>
      <c r="N37" s="726"/>
      <c r="O37" s="726"/>
      <c r="P37" s="726"/>
      <c r="Q37" s="726"/>
      <c r="R37" s="726"/>
      <c r="S37" s="726"/>
      <c r="T37" s="726"/>
      <c r="U37" s="726"/>
      <c r="V37" s="726"/>
      <c r="W37" s="726"/>
      <c r="X37" s="726"/>
      <c r="Y37" s="726"/>
      <c r="Z37" s="726"/>
      <c r="AA37" s="732"/>
      <c r="AB37" s="732"/>
      <c r="AC37" s="732"/>
      <c r="AD37" s="732"/>
      <c r="AE37" s="733"/>
      <c r="AF37" s="734" t="str">
        <f t="shared" si="2"/>
        <v/>
      </c>
      <c r="AG37" s="773"/>
    </row>
    <row r="38" spans="1:64" ht="18.75" x14ac:dyDescent="0.25">
      <c r="A38" s="758"/>
      <c r="B38" s="737"/>
      <c r="C38" s="730"/>
      <c r="D38" s="739"/>
      <c r="E38" s="765"/>
      <c r="F38" s="765"/>
      <c r="G38" s="765"/>
      <c r="H38" s="765"/>
      <c r="I38" s="746" t="str">
        <f t="shared" si="1"/>
        <v/>
      </c>
      <c r="J38" s="731"/>
      <c r="K38" s="731" t="str">
        <f t="shared" si="0"/>
        <v/>
      </c>
      <c r="L38" s="726"/>
      <c r="M38" s="726"/>
      <c r="N38" s="726"/>
      <c r="O38" s="726"/>
      <c r="P38" s="726"/>
      <c r="Q38" s="726"/>
      <c r="R38" s="726"/>
      <c r="S38" s="726"/>
      <c r="T38" s="726"/>
      <c r="U38" s="726"/>
      <c r="V38" s="726"/>
      <c r="W38" s="726"/>
      <c r="X38" s="726"/>
      <c r="Y38" s="726"/>
      <c r="Z38" s="726"/>
      <c r="AA38" s="732"/>
      <c r="AB38" s="732"/>
      <c r="AC38" s="732"/>
      <c r="AD38" s="732"/>
      <c r="AE38" s="733"/>
      <c r="AF38" s="734" t="str">
        <f t="shared" si="2"/>
        <v/>
      </c>
      <c r="AG38" s="774"/>
      <c r="AH38" s="778"/>
      <c r="AI38" s="736"/>
      <c r="AJ38" s="736"/>
      <c r="AK38" s="736"/>
      <c r="AL38" s="736"/>
      <c r="AM38" s="736"/>
      <c r="AN38" s="736"/>
      <c r="AO38" s="736"/>
      <c r="AP38" s="736"/>
      <c r="AQ38" s="736"/>
      <c r="AR38" s="736"/>
      <c r="AS38" s="736"/>
      <c r="AT38" s="736"/>
      <c r="AU38" s="736"/>
      <c r="AV38" s="736"/>
      <c r="AW38" s="736"/>
      <c r="AX38" s="736"/>
      <c r="AY38" s="736"/>
      <c r="AZ38" s="736"/>
      <c r="BA38" s="736"/>
      <c r="BB38" s="736"/>
      <c r="BC38" s="736"/>
      <c r="BD38" s="736"/>
      <c r="BE38" s="736"/>
      <c r="BF38" s="736"/>
      <c r="BG38" s="736"/>
      <c r="BH38" s="736"/>
      <c r="BI38" s="736"/>
      <c r="BJ38" s="736"/>
      <c r="BK38" s="736"/>
      <c r="BL38" s="736"/>
    </row>
    <row r="39" spans="1:64" ht="18.75" x14ac:dyDescent="0.25">
      <c r="A39" s="758"/>
      <c r="B39" s="737"/>
      <c r="C39" s="730"/>
      <c r="D39" s="739"/>
      <c r="E39" s="765"/>
      <c r="F39" s="765"/>
      <c r="G39" s="765"/>
      <c r="H39" s="765"/>
      <c r="I39" s="746" t="str">
        <f t="shared" si="1"/>
        <v/>
      </c>
      <c r="J39" s="731"/>
      <c r="K39" s="731" t="str">
        <f t="shared" si="0"/>
        <v/>
      </c>
      <c r="L39" s="726"/>
      <c r="M39" s="726"/>
      <c r="N39" s="726"/>
      <c r="O39" s="726"/>
      <c r="P39" s="726"/>
      <c r="Q39" s="726"/>
      <c r="R39" s="726"/>
      <c r="S39" s="726"/>
      <c r="T39" s="726"/>
      <c r="U39" s="726"/>
      <c r="V39" s="726"/>
      <c r="W39" s="726"/>
      <c r="X39" s="726"/>
      <c r="Y39" s="726"/>
      <c r="Z39" s="726"/>
      <c r="AA39" s="732"/>
      <c r="AB39" s="732"/>
      <c r="AC39" s="732"/>
      <c r="AD39" s="732"/>
      <c r="AE39" s="733"/>
      <c r="AF39" s="734" t="str">
        <f t="shared" si="2"/>
        <v/>
      </c>
      <c r="AG39" s="774"/>
      <c r="AH39" s="778"/>
      <c r="AI39" s="736"/>
      <c r="AJ39" s="736"/>
      <c r="AK39" s="736"/>
      <c r="AL39" s="736"/>
      <c r="AM39" s="736"/>
      <c r="AN39" s="736"/>
      <c r="AO39" s="736"/>
      <c r="AP39" s="736"/>
      <c r="AQ39" s="736"/>
      <c r="AR39" s="736"/>
      <c r="AS39" s="736"/>
      <c r="AT39" s="736"/>
      <c r="AU39" s="736"/>
      <c r="AV39" s="736"/>
      <c r="AW39" s="736"/>
      <c r="AX39" s="736"/>
      <c r="AY39" s="736"/>
      <c r="AZ39" s="736"/>
      <c r="BA39" s="736"/>
      <c r="BB39" s="736"/>
      <c r="BC39" s="736"/>
      <c r="BD39" s="736"/>
      <c r="BE39" s="736"/>
      <c r="BF39" s="736"/>
      <c r="BG39" s="736"/>
      <c r="BH39" s="736"/>
      <c r="BI39" s="736"/>
      <c r="BJ39" s="736"/>
      <c r="BK39" s="736"/>
      <c r="BL39" s="736"/>
    </row>
    <row r="40" spans="1:64" ht="18.75" x14ac:dyDescent="0.25">
      <c r="A40" s="758"/>
      <c r="B40" s="737"/>
      <c r="C40" s="730"/>
      <c r="D40" s="739"/>
      <c r="E40" s="765"/>
      <c r="F40" s="765"/>
      <c r="G40" s="765"/>
      <c r="H40" s="765"/>
      <c r="I40" s="746" t="str">
        <f t="shared" si="1"/>
        <v/>
      </c>
      <c r="J40" s="731"/>
      <c r="K40" s="731" t="str">
        <f t="shared" si="0"/>
        <v/>
      </c>
      <c r="L40" s="726"/>
      <c r="M40" s="726"/>
      <c r="N40" s="726"/>
      <c r="O40" s="726"/>
      <c r="P40" s="726"/>
      <c r="Q40" s="726"/>
      <c r="R40" s="726"/>
      <c r="S40" s="726"/>
      <c r="T40" s="726"/>
      <c r="U40" s="726"/>
      <c r="V40" s="726"/>
      <c r="W40" s="726"/>
      <c r="X40" s="726"/>
      <c r="Y40" s="726"/>
      <c r="Z40" s="726"/>
      <c r="AA40" s="732"/>
      <c r="AB40" s="732"/>
      <c r="AC40" s="732"/>
      <c r="AD40" s="732"/>
      <c r="AE40" s="733"/>
      <c r="AF40" s="734" t="str">
        <f t="shared" si="2"/>
        <v/>
      </c>
      <c r="AG40" s="774"/>
      <c r="AH40" s="778"/>
      <c r="AI40" s="736"/>
      <c r="AJ40" s="736"/>
      <c r="AK40" s="736"/>
      <c r="AL40" s="736"/>
      <c r="AM40" s="736"/>
      <c r="AN40" s="736"/>
      <c r="AO40" s="736"/>
      <c r="AP40" s="736"/>
      <c r="AQ40" s="736"/>
      <c r="AR40" s="736"/>
      <c r="AS40" s="736"/>
      <c r="AT40" s="736"/>
      <c r="AU40" s="736"/>
      <c r="AV40" s="736"/>
      <c r="AW40" s="736"/>
      <c r="AX40" s="736"/>
      <c r="AY40" s="736"/>
      <c r="AZ40" s="736"/>
      <c r="BA40" s="736"/>
      <c r="BB40" s="736"/>
      <c r="BC40" s="736"/>
      <c r="BD40" s="736"/>
      <c r="BE40" s="736"/>
      <c r="BF40" s="736"/>
      <c r="BG40" s="736"/>
      <c r="BH40" s="736"/>
      <c r="BI40" s="736"/>
      <c r="BJ40" s="736"/>
      <c r="BK40" s="736"/>
      <c r="BL40" s="736"/>
    </row>
    <row r="41" spans="1:64" ht="18.75" x14ac:dyDescent="0.25">
      <c r="A41" s="758"/>
      <c r="B41" s="737"/>
      <c r="C41" s="730"/>
      <c r="D41" s="739"/>
      <c r="E41" s="765"/>
      <c r="F41" s="765"/>
      <c r="G41" s="765"/>
      <c r="H41" s="765"/>
      <c r="I41" s="746" t="str">
        <f t="shared" si="1"/>
        <v/>
      </c>
      <c r="J41" s="731"/>
      <c r="K41" s="731" t="str">
        <f t="shared" si="0"/>
        <v/>
      </c>
      <c r="L41" s="726"/>
      <c r="M41" s="726"/>
      <c r="N41" s="726"/>
      <c r="O41" s="726"/>
      <c r="P41" s="726"/>
      <c r="Q41" s="726"/>
      <c r="R41" s="726"/>
      <c r="S41" s="726"/>
      <c r="T41" s="726"/>
      <c r="U41" s="726"/>
      <c r="V41" s="726"/>
      <c r="W41" s="726"/>
      <c r="X41" s="726"/>
      <c r="Y41" s="726"/>
      <c r="Z41" s="726"/>
      <c r="AA41" s="732"/>
      <c r="AB41" s="732"/>
      <c r="AC41" s="732"/>
      <c r="AD41" s="732"/>
      <c r="AE41" s="733"/>
      <c r="AF41" s="734" t="str">
        <f t="shared" si="2"/>
        <v/>
      </c>
      <c r="AG41" s="774"/>
      <c r="AH41" s="778"/>
      <c r="AI41" s="736"/>
      <c r="AJ41" s="736"/>
      <c r="AK41" s="736"/>
      <c r="AL41" s="736"/>
      <c r="AM41" s="736"/>
      <c r="AN41" s="736"/>
      <c r="AO41" s="736"/>
      <c r="AP41" s="736"/>
      <c r="AQ41" s="736"/>
      <c r="AR41" s="736"/>
      <c r="AS41" s="736"/>
      <c r="AT41" s="736"/>
      <c r="AU41" s="736"/>
      <c r="AV41" s="736"/>
      <c r="AW41" s="736"/>
      <c r="AX41" s="736"/>
      <c r="AY41" s="736"/>
      <c r="AZ41" s="736"/>
      <c r="BA41" s="736"/>
      <c r="BB41" s="736"/>
      <c r="BC41" s="736"/>
      <c r="BD41" s="736"/>
      <c r="BE41" s="736"/>
      <c r="BF41" s="736"/>
      <c r="BG41" s="736"/>
      <c r="BH41" s="736"/>
      <c r="BI41" s="736"/>
      <c r="BJ41" s="736"/>
      <c r="BK41" s="736"/>
      <c r="BL41" s="736"/>
    </row>
    <row r="42" spans="1:64" ht="18.75" x14ac:dyDescent="0.25">
      <c r="A42" s="758"/>
      <c r="B42" s="737"/>
      <c r="C42" s="730"/>
      <c r="D42" s="739"/>
      <c r="E42" s="765"/>
      <c r="F42" s="765"/>
      <c r="G42" s="765"/>
      <c r="H42" s="765"/>
      <c r="I42" s="746" t="str">
        <f t="shared" si="1"/>
        <v/>
      </c>
      <c r="J42" s="731"/>
      <c r="K42" s="731" t="str">
        <f t="shared" si="0"/>
        <v/>
      </c>
      <c r="L42" s="726"/>
      <c r="M42" s="726"/>
      <c r="N42" s="726"/>
      <c r="O42" s="726"/>
      <c r="P42" s="726"/>
      <c r="Q42" s="726"/>
      <c r="R42" s="726"/>
      <c r="S42" s="726"/>
      <c r="T42" s="726"/>
      <c r="U42" s="726"/>
      <c r="V42" s="726"/>
      <c r="W42" s="726"/>
      <c r="X42" s="726"/>
      <c r="Y42" s="726"/>
      <c r="Z42" s="726"/>
      <c r="AA42" s="732"/>
      <c r="AB42" s="732"/>
      <c r="AC42" s="732"/>
      <c r="AD42" s="732"/>
      <c r="AE42" s="733"/>
      <c r="AF42" s="734" t="str">
        <f t="shared" si="2"/>
        <v/>
      </c>
      <c r="AG42" s="774"/>
      <c r="AH42" s="778"/>
      <c r="AI42" s="736"/>
      <c r="AJ42" s="736"/>
      <c r="AK42" s="736"/>
      <c r="AL42" s="736"/>
      <c r="AM42" s="736"/>
      <c r="AN42" s="736"/>
      <c r="AO42" s="736"/>
      <c r="AP42" s="736"/>
      <c r="AQ42" s="736"/>
      <c r="AR42" s="736"/>
      <c r="AS42" s="736"/>
      <c r="AT42" s="736"/>
      <c r="AU42" s="736"/>
      <c r="AV42" s="736"/>
      <c r="AW42" s="736"/>
      <c r="AX42" s="736"/>
      <c r="AY42" s="736"/>
      <c r="AZ42" s="736"/>
      <c r="BA42" s="736"/>
      <c r="BB42" s="736"/>
      <c r="BC42" s="736"/>
      <c r="BD42" s="736"/>
      <c r="BE42" s="736"/>
      <c r="BF42" s="736"/>
      <c r="BG42" s="736"/>
      <c r="BH42" s="736"/>
      <c r="BI42" s="736"/>
      <c r="BJ42" s="736"/>
      <c r="BK42" s="736"/>
      <c r="BL42" s="736"/>
    </row>
    <row r="43" spans="1:64" ht="18.75" x14ac:dyDescent="0.25">
      <c r="A43" s="758"/>
      <c r="B43" s="737"/>
      <c r="C43" s="730"/>
      <c r="D43" s="739"/>
      <c r="E43" s="765"/>
      <c r="F43" s="765"/>
      <c r="G43" s="765"/>
      <c r="H43" s="765"/>
      <c r="I43" s="746" t="str">
        <f t="shared" si="1"/>
        <v/>
      </c>
      <c r="J43" s="731"/>
      <c r="K43" s="731" t="str">
        <f t="shared" si="0"/>
        <v/>
      </c>
      <c r="L43" s="726"/>
      <c r="M43" s="726"/>
      <c r="N43" s="726"/>
      <c r="O43" s="726"/>
      <c r="P43" s="726"/>
      <c r="Q43" s="726"/>
      <c r="R43" s="726"/>
      <c r="S43" s="726"/>
      <c r="T43" s="726"/>
      <c r="U43" s="726"/>
      <c r="V43" s="726"/>
      <c r="W43" s="726"/>
      <c r="X43" s="726"/>
      <c r="Y43" s="726"/>
      <c r="Z43" s="726"/>
      <c r="AA43" s="732"/>
      <c r="AB43" s="732"/>
      <c r="AC43" s="732"/>
      <c r="AD43" s="732"/>
      <c r="AE43" s="733"/>
      <c r="AF43" s="734" t="str">
        <f t="shared" si="2"/>
        <v/>
      </c>
      <c r="AG43" s="774"/>
      <c r="AH43" s="778"/>
      <c r="AI43" s="736"/>
      <c r="AJ43" s="736"/>
      <c r="AK43" s="736"/>
      <c r="AL43" s="736"/>
      <c r="AM43" s="736"/>
      <c r="AN43" s="736"/>
      <c r="AO43" s="736"/>
      <c r="AP43" s="736"/>
      <c r="AQ43" s="736"/>
      <c r="AR43" s="736"/>
      <c r="AS43" s="736"/>
      <c r="AT43" s="736"/>
      <c r="AU43" s="736"/>
      <c r="AV43" s="736"/>
      <c r="AW43" s="736"/>
      <c r="AX43" s="736"/>
      <c r="AY43" s="736"/>
      <c r="AZ43" s="736"/>
      <c r="BA43" s="736"/>
      <c r="BB43" s="736"/>
      <c r="BC43" s="736"/>
      <c r="BD43" s="736"/>
      <c r="BE43" s="736"/>
      <c r="BF43" s="736"/>
      <c r="BG43" s="736"/>
      <c r="BH43" s="736"/>
      <c r="BI43" s="736"/>
      <c r="BJ43" s="736"/>
      <c r="BK43" s="736"/>
      <c r="BL43" s="736"/>
    </row>
    <row r="44" spans="1:64" ht="18.75" x14ac:dyDescent="0.25">
      <c r="A44" s="758"/>
      <c r="B44" s="737"/>
      <c r="C44" s="730"/>
      <c r="D44" s="739"/>
      <c r="E44" s="765"/>
      <c r="F44" s="765"/>
      <c r="G44" s="765"/>
      <c r="H44" s="765"/>
      <c r="I44" s="746" t="str">
        <f t="shared" si="1"/>
        <v/>
      </c>
      <c r="J44" s="731"/>
      <c r="K44" s="731" t="str">
        <f t="shared" si="0"/>
        <v/>
      </c>
      <c r="L44" s="726"/>
      <c r="M44" s="726"/>
      <c r="N44" s="726"/>
      <c r="O44" s="726"/>
      <c r="P44" s="726"/>
      <c r="Q44" s="726"/>
      <c r="R44" s="726"/>
      <c r="S44" s="726"/>
      <c r="T44" s="726"/>
      <c r="U44" s="726"/>
      <c r="V44" s="726"/>
      <c r="W44" s="726"/>
      <c r="X44" s="726"/>
      <c r="Y44" s="726"/>
      <c r="Z44" s="726"/>
      <c r="AA44" s="732"/>
      <c r="AB44" s="732"/>
      <c r="AC44" s="732"/>
      <c r="AD44" s="732"/>
      <c r="AE44" s="733"/>
      <c r="AF44" s="734" t="str">
        <f t="shared" si="2"/>
        <v/>
      </c>
      <c r="AG44" s="774"/>
      <c r="AH44" s="778"/>
      <c r="AI44" s="736"/>
      <c r="AJ44" s="736"/>
      <c r="AK44" s="736"/>
      <c r="AL44" s="736"/>
      <c r="AM44" s="736"/>
      <c r="AN44" s="736"/>
      <c r="AO44" s="736"/>
      <c r="AP44" s="736"/>
      <c r="AQ44" s="736"/>
      <c r="AR44" s="736"/>
      <c r="AS44" s="736"/>
      <c r="AT44" s="736"/>
      <c r="AU44" s="736"/>
      <c r="AV44" s="736"/>
      <c r="AW44" s="736"/>
      <c r="AX44" s="736"/>
      <c r="AY44" s="736"/>
      <c r="AZ44" s="736"/>
      <c r="BA44" s="736"/>
      <c r="BB44" s="736"/>
      <c r="BC44" s="736"/>
      <c r="BD44" s="736"/>
      <c r="BE44" s="736"/>
      <c r="BF44" s="736"/>
      <c r="BG44" s="736"/>
      <c r="BH44" s="736"/>
      <c r="BI44" s="736"/>
      <c r="BJ44" s="736"/>
      <c r="BK44" s="736"/>
      <c r="BL44" s="736"/>
    </row>
    <row r="45" spans="1:64" ht="18.75" x14ac:dyDescent="0.25">
      <c r="A45" s="758"/>
      <c r="B45" s="737"/>
      <c r="C45" s="730"/>
      <c r="D45" s="739"/>
      <c r="E45" s="765"/>
      <c r="F45" s="765"/>
      <c r="G45" s="765"/>
      <c r="H45" s="765"/>
      <c r="I45" s="746" t="str">
        <f t="shared" si="1"/>
        <v/>
      </c>
      <c r="J45" s="731"/>
      <c r="K45" s="731" t="str">
        <f t="shared" si="0"/>
        <v/>
      </c>
      <c r="L45" s="726"/>
      <c r="M45" s="726"/>
      <c r="N45" s="726"/>
      <c r="O45" s="726"/>
      <c r="P45" s="726"/>
      <c r="Q45" s="726"/>
      <c r="R45" s="726"/>
      <c r="S45" s="726"/>
      <c r="T45" s="726"/>
      <c r="U45" s="726"/>
      <c r="V45" s="726"/>
      <c r="W45" s="726"/>
      <c r="X45" s="726"/>
      <c r="Y45" s="726"/>
      <c r="Z45" s="726"/>
      <c r="AA45" s="732"/>
      <c r="AB45" s="732"/>
      <c r="AC45" s="732"/>
      <c r="AD45" s="732"/>
      <c r="AE45" s="733"/>
      <c r="AF45" s="734" t="str">
        <f t="shared" si="2"/>
        <v/>
      </c>
      <c r="AG45" s="773"/>
    </row>
    <row r="46" spans="1:64" ht="18.75" x14ac:dyDescent="0.25">
      <c r="A46" s="758"/>
      <c r="B46" s="737"/>
      <c r="C46" s="730"/>
      <c r="D46" s="739"/>
      <c r="E46" s="765"/>
      <c r="F46" s="765"/>
      <c r="G46" s="765"/>
      <c r="H46" s="765"/>
      <c r="I46" s="746" t="str">
        <f t="shared" si="1"/>
        <v/>
      </c>
      <c r="J46" s="731"/>
      <c r="K46" s="731" t="str">
        <f t="shared" si="0"/>
        <v/>
      </c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732"/>
      <c r="AB46" s="732"/>
      <c r="AC46" s="732"/>
      <c r="AD46" s="732"/>
      <c r="AE46" s="733"/>
      <c r="AF46" s="734" t="str">
        <f t="shared" si="2"/>
        <v/>
      </c>
      <c r="AG46" s="774"/>
      <c r="AH46" s="778"/>
      <c r="AI46" s="736"/>
      <c r="AJ46" s="736"/>
      <c r="AK46" s="736"/>
      <c r="AL46" s="736"/>
      <c r="AM46" s="736"/>
      <c r="AN46" s="736"/>
      <c r="AO46" s="736"/>
      <c r="AP46" s="736"/>
      <c r="AQ46" s="736"/>
      <c r="AR46" s="736"/>
      <c r="AS46" s="736"/>
      <c r="AT46" s="736"/>
      <c r="AU46" s="736"/>
      <c r="AV46" s="736"/>
      <c r="AW46" s="736"/>
      <c r="AX46" s="736"/>
      <c r="AY46" s="736"/>
      <c r="AZ46" s="736"/>
      <c r="BA46" s="736"/>
      <c r="BB46" s="736"/>
      <c r="BC46" s="736"/>
      <c r="BD46" s="736"/>
      <c r="BE46" s="736"/>
      <c r="BF46" s="736"/>
      <c r="BG46" s="736"/>
      <c r="BH46" s="736"/>
      <c r="BI46" s="736"/>
      <c r="BJ46" s="736"/>
      <c r="BK46" s="736"/>
      <c r="BL46" s="736"/>
    </row>
    <row r="47" spans="1:64" ht="18.75" x14ac:dyDescent="0.25">
      <c r="A47" s="758"/>
      <c r="B47" s="737"/>
      <c r="C47" s="730"/>
      <c r="D47" s="739"/>
      <c r="E47" s="765"/>
      <c r="F47" s="765"/>
      <c r="G47" s="765"/>
      <c r="H47" s="765"/>
      <c r="I47" s="746" t="str">
        <f t="shared" si="1"/>
        <v/>
      </c>
      <c r="J47" s="731"/>
      <c r="K47" s="731" t="str">
        <f t="shared" si="0"/>
        <v/>
      </c>
      <c r="L47" s="726"/>
      <c r="M47" s="726"/>
      <c r="N47" s="726"/>
      <c r="O47" s="726"/>
      <c r="P47" s="726"/>
      <c r="Q47" s="726"/>
      <c r="R47" s="726"/>
      <c r="S47" s="726"/>
      <c r="T47" s="726"/>
      <c r="U47" s="726"/>
      <c r="V47" s="726"/>
      <c r="W47" s="726"/>
      <c r="X47" s="726"/>
      <c r="Y47" s="726"/>
      <c r="Z47" s="726"/>
      <c r="AA47" s="732"/>
      <c r="AB47" s="732"/>
      <c r="AC47" s="732"/>
      <c r="AD47" s="732"/>
      <c r="AE47" s="733"/>
      <c r="AF47" s="734" t="str">
        <f t="shared" si="2"/>
        <v/>
      </c>
      <c r="AG47" s="774"/>
      <c r="AH47" s="778"/>
      <c r="AI47" s="736"/>
      <c r="AJ47" s="736"/>
      <c r="AK47" s="736"/>
      <c r="AL47" s="736"/>
      <c r="AM47" s="736"/>
      <c r="AN47" s="736"/>
      <c r="AO47" s="736"/>
      <c r="AP47" s="736"/>
      <c r="AQ47" s="736"/>
      <c r="AR47" s="736"/>
      <c r="AS47" s="736"/>
      <c r="AT47" s="736"/>
      <c r="AU47" s="736"/>
      <c r="AV47" s="736"/>
      <c r="AW47" s="736"/>
      <c r="AX47" s="736"/>
      <c r="AY47" s="736"/>
      <c r="AZ47" s="736"/>
      <c r="BA47" s="736"/>
      <c r="BB47" s="736"/>
      <c r="BC47" s="736"/>
      <c r="BD47" s="736"/>
      <c r="BE47" s="736"/>
      <c r="BF47" s="736"/>
      <c r="BG47" s="736"/>
      <c r="BH47" s="736"/>
      <c r="BI47" s="736"/>
      <c r="BJ47" s="736"/>
      <c r="BK47" s="736"/>
      <c r="BL47" s="736"/>
    </row>
    <row r="48" spans="1:64" ht="18.75" x14ac:dyDescent="0.25">
      <c r="A48" s="758"/>
      <c r="B48" s="737"/>
      <c r="C48" s="730"/>
      <c r="D48" s="739"/>
      <c r="E48" s="765"/>
      <c r="F48" s="765"/>
      <c r="G48" s="765"/>
      <c r="H48" s="765"/>
      <c r="I48" s="746" t="str">
        <f t="shared" si="1"/>
        <v/>
      </c>
      <c r="J48" s="731"/>
      <c r="K48" s="731" t="str">
        <f t="shared" si="0"/>
        <v/>
      </c>
      <c r="L48" s="726"/>
      <c r="M48" s="726"/>
      <c r="N48" s="726"/>
      <c r="O48" s="726"/>
      <c r="P48" s="726"/>
      <c r="Q48" s="726"/>
      <c r="R48" s="726"/>
      <c r="S48" s="726"/>
      <c r="T48" s="726"/>
      <c r="U48" s="726"/>
      <c r="V48" s="726"/>
      <c r="W48" s="726"/>
      <c r="X48" s="726"/>
      <c r="Y48" s="726"/>
      <c r="Z48" s="726"/>
      <c r="AA48" s="732"/>
      <c r="AB48" s="732"/>
      <c r="AC48" s="732"/>
      <c r="AD48" s="732"/>
      <c r="AE48" s="733"/>
      <c r="AF48" s="734" t="str">
        <f t="shared" si="2"/>
        <v/>
      </c>
      <c r="AG48" s="774"/>
      <c r="AH48" s="778"/>
      <c r="AI48" s="736"/>
      <c r="AJ48" s="736"/>
      <c r="AK48" s="736"/>
      <c r="AL48" s="736"/>
      <c r="AM48" s="736"/>
      <c r="AN48" s="736"/>
      <c r="AO48" s="736"/>
      <c r="AP48" s="736"/>
      <c r="AQ48" s="736"/>
      <c r="AR48" s="736"/>
      <c r="AS48" s="736"/>
      <c r="AT48" s="736"/>
      <c r="AU48" s="736"/>
      <c r="AV48" s="736"/>
      <c r="AW48" s="736"/>
      <c r="AX48" s="736"/>
      <c r="AY48" s="736"/>
      <c r="AZ48" s="736"/>
      <c r="BA48" s="736"/>
      <c r="BB48" s="736"/>
      <c r="BC48" s="736"/>
      <c r="BD48" s="736"/>
      <c r="BE48" s="736"/>
      <c r="BF48" s="736"/>
      <c r="BG48" s="736"/>
      <c r="BH48" s="736"/>
      <c r="BI48" s="736"/>
      <c r="BJ48" s="736"/>
      <c r="BK48" s="736"/>
      <c r="BL48" s="736"/>
    </row>
    <row r="49" spans="1:64" ht="18.75" x14ac:dyDescent="0.25">
      <c r="A49" s="758"/>
      <c r="B49" s="737"/>
      <c r="C49" s="730"/>
      <c r="D49" s="739"/>
      <c r="E49" s="765"/>
      <c r="F49" s="765"/>
      <c r="G49" s="765"/>
      <c r="H49" s="765"/>
      <c r="I49" s="746" t="str">
        <f t="shared" si="1"/>
        <v/>
      </c>
      <c r="J49" s="731"/>
      <c r="K49" s="731" t="str">
        <f t="shared" si="0"/>
        <v/>
      </c>
      <c r="L49" s="726"/>
      <c r="M49" s="726"/>
      <c r="N49" s="726"/>
      <c r="O49" s="726"/>
      <c r="P49" s="726"/>
      <c r="Q49" s="726"/>
      <c r="R49" s="726"/>
      <c r="S49" s="726"/>
      <c r="T49" s="726"/>
      <c r="U49" s="726"/>
      <c r="V49" s="726"/>
      <c r="W49" s="726"/>
      <c r="X49" s="726"/>
      <c r="Y49" s="726"/>
      <c r="Z49" s="726"/>
      <c r="AA49" s="732"/>
      <c r="AB49" s="732"/>
      <c r="AC49" s="732"/>
      <c r="AD49" s="732"/>
      <c r="AE49" s="733"/>
      <c r="AF49" s="734" t="str">
        <f t="shared" si="2"/>
        <v/>
      </c>
      <c r="AG49" s="774"/>
      <c r="AH49" s="778"/>
      <c r="AI49" s="736"/>
      <c r="AJ49" s="736"/>
      <c r="AK49" s="736"/>
      <c r="AL49" s="736"/>
      <c r="AM49" s="736"/>
      <c r="AN49" s="736"/>
      <c r="AO49" s="736"/>
      <c r="AP49" s="736"/>
      <c r="AQ49" s="736"/>
      <c r="AR49" s="736"/>
      <c r="AS49" s="736"/>
      <c r="AT49" s="736"/>
      <c r="AU49" s="736"/>
      <c r="AV49" s="736"/>
      <c r="AW49" s="736"/>
      <c r="AX49" s="736"/>
      <c r="AY49" s="736"/>
      <c r="AZ49" s="736"/>
      <c r="BA49" s="736"/>
      <c r="BB49" s="736"/>
      <c r="BC49" s="736"/>
      <c r="BD49" s="736"/>
      <c r="BE49" s="736"/>
      <c r="BF49" s="736"/>
      <c r="BG49" s="736"/>
      <c r="BH49" s="736"/>
      <c r="BI49" s="736"/>
      <c r="BJ49" s="736"/>
      <c r="BK49" s="736"/>
      <c r="BL49" s="736"/>
    </row>
    <row r="50" spans="1:64" ht="18.75" x14ac:dyDescent="0.25">
      <c r="A50" s="758"/>
      <c r="B50" s="737"/>
      <c r="C50" s="730"/>
      <c r="D50" s="739"/>
      <c r="E50" s="765"/>
      <c r="F50" s="765"/>
      <c r="G50" s="765"/>
      <c r="H50" s="765"/>
      <c r="I50" s="746" t="str">
        <f t="shared" si="1"/>
        <v/>
      </c>
      <c r="J50" s="731"/>
      <c r="K50" s="731" t="str">
        <f t="shared" si="0"/>
        <v/>
      </c>
      <c r="L50" s="726"/>
      <c r="M50" s="726"/>
      <c r="N50" s="726"/>
      <c r="O50" s="726"/>
      <c r="P50" s="726"/>
      <c r="Q50" s="726"/>
      <c r="R50" s="726"/>
      <c r="S50" s="726"/>
      <c r="T50" s="726"/>
      <c r="U50" s="726"/>
      <c r="V50" s="726"/>
      <c r="W50" s="726"/>
      <c r="X50" s="726"/>
      <c r="Y50" s="726"/>
      <c r="Z50" s="726"/>
      <c r="AA50" s="732"/>
      <c r="AB50" s="732"/>
      <c r="AC50" s="732"/>
      <c r="AD50" s="732"/>
      <c r="AE50" s="733"/>
      <c r="AF50" s="734" t="str">
        <f t="shared" si="2"/>
        <v/>
      </c>
      <c r="AG50" s="774"/>
      <c r="AH50" s="778"/>
      <c r="AI50" s="736"/>
      <c r="AJ50" s="736"/>
      <c r="AK50" s="736"/>
      <c r="AL50" s="736"/>
      <c r="AM50" s="736"/>
      <c r="AN50" s="736"/>
      <c r="AO50" s="736"/>
      <c r="AP50" s="736"/>
      <c r="AQ50" s="736"/>
      <c r="AR50" s="736"/>
      <c r="AS50" s="736"/>
      <c r="AT50" s="736"/>
      <c r="AU50" s="736"/>
      <c r="AV50" s="736"/>
      <c r="AW50" s="736"/>
      <c r="AX50" s="736"/>
      <c r="AY50" s="736"/>
      <c r="AZ50" s="736"/>
      <c r="BA50" s="736"/>
      <c r="BB50" s="736"/>
      <c r="BC50" s="736"/>
      <c r="BD50" s="736"/>
      <c r="BE50" s="736"/>
      <c r="BF50" s="736"/>
      <c r="BG50" s="736"/>
      <c r="BH50" s="736"/>
      <c r="BI50" s="736"/>
      <c r="BJ50" s="736"/>
      <c r="BK50" s="736"/>
      <c r="BL50" s="736"/>
    </row>
    <row r="51" spans="1:64" ht="18.75" x14ac:dyDescent="0.25">
      <c r="A51" s="758"/>
      <c r="B51" s="737"/>
      <c r="C51" s="730"/>
      <c r="D51" s="739"/>
      <c r="E51" s="765"/>
      <c r="F51" s="765"/>
      <c r="G51" s="765"/>
      <c r="H51" s="765"/>
      <c r="I51" s="746" t="str">
        <f t="shared" si="1"/>
        <v/>
      </c>
      <c r="J51" s="731"/>
      <c r="K51" s="731" t="str">
        <f t="shared" si="0"/>
        <v/>
      </c>
      <c r="L51" s="726"/>
      <c r="M51" s="726"/>
      <c r="N51" s="726"/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  <c r="AA51" s="732"/>
      <c r="AB51" s="732"/>
      <c r="AC51" s="732"/>
      <c r="AD51" s="732"/>
      <c r="AE51" s="733"/>
      <c r="AF51" s="734" t="str">
        <f t="shared" si="2"/>
        <v/>
      </c>
      <c r="AG51" s="774"/>
      <c r="AH51" s="778"/>
      <c r="AI51" s="736"/>
      <c r="AJ51" s="736"/>
      <c r="AK51" s="736"/>
      <c r="AL51" s="736"/>
      <c r="AM51" s="736"/>
      <c r="AN51" s="736"/>
      <c r="AO51" s="736"/>
      <c r="AP51" s="736"/>
      <c r="AQ51" s="736"/>
      <c r="AR51" s="736"/>
      <c r="AS51" s="736"/>
      <c r="AT51" s="736"/>
      <c r="AU51" s="736"/>
      <c r="AV51" s="736"/>
      <c r="AW51" s="736"/>
      <c r="AX51" s="736"/>
      <c r="AY51" s="736"/>
      <c r="AZ51" s="736"/>
      <c r="BA51" s="736"/>
      <c r="BB51" s="736"/>
      <c r="BC51" s="736"/>
      <c r="BD51" s="736"/>
      <c r="BE51" s="736"/>
      <c r="BF51" s="736"/>
      <c r="BG51" s="736"/>
      <c r="BH51" s="736"/>
      <c r="BI51" s="736"/>
      <c r="BJ51" s="736"/>
      <c r="BK51" s="736"/>
      <c r="BL51" s="736"/>
    </row>
    <row r="52" spans="1:64" ht="18.75" x14ac:dyDescent="0.25">
      <c r="A52" s="758"/>
      <c r="B52" s="737"/>
      <c r="C52" s="730"/>
      <c r="D52" s="739"/>
      <c r="E52" s="765"/>
      <c r="F52" s="765"/>
      <c r="G52" s="765"/>
      <c r="H52" s="765"/>
      <c r="I52" s="746" t="str">
        <f t="shared" si="1"/>
        <v/>
      </c>
      <c r="J52" s="731"/>
      <c r="K52" s="731" t="str">
        <f t="shared" si="0"/>
        <v/>
      </c>
      <c r="L52" s="726"/>
      <c r="M52" s="726"/>
      <c r="N52" s="726"/>
      <c r="O52" s="726"/>
      <c r="P52" s="726"/>
      <c r="Q52" s="726"/>
      <c r="R52" s="726"/>
      <c r="S52" s="726"/>
      <c r="T52" s="726"/>
      <c r="U52" s="726"/>
      <c r="V52" s="726"/>
      <c r="W52" s="726"/>
      <c r="X52" s="726"/>
      <c r="Y52" s="726"/>
      <c r="Z52" s="726"/>
      <c r="AA52" s="732"/>
      <c r="AB52" s="732"/>
      <c r="AC52" s="732"/>
      <c r="AD52" s="732"/>
      <c r="AE52" s="733"/>
      <c r="AF52" s="734" t="str">
        <f t="shared" si="2"/>
        <v/>
      </c>
      <c r="AG52" s="773"/>
    </row>
    <row r="53" spans="1:64" ht="18.75" x14ac:dyDescent="0.25">
      <c r="A53" s="758"/>
      <c r="B53" s="737"/>
      <c r="C53" s="730"/>
      <c r="D53" s="739"/>
      <c r="E53" s="765"/>
      <c r="F53" s="765"/>
      <c r="G53" s="765"/>
      <c r="H53" s="765"/>
      <c r="I53" s="746" t="str">
        <f t="shared" si="1"/>
        <v/>
      </c>
      <c r="J53" s="731"/>
      <c r="K53" s="731" t="str">
        <f t="shared" si="0"/>
        <v/>
      </c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732"/>
      <c r="AB53" s="732"/>
      <c r="AC53" s="732"/>
      <c r="AD53" s="732"/>
      <c r="AE53" s="733"/>
      <c r="AF53" s="734" t="str">
        <f t="shared" si="2"/>
        <v/>
      </c>
      <c r="AG53" s="774"/>
      <c r="AH53" s="778"/>
      <c r="AI53" s="736"/>
      <c r="AJ53" s="736"/>
      <c r="AK53" s="736"/>
      <c r="AL53" s="736"/>
      <c r="AM53" s="736"/>
      <c r="AN53" s="736"/>
      <c r="AO53" s="736"/>
      <c r="AP53" s="736"/>
      <c r="AQ53" s="736"/>
      <c r="AR53" s="736"/>
      <c r="AS53" s="736"/>
      <c r="AT53" s="736"/>
      <c r="AU53" s="736"/>
      <c r="AV53" s="736"/>
      <c r="AW53" s="736"/>
      <c r="AX53" s="736"/>
      <c r="AY53" s="736"/>
      <c r="AZ53" s="736"/>
      <c r="BA53" s="736"/>
      <c r="BB53" s="736"/>
      <c r="BC53" s="736"/>
      <c r="BD53" s="736"/>
      <c r="BE53" s="736"/>
      <c r="BF53" s="736"/>
      <c r="BG53" s="736"/>
      <c r="BH53" s="736"/>
      <c r="BI53" s="736"/>
      <c r="BJ53" s="736"/>
      <c r="BK53" s="736"/>
      <c r="BL53" s="736"/>
    </row>
    <row r="54" spans="1:64" ht="18.75" x14ac:dyDescent="0.25">
      <c r="A54" s="758"/>
      <c r="B54" s="737"/>
      <c r="C54" s="730"/>
      <c r="D54" s="739"/>
      <c r="E54" s="765"/>
      <c r="F54" s="765"/>
      <c r="G54" s="765"/>
      <c r="H54" s="765"/>
      <c r="I54" s="746" t="str">
        <f t="shared" si="1"/>
        <v/>
      </c>
      <c r="J54" s="731"/>
      <c r="K54" s="731" t="str">
        <f t="shared" si="0"/>
        <v/>
      </c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732"/>
      <c r="AB54" s="732"/>
      <c r="AC54" s="732"/>
      <c r="AD54" s="732"/>
      <c r="AE54" s="733"/>
      <c r="AF54" s="734" t="str">
        <f t="shared" si="2"/>
        <v/>
      </c>
      <c r="AG54" s="773"/>
    </row>
    <row r="55" spans="1:64" ht="18.75" x14ac:dyDescent="0.25">
      <c r="A55" s="758"/>
      <c r="B55" s="737"/>
      <c r="C55" s="730"/>
      <c r="D55" s="739"/>
      <c r="E55" s="765"/>
      <c r="F55" s="765"/>
      <c r="G55" s="765"/>
      <c r="H55" s="765"/>
      <c r="I55" s="746" t="str">
        <f t="shared" si="1"/>
        <v/>
      </c>
      <c r="J55" s="731"/>
      <c r="K55" s="731" t="str">
        <f t="shared" si="0"/>
        <v/>
      </c>
      <c r="L55" s="726"/>
      <c r="M55" s="726"/>
      <c r="N55" s="726"/>
      <c r="O55" s="726"/>
      <c r="P55" s="726"/>
      <c r="Q55" s="726"/>
      <c r="R55" s="726"/>
      <c r="S55" s="726"/>
      <c r="T55" s="726"/>
      <c r="U55" s="726"/>
      <c r="V55" s="726"/>
      <c r="W55" s="726"/>
      <c r="X55" s="726"/>
      <c r="Y55" s="726"/>
      <c r="Z55" s="726"/>
      <c r="AA55" s="732"/>
      <c r="AB55" s="732"/>
      <c r="AC55" s="732"/>
      <c r="AD55" s="732"/>
      <c r="AE55" s="733"/>
      <c r="AF55" s="734" t="str">
        <f t="shared" si="2"/>
        <v/>
      </c>
      <c r="AG55" s="773"/>
    </row>
    <row r="56" spans="1:64" ht="18.75" x14ac:dyDescent="0.25">
      <c r="A56" s="758"/>
      <c r="B56" s="737"/>
      <c r="C56" s="730"/>
      <c r="D56" s="739"/>
      <c r="E56" s="765"/>
      <c r="F56" s="765"/>
      <c r="G56" s="765"/>
      <c r="H56" s="765"/>
      <c r="I56" s="746" t="str">
        <f t="shared" si="1"/>
        <v/>
      </c>
      <c r="J56" s="731"/>
      <c r="K56" s="731" t="str">
        <f t="shared" si="0"/>
        <v/>
      </c>
      <c r="L56" s="726"/>
      <c r="M56" s="726"/>
      <c r="N56" s="726"/>
      <c r="O56" s="726"/>
      <c r="P56" s="726"/>
      <c r="Q56" s="726"/>
      <c r="R56" s="726"/>
      <c r="S56" s="726"/>
      <c r="T56" s="726"/>
      <c r="U56" s="726"/>
      <c r="V56" s="726"/>
      <c r="W56" s="726"/>
      <c r="X56" s="726"/>
      <c r="Y56" s="726"/>
      <c r="Z56" s="726"/>
      <c r="AA56" s="732"/>
      <c r="AB56" s="732"/>
      <c r="AC56" s="732"/>
      <c r="AD56" s="732"/>
      <c r="AE56" s="733"/>
      <c r="AF56" s="734" t="str">
        <f t="shared" si="2"/>
        <v/>
      </c>
      <c r="AG56" s="774"/>
      <c r="AH56" s="778"/>
      <c r="AI56" s="736"/>
      <c r="AJ56" s="736"/>
      <c r="AK56" s="736"/>
      <c r="AL56" s="736"/>
      <c r="AM56" s="736"/>
      <c r="AN56" s="736"/>
      <c r="AO56" s="736"/>
      <c r="AP56" s="736"/>
      <c r="AQ56" s="736"/>
      <c r="AR56" s="736"/>
      <c r="AS56" s="736"/>
      <c r="AT56" s="736"/>
      <c r="AU56" s="736"/>
      <c r="AV56" s="736"/>
      <c r="AW56" s="736"/>
      <c r="AX56" s="736"/>
      <c r="AY56" s="736"/>
      <c r="AZ56" s="736"/>
      <c r="BA56" s="736"/>
      <c r="BB56" s="736"/>
      <c r="BC56" s="736"/>
      <c r="BD56" s="736"/>
      <c r="BE56" s="736"/>
      <c r="BF56" s="736"/>
      <c r="BG56" s="736"/>
      <c r="BH56" s="736"/>
      <c r="BI56" s="736"/>
      <c r="BJ56" s="736"/>
      <c r="BK56" s="736"/>
      <c r="BL56" s="736"/>
    </row>
    <row r="57" spans="1:64" ht="18.75" x14ac:dyDescent="0.25">
      <c r="A57" s="758"/>
      <c r="B57" s="737"/>
      <c r="C57" s="730"/>
      <c r="D57" s="739"/>
      <c r="E57" s="765"/>
      <c r="F57" s="765"/>
      <c r="G57" s="765"/>
      <c r="H57" s="765"/>
      <c r="I57" s="746" t="str">
        <f t="shared" si="1"/>
        <v/>
      </c>
      <c r="J57" s="731"/>
      <c r="K57" s="731" t="str">
        <f t="shared" si="0"/>
        <v/>
      </c>
      <c r="L57" s="726"/>
      <c r="M57" s="726"/>
      <c r="N57" s="726"/>
      <c r="O57" s="726"/>
      <c r="P57" s="726"/>
      <c r="Q57" s="726"/>
      <c r="R57" s="726"/>
      <c r="S57" s="726"/>
      <c r="T57" s="726"/>
      <c r="U57" s="726"/>
      <c r="V57" s="726"/>
      <c r="W57" s="726"/>
      <c r="X57" s="726"/>
      <c r="Y57" s="726"/>
      <c r="Z57" s="726"/>
      <c r="AA57" s="732"/>
      <c r="AB57" s="732"/>
      <c r="AC57" s="732"/>
      <c r="AD57" s="732"/>
      <c r="AE57" s="733"/>
      <c r="AF57" s="734" t="str">
        <f t="shared" si="2"/>
        <v/>
      </c>
      <c r="AG57" s="774"/>
      <c r="AH57" s="778"/>
      <c r="AI57" s="736"/>
      <c r="AJ57" s="736"/>
      <c r="AK57" s="736"/>
      <c r="AL57" s="736"/>
      <c r="AM57" s="736"/>
      <c r="AN57" s="736"/>
      <c r="AO57" s="736"/>
      <c r="AP57" s="736"/>
      <c r="AQ57" s="736"/>
      <c r="AR57" s="736"/>
      <c r="AS57" s="736"/>
      <c r="AT57" s="736"/>
      <c r="AU57" s="736"/>
      <c r="AV57" s="736"/>
      <c r="AW57" s="736"/>
      <c r="AX57" s="736"/>
      <c r="AY57" s="736"/>
      <c r="AZ57" s="736"/>
      <c r="BA57" s="736"/>
      <c r="BB57" s="736"/>
      <c r="BC57" s="736"/>
      <c r="BD57" s="736"/>
      <c r="BE57" s="736"/>
      <c r="BF57" s="736"/>
      <c r="BG57" s="736"/>
      <c r="BH57" s="736"/>
      <c r="BI57" s="736"/>
      <c r="BJ57" s="736"/>
      <c r="BK57" s="736"/>
      <c r="BL57" s="736"/>
    </row>
    <row r="58" spans="1:64" ht="18.75" x14ac:dyDescent="0.25">
      <c r="A58" s="758"/>
      <c r="B58" s="737"/>
      <c r="C58" s="730"/>
      <c r="D58" s="739"/>
      <c r="E58" s="765"/>
      <c r="F58" s="765"/>
      <c r="G58" s="765"/>
      <c r="H58" s="765"/>
      <c r="I58" s="746" t="str">
        <f t="shared" si="1"/>
        <v/>
      </c>
      <c r="J58" s="731"/>
      <c r="K58" s="731" t="str">
        <f t="shared" si="0"/>
        <v/>
      </c>
      <c r="L58" s="726"/>
      <c r="M58" s="726"/>
      <c r="N58" s="726"/>
      <c r="O58" s="726"/>
      <c r="P58" s="726"/>
      <c r="Q58" s="726"/>
      <c r="R58" s="726"/>
      <c r="S58" s="726"/>
      <c r="T58" s="726"/>
      <c r="U58" s="726"/>
      <c r="V58" s="726"/>
      <c r="W58" s="726"/>
      <c r="X58" s="726"/>
      <c r="Y58" s="726"/>
      <c r="Z58" s="726"/>
      <c r="AA58" s="732"/>
      <c r="AB58" s="732"/>
      <c r="AC58" s="732"/>
      <c r="AD58" s="732"/>
      <c r="AE58" s="733"/>
      <c r="AF58" s="734" t="str">
        <f t="shared" si="2"/>
        <v/>
      </c>
      <c r="AG58" s="774"/>
      <c r="AH58" s="778"/>
      <c r="AI58" s="736"/>
      <c r="AJ58" s="736"/>
      <c r="AK58" s="736"/>
      <c r="AL58" s="736"/>
      <c r="AM58" s="736"/>
      <c r="AN58" s="736"/>
      <c r="AO58" s="736"/>
      <c r="AP58" s="736"/>
      <c r="AQ58" s="736"/>
      <c r="AR58" s="736"/>
      <c r="AS58" s="736"/>
      <c r="AT58" s="736"/>
      <c r="AU58" s="736"/>
      <c r="AV58" s="736"/>
      <c r="AW58" s="736"/>
      <c r="AX58" s="736"/>
      <c r="AY58" s="736"/>
      <c r="AZ58" s="736"/>
      <c r="BA58" s="736"/>
      <c r="BB58" s="736"/>
      <c r="BC58" s="736"/>
      <c r="BD58" s="736"/>
      <c r="BE58" s="736"/>
      <c r="BF58" s="736"/>
      <c r="BG58" s="736"/>
      <c r="BH58" s="736"/>
      <c r="BI58" s="736"/>
      <c r="BJ58" s="736"/>
      <c r="BK58" s="736"/>
      <c r="BL58" s="736"/>
    </row>
    <row r="59" spans="1:64" ht="18.75" x14ac:dyDescent="0.25">
      <c r="A59" s="758"/>
      <c r="B59" s="737"/>
      <c r="C59" s="730"/>
      <c r="D59" s="739"/>
      <c r="E59" s="765"/>
      <c r="F59" s="765"/>
      <c r="G59" s="765"/>
      <c r="H59" s="765"/>
      <c r="I59" s="746" t="str">
        <f t="shared" si="1"/>
        <v/>
      </c>
      <c r="J59" s="731"/>
      <c r="K59" s="731" t="str">
        <f t="shared" si="0"/>
        <v/>
      </c>
      <c r="L59" s="726"/>
      <c r="M59" s="726"/>
      <c r="N59" s="726"/>
      <c r="O59" s="726"/>
      <c r="P59" s="726"/>
      <c r="Q59" s="726"/>
      <c r="R59" s="726"/>
      <c r="S59" s="726"/>
      <c r="T59" s="726"/>
      <c r="U59" s="726"/>
      <c r="V59" s="726"/>
      <c r="W59" s="726"/>
      <c r="X59" s="726"/>
      <c r="Y59" s="726"/>
      <c r="Z59" s="726"/>
      <c r="AA59" s="732"/>
      <c r="AB59" s="732"/>
      <c r="AC59" s="732"/>
      <c r="AD59" s="732"/>
      <c r="AE59" s="733"/>
      <c r="AF59" s="734" t="str">
        <f t="shared" si="2"/>
        <v/>
      </c>
      <c r="AG59" s="773"/>
    </row>
    <row r="60" spans="1:64" ht="18.75" x14ac:dyDescent="0.25">
      <c r="A60" s="758"/>
      <c r="B60" s="737"/>
      <c r="C60" s="730"/>
      <c r="D60" s="739"/>
      <c r="E60" s="765"/>
      <c r="F60" s="765"/>
      <c r="G60" s="765"/>
      <c r="H60" s="765"/>
      <c r="I60" s="746" t="str">
        <f t="shared" si="1"/>
        <v/>
      </c>
      <c r="J60" s="731"/>
      <c r="K60" s="731" t="str">
        <f t="shared" si="0"/>
        <v/>
      </c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6"/>
      <c r="W60" s="726"/>
      <c r="X60" s="726"/>
      <c r="Y60" s="726"/>
      <c r="Z60" s="726"/>
      <c r="AA60" s="732"/>
      <c r="AB60" s="732"/>
      <c r="AC60" s="732"/>
      <c r="AD60" s="732"/>
      <c r="AE60" s="733"/>
      <c r="AF60" s="734" t="str">
        <f t="shared" si="2"/>
        <v/>
      </c>
      <c r="AG60" s="773"/>
    </row>
    <row r="61" spans="1:64" ht="18.75" x14ac:dyDescent="0.25">
      <c r="A61" s="758"/>
      <c r="B61" s="737"/>
      <c r="C61" s="730"/>
      <c r="D61" s="739"/>
      <c r="E61" s="765"/>
      <c r="F61" s="765"/>
      <c r="G61" s="765"/>
      <c r="H61" s="765"/>
      <c r="I61" s="746" t="str">
        <f t="shared" si="1"/>
        <v/>
      </c>
      <c r="J61" s="731"/>
      <c r="K61" s="731" t="str">
        <f t="shared" si="0"/>
        <v/>
      </c>
      <c r="L61" s="726"/>
      <c r="M61" s="726"/>
      <c r="N61" s="726"/>
      <c r="O61" s="726"/>
      <c r="P61" s="726"/>
      <c r="Q61" s="726"/>
      <c r="R61" s="726"/>
      <c r="S61" s="726"/>
      <c r="T61" s="726"/>
      <c r="U61" s="726"/>
      <c r="V61" s="726"/>
      <c r="W61" s="726"/>
      <c r="X61" s="726"/>
      <c r="Y61" s="726"/>
      <c r="Z61" s="726"/>
      <c r="AA61" s="732"/>
      <c r="AB61" s="732"/>
      <c r="AC61" s="732"/>
      <c r="AD61" s="732"/>
      <c r="AE61" s="733"/>
      <c r="AF61" s="734" t="str">
        <f t="shared" si="2"/>
        <v/>
      </c>
      <c r="AG61" s="773"/>
    </row>
    <row r="62" spans="1:64" ht="18.75" x14ac:dyDescent="0.25">
      <c r="A62" s="758"/>
      <c r="B62" s="737"/>
      <c r="C62" s="730"/>
      <c r="D62" s="739"/>
      <c r="E62" s="765"/>
      <c r="F62" s="765"/>
      <c r="G62" s="765"/>
      <c r="H62" s="765"/>
      <c r="I62" s="746" t="str">
        <f t="shared" si="1"/>
        <v/>
      </c>
      <c r="J62" s="731"/>
      <c r="K62" s="731" t="str">
        <f t="shared" si="0"/>
        <v/>
      </c>
      <c r="L62" s="726"/>
      <c r="M62" s="726"/>
      <c r="N62" s="726"/>
      <c r="O62" s="726"/>
      <c r="P62" s="726"/>
      <c r="Q62" s="726"/>
      <c r="R62" s="726"/>
      <c r="S62" s="726"/>
      <c r="T62" s="726"/>
      <c r="U62" s="726"/>
      <c r="V62" s="726"/>
      <c r="W62" s="726"/>
      <c r="X62" s="726"/>
      <c r="Y62" s="726"/>
      <c r="Z62" s="726"/>
      <c r="AA62" s="732"/>
      <c r="AB62" s="732"/>
      <c r="AC62" s="732"/>
      <c r="AD62" s="732"/>
      <c r="AE62" s="733"/>
      <c r="AF62" s="734" t="str">
        <f t="shared" si="2"/>
        <v/>
      </c>
      <c r="AG62" s="774"/>
      <c r="AH62" s="778"/>
      <c r="AI62" s="736"/>
      <c r="AJ62" s="736"/>
      <c r="AK62" s="736"/>
      <c r="AL62" s="736"/>
      <c r="AM62" s="736"/>
      <c r="AN62" s="736"/>
      <c r="AO62" s="736"/>
      <c r="AP62" s="736"/>
      <c r="AQ62" s="736"/>
      <c r="AR62" s="736"/>
      <c r="AS62" s="736"/>
      <c r="AT62" s="736"/>
      <c r="AU62" s="736"/>
      <c r="AV62" s="736"/>
      <c r="AW62" s="736"/>
      <c r="AX62" s="736"/>
      <c r="AY62" s="736"/>
      <c r="AZ62" s="736"/>
      <c r="BA62" s="736"/>
      <c r="BB62" s="736"/>
      <c r="BC62" s="736"/>
      <c r="BD62" s="736"/>
      <c r="BE62" s="736"/>
      <c r="BF62" s="736"/>
      <c r="BG62" s="736"/>
      <c r="BH62" s="736"/>
      <c r="BI62" s="736"/>
      <c r="BJ62" s="736"/>
      <c r="BK62" s="736"/>
      <c r="BL62" s="736"/>
    </row>
    <row r="63" spans="1:64" ht="18.75" x14ac:dyDescent="0.25">
      <c r="A63" s="758"/>
      <c r="B63" s="737"/>
      <c r="C63" s="730"/>
      <c r="D63" s="739"/>
      <c r="E63" s="765"/>
      <c r="F63" s="765"/>
      <c r="G63" s="765"/>
      <c r="H63" s="765"/>
      <c r="I63" s="746" t="str">
        <f t="shared" si="1"/>
        <v/>
      </c>
      <c r="J63" s="731"/>
      <c r="K63" s="731" t="str">
        <f t="shared" si="0"/>
        <v/>
      </c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Y63" s="726"/>
      <c r="Z63" s="726"/>
      <c r="AA63" s="732"/>
      <c r="AB63" s="732"/>
      <c r="AC63" s="732"/>
      <c r="AD63" s="732"/>
      <c r="AE63" s="733"/>
      <c r="AF63" s="734" t="str">
        <f t="shared" si="2"/>
        <v/>
      </c>
      <c r="AG63" s="773"/>
    </row>
    <row r="64" spans="1:64" ht="18.75" x14ac:dyDescent="0.25">
      <c r="A64" s="758"/>
      <c r="B64" s="737"/>
      <c r="C64" s="730"/>
      <c r="D64" s="739"/>
      <c r="E64" s="765"/>
      <c r="F64" s="765"/>
      <c r="G64" s="765"/>
      <c r="H64" s="765"/>
      <c r="I64" s="746" t="str">
        <f t="shared" si="1"/>
        <v/>
      </c>
      <c r="J64" s="731"/>
      <c r="K64" s="731" t="str">
        <f t="shared" si="0"/>
        <v/>
      </c>
      <c r="L64" s="726"/>
      <c r="M64" s="726"/>
      <c r="N64" s="726"/>
      <c r="O64" s="726"/>
      <c r="P64" s="726"/>
      <c r="Q64" s="726"/>
      <c r="R64" s="726"/>
      <c r="S64" s="726"/>
      <c r="T64" s="726"/>
      <c r="U64" s="726"/>
      <c r="V64" s="726"/>
      <c r="W64" s="726"/>
      <c r="X64" s="726"/>
      <c r="Y64" s="726"/>
      <c r="Z64" s="726"/>
      <c r="AA64" s="732"/>
      <c r="AB64" s="732"/>
      <c r="AC64" s="732"/>
      <c r="AD64" s="732"/>
      <c r="AE64" s="733"/>
      <c r="AF64" s="734" t="str">
        <f t="shared" si="2"/>
        <v/>
      </c>
      <c r="AG64" s="773"/>
    </row>
    <row r="65" spans="1:64" ht="18.75" x14ac:dyDescent="0.25">
      <c r="A65" s="758"/>
      <c r="B65" s="737"/>
      <c r="C65" s="730"/>
      <c r="D65" s="739"/>
      <c r="E65" s="765"/>
      <c r="F65" s="765"/>
      <c r="G65" s="765"/>
      <c r="H65" s="765"/>
      <c r="I65" s="746" t="str">
        <f t="shared" si="1"/>
        <v/>
      </c>
      <c r="J65" s="731"/>
      <c r="K65" s="731" t="str">
        <f t="shared" si="0"/>
        <v/>
      </c>
      <c r="L65" s="726"/>
      <c r="M65" s="726"/>
      <c r="N65" s="726"/>
      <c r="O65" s="726"/>
      <c r="P65" s="726"/>
      <c r="Q65" s="726"/>
      <c r="R65" s="726"/>
      <c r="S65" s="726"/>
      <c r="T65" s="726"/>
      <c r="U65" s="726"/>
      <c r="V65" s="726"/>
      <c r="W65" s="726"/>
      <c r="X65" s="726"/>
      <c r="Y65" s="726"/>
      <c r="Z65" s="726"/>
      <c r="AA65" s="732"/>
      <c r="AB65" s="732"/>
      <c r="AC65" s="732"/>
      <c r="AD65" s="732"/>
      <c r="AE65" s="733"/>
      <c r="AF65" s="734" t="str">
        <f t="shared" si="2"/>
        <v/>
      </c>
      <c r="AG65" s="773"/>
    </row>
    <row r="66" spans="1:64" ht="18.75" x14ac:dyDescent="0.25">
      <c r="A66" s="758"/>
      <c r="B66" s="737"/>
      <c r="C66" s="730"/>
      <c r="D66" s="739"/>
      <c r="E66" s="765"/>
      <c r="F66" s="765"/>
      <c r="G66" s="765"/>
      <c r="H66" s="765"/>
      <c r="I66" s="746" t="str">
        <f t="shared" si="1"/>
        <v/>
      </c>
      <c r="J66" s="731"/>
      <c r="K66" s="731" t="str">
        <f t="shared" si="0"/>
        <v/>
      </c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732"/>
      <c r="AB66" s="732"/>
      <c r="AC66" s="732"/>
      <c r="AD66" s="732"/>
      <c r="AE66" s="733"/>
      <c r="AF66" s="734" t="str">
        <f t="shared" si="2"/>
        <v/>
      </c>
      <c r="AG66" s="773"/>
    </row>
    <row r="67" spans="1:64" ht="18.75" x14ac:dyDescent="0.25">
      <c r="A67" s="758"/>
      <c r="B67" s="737"/>
      <c r="C67" s="730"/>
      <c r="D67" s="739"/>
      <c r="E67" s="765"/>
      <c r="F67" s="765"/>
      <c r="G67" s="765"/>
      <c r="H67" s="765"/>
      <c r="I67" s="746" t="str">
        <f t="shared" si="1"/>
        <v/>
      </c>
      <c r="J67" s="731"/>
      <c r="K67" s="731" t="str">
        <f t="shared" si="0"/>
        <v/>
      </c>
      <c r="L67" s="726"/>
      <c r="M67" s="726"/>
      <c r="N67" s="726"/>
      <c r="O67" s="726"/>
      <c r="P67" s="726"/>
      <c r="Q67" s="726"/>
      <c r="R67" s="726"/>
      <c r="S67" s="726"/>
      <c r="T67" s="726"/>
      <c r="U67" s="726"/>
      <c r="V67" s="726"/>
      <c r="W67" s="726"/>
      <c r="X67" s="726"/>
      <c r="Y67" s="726"/>
      <c r="Z67" s="726"/>
      <c r="AA67" s="732"/>
      <c r="AB67" s="732"/>
      <c r="AC67" s="732"/>
      <c r="AD67" s="732"/>
      <c r="AE67" s="733"/>
      <c r="AF67" s="734" t="str">
        <f t="shared" si="2"/>
        <v/>
      </c>
      <c r="AG67" s="773"/>
    </row>
    <row r="68" spans="1:64" ht="18.75" x14ac:dyDescent="0.25">
      <c r="A68" s="758"/>
      <c r="B68" s="737"/>
      <c r="C68" s="730"/>
      <c r="D68" s="739"/>
      <c r="E68" s="765"/>
      <c r="F68" s="765"/>
      <c r="G68" s="765"/>
      <c r="H68" s="765"/>
      <c r="I68" s="746" t="str">
        <f t="shared" si="1"/>
        <v/>
      </c>
      <c r="J68" s="731"/>
      <c r="K68" s="731" t="str">
        <f t="shared" ref="K68:K131" si="3">IF(AA68-AE68 = 0,"",AA68-AE68)</f>
        <v/>
      </c>
      <c r="L68" s="726"/>
      <c r="M68" s="726"/>
      <c r="N68" s="726"/>
      <c r="O68" s="726"/>
      <c r="P68" s="726"/>
      <c r="Q68" s="726"/>
      <c r="R68" s="726"/>
      <c r="S68" s="726"/>
      <c r="T68" s="726"/>
      <c r="U68" s="726"/>
      <c r="V68" s="726"/>
      <c r="W68" s="726"/>
      <c r="X68" s="726"/>
      <c r="Y68" s="726"/>
      <c r="Z68" s="726"/>
      <c r="AA68" s="732"/>
      <c r="AB68" s="732"/>
      <c r="AC68" s="732"/>
      <c r="AD68" s="732"/>
      <c r="AE68" s="733"/>
      <c r="AF68" s="734" t="str">
        <f t="shared" si="2"/>
        <v/>
      </c>
      <c r="AG68" s="773"/>
    </row>
    <row r="69" spans="1:64" ht="18.75" x14ac:dyDescent="0.25">
      <c r="A69" s="758"/>
      <c r="B69" s="737"/>
      <c r="C69" s="730"/>
      <c r="D69" s="739"/>
      <c r="E69" s="765"/>
      <c r="F69" s="765"/>
      <c r="G69" s="765"/>
      <c r="H69" s="765"/>
      <c r="I69" s="746" t="str">
        <f t="shared" ref="I69:I132" si="4">AF69</f>
        <v/>
      </c>
      <c r="J69" s="731"/>
      <c r="K69" s="731" t="str">
        <f t="shared" si="3"/>
        <v/>
      </c>
      <c r="L69" s="726"/>
      <c r="M69" s="726"/>
      <c r="N69" s="726"/>
      <c r="O69" s="726"/>
      <c r="P69" s="726"/>
      <c r="Q69" s="726"/>
      <c r="R69" s="726"/>
      <c r="S69" s="726"/>
      <c r="T69" s="726"/>
      <c r="U69" s="726"/>
      <c r="V69" s="726"/>
      <c r="W69" s="726"/>
      <c r="X69" s="726"/>
      <c r="Y69" s="726"/>
      <c r="Z69" s="726"/>
      <c r="AA69" s="732"/>
      <c r="AB69" s="732"/>
      <c r="AC69" s="732"/>
      <c r="AD69" s="732"/>
      <c r="AE69" s="733"/>
      <c r="AF69" s="734" t="str">
        <f t="shared" ref="AF69:AF132" si="5">IF(AE69 &lt;&gt;"", AE69/AA69,"")</f>
        <v/>
      </c>
      <c r="AG69" s="773"/>
    </row>
    <row r="70" spans="1:64" ht="18.75" x14ac:dyDescent="0.25">
      <c r="A70" s="758"/>
      <c r="B70" s="737"/>
      <c r="C70" s="730"/>
      <c r="D70" s="739"/>
      <c r="E70" s="765"/>
      <c r="F70" s="765"/>
      <c r="G70" s="765"/>
      <c r="H70" s="765"/>
      <c r="I70" s="746" t="str">
        <f t="shared" si="4"/>
        <v/>
      </c>
      <c r="J70" s="731"/>
      <c r="K70" s="731" t="str">
        <f t="shared" si="3"/>
        <v/>
      </c>
      <c r="L70" s="726"/>
      <c r="M70" s="726"/>
      <c r="N70" s="726"/>
      <c r="O70" s="726"/>
      <c r="P70" s="726"/>
      <c r="Q70" s="726"/>
      <c r="R70" s="726"/>
      <c r="S70" s="726"/>
      <c r="T70" s="726"/>
      <c r="U70" s="726"/>
      <c r="V70" s="726"/>
      <c r="W70" s="726"/>
      <c r="X70" s="726"/>
      <c r="Y70" s="726"/>
      <c r="Z70" s="726"/>
      <c r="AA70" s="732"/>
      <c r="AB70" s="732"/>
      <c r="AC70" s="732"/>
      <c r="AD70" s="732"/>
      <c r="AE70" s="733"/>
      <c r="AF70" s="734" t="str">
        <f t="shared" si="5"/>
        <v/>
      </c>
      <c r="AG70" s="773"/>
    </row>
    <row r="71" spans="1:64" ht="18.75" x14ac:dyDescent="0.25">
      <c r="A71" s="758"/>
      <c r="B71" s="737"/>
      <c r="C71" s="730"/>
      <c r="D71" s="739"/>
      <c r="E71" s="765"/>
      <c r="F71" s="765"/>
      <c r="G71" s="765"/>
      <c r="H71" s="765"/>
      <c r="I71" s="746" t="str">
        <f t="shared" si="4"/>
        <v/>
      </c>
      <c r="J71" s="731"/>
      <c r="K71" s="731" t="str">
        <f t="shared" si="3"/>
        <v/>
      </c>
      <c r="L71" s="726"/>
      <c r="M71" s="726"/>
      <c r="N71" s="726"/>
      <c r="O71" s="726"/>
      <c r="P71" s="726"/>
      <c r="Q71" s="726"/>
      <c r="R71" s="726"/>
      <c r="S71" s="726"/>
      <c r="T71" s="726"/>
      <c r="U71" s="726"/>
      <c r="V71" s="726"/>
      <c r="W71" s="726"/>
      <c r="X71" s="726"/>
      <c r="Y71" s="726"/>
      <c r="Z71" s="726"/>
      <c r="AA71" s="732"/>
      <c r="AB71" s="732"/>
      <c r="AC71" s="732"/>
      <c r="AD71" s="732"/>
      <c r="AE71" s="733"/>
      <c r="AF71" s="734" t="str">
        <f t="shared" si="5"/>
        <v/>
      </c>
      <c r="AG71" s="773"/>
    </row>
    <row r="72" spans="1:64" ht="18.75" x14ac:dyDescent="0.25">
      <c r="A72" s="758"/>
      <c r="B72" s="737"/>
      <c r="C72" s="730"/>
      <c r="D72" s="739"/>
      <c r="E72" s="765"/>
      <c r="F72" s="765"/>
      <c r="G72" s="765"/>
      <c r="H72" s="765"/>
      <c r="I72" s="746" t="str">
        <f t="shared" si="4"/>
        <v/>
      </c>
      <c r="J72" s="731"/>
      <c r="K72" s="731" t="str">
        <f t="shared" si="3"/>
        <v/>
      </c>
      <c r="L72" s="726"/>
      <c r="M72" s="726"/>
      <c r="N72" s="726"/>
      <c r="O72" s="726"/>
      <c r="P72" s="726"/>
      <c r="Q72" s="726"/>
      <c r="R72" s="726"/>
      <c r="S72" s="726"/>
      <c r="T72" s="726"/>
      <c r="U72" s="726"/>
      <c r="V72" s="726"/>
      <c r="W72" s="726"/>
      <c r="X72" s="726"/>
      <c r="Y72" s="726"/>
      <c r="Z72" s="726"/>
      <c r="AA72" s="732"/>
      <c r="AB72" s="732"/>
      <c r="AC72" s="732"/>
      <c r="AD72" s="732"/>
      <c r="AE72" s="733"/>
      <c r="AF72" s="734" t="str">
        <f t="shared" si="5"/>
        <v/>
      </c>
      <c r="AG72" s="773"/>
    </row>
    <row r="73" spans="1:64" ht="18.75" x14ac:dyDescent="0.25">
      <c r="A73" s="758"/>
      <c r="B73" s="737"/>
      <c r="C73" s="730"/>
      <c r="D73" s="739"/>
      <c r="E73" s="765"/>
      <c r="F73" s="765"/>
      <c r="G73" s="765"/>
      <c r="H73" s="765"/>
      <c r="I73" s="746" t="str">
        <f t="shared" si="4"/>
        <v/>
      </c>
      <c r="J73" s="731"/>
      <c r="K73" s="731" t="str">
        <f t="shared" si="3"/>
        <v/>
      </c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6"/>
      <c r="W73" s="726"/>
      <c r="X73" s="726"/>
      <c r="Y73" s="726"/>
      <c r="Z73" s="726"/>
      <c r="AA73" s="732"/>
      <c r="AB73" s="732"/>
      <c r="AC73" s="732"/>
      <c r="AD73" s="732"/>
      <c r="AE73" s="733"/>
      <c r="AF73" s="734" t="str">
        <f t="shared" si="5"/>
        <v/>
      </c>
      <c r="AG73" s="773"/>
    </row>
    <row r="74" spans="1:64" ht="19.5" customHeight="1" x14ac:dyDescent="0.25">
      <c r="A74" s="758"/>
      <c r="B74" s="737"/>
      <c r="C74" s="730"/>
      <c r="D74" s="739"/>
      <c r="E74" s="765"/>
      <c r="F74" s="765"/>
      <c r="G74" s="765"/>
      <c r="H74" s="765"/>
      <c r="I74" s="746" t="str">
        <f t="shared" si="4"/>
        <v/>
      </c>
      <c r="J74" s="731"/>
      <c r="K74" s="731" t="str">
        <f t="shared" si="3"/>
        <v/>
      </c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732"/>
      <c r="AB74" s="732"/>
      <c r="AC74" s="732"/>
      <c r="AD74" s="732"/>
      <c r="AE74" s="733"/>
      <c r="AF74" s="734" t="str">
        <f t="shared" si="5"/>
        <v/>
      </c>
      <c r="AG74" s="773"/>
    </row>
    <row r="75" spans="1:64" ht="18.75" x14ac:dyDescent="0.25">
      <c r="A75" s="758"/>
      <c r="B75" s="737"/>
      <c r="C75" s="730"/>
      <c r="D75" s="739"/>
      <c r="E75" s="765"/>
      <c r="F75" s="765"/>
      <c r="G75" s="765"/>
      <c r="H75" s="765"/>
      <c r="I75" s="746" t="str">
        <f t="shared" si="4"/>
        <v/>
      </c>
      <c r="J75" s="731"/>
      <c r="K75" s="731" t="str">
        <f t="shared" si="3"/>
        <v/>
      </c>
      <c r="L75" s="726"/>
      <c r="M75" s="726"/>
      <c r="N75" s="726"/>
      <c r="O75" s="726"/>
      <c r="P75" s="726"/>
      <c r="Q75" s="726"/>
      <c r="R75" s="726"/>
      <c r="S75" s="726"/>
      <c r="T75" s="726"/>
      <c r="U75" s="726"/>
      <c r="V75" s="726"/>
      <c r="W75" s="726"/>
      <c r="X75" s="726"/>
      <c r="Y75" s="726"/>
      <c r="Z75" s="726"/>
      <c r="AA75" s="732"/>
      <c r="AB75" s="732"/>
      <c r="AC75" s="732"/>
      <c r="AD75" s="732"/>
      <c r="AE75" s="733"/>
      <c r="AF75" s="734" t="str">
        <f t="shared" si="5"/>
        <v/>
      </c>
      <c r="AG75" s="773"/>
    </row>
    <row r="76" spans="1:64" ht="18.75" x14ac:dyDescent="0.25">
      <c r="A76" s="758"/>
      <c r="B76" s="737"/>
      <c r="C76" s="730"/>
      <c r="D76" s="739"/>
      <c r="E76" s="765"/>
      <c r="F76" s="765"/>
      <c r="G76" s="765"/>
      <c r="H76" s="765"/>
      <c r="I76" s="746" t="str">
        <f t="shared" si="4"/>
        <v/>
      </c>
      <c r="J76" s="731"/>
      <c r="K76" s="731" t="str">
        <f t="shared" si="3"/>
        <v/>
      </c>
      <c r="L76" s="726"/>
      <c r="M76" s="726"/>
      <c r="N76" s="726"/>
      <c r="O76" s="726"/>
      <c r="P76" s="726"/>
      <c r="Q76" s="726"/>
      <c r="R76" s="726"/>
      <c r="S76" s="726"/>
      <c r="T76" s="726"/>
      <c r="U76" s="726"/>
      <c r="V76" s="726"/>
      <c r="W76" s="726"/>
      <c r="X76" s="726"/>
      <c r="Y76" s="726"/>
      <c r="Z76" s="726"/>
      <c r="AA76" s="732"/>
      <c r="AB76" s="732"/>
      <c r="AC76" s="732"/>
      <c r="AD76" s="732"/>
      <c r="AE76" s="733"/>
      <c r="AF76" s="734" t="str">
        <f t="shared" si="5"/>
        <v/>
      </c>
      <c r="AG76" s="773"/>
    </row>
    <row r="77" spans="1:64" ht="19.5" customHeight="1" x14ac:dyDescent="0.25">
      <c r="A77" s="758"/>
      <c r="B77" s="737"/>
      <c r="C77" s="730"/>
      <c r="D77" s="739"/>
      <c r="E77" s="765"/>
      <c r="F77" s="765"/>
      <c r="G77" s="765"/>
      <c r="H77" s="765"/>
      <c r="I77" s="746" t="str">
        <f t="shared" si="4"/>
        <v/>
      </c>
      <c r="J77" s="731"/>
      <c r="K77" s="731" t="str">
        <f t="shared" si="3"/>
        <v/>
      </c>
      <c r="L77" s="726"/>
      <c r="M77" s="726"/>
      <c r="N77" s="726"/>
      <c r="O77" s="726"/>
      <c r="P77" s="726"/>
      <c r="Q77" s="726"/>
      <c r="R77" s="726"/>
      <c r="S77" s="726"/>
      <c r="T77" s="726"/>
      <c r="U77" s="726"/>
      <c r="V77" s="726"/>
      <c r="W77" s="726"/>
      <c r="X77" s="726"/>
      <c r="Y77" s="726"/>
      <c r="Z77" s="726"/>
      <c r="AA77" s="732"/>
      <c r="AB77" s="732"/>
      <c r="AC77" s="732"/>
      <c r="AD77" s="732"/>
      <c r="AE77" s="733"/>
      <c r="AF77" s="734" t="str">
        <f t="shared" si="5"/>
        <v/>
      </c>
      <c r="AG77" s="775"/>
      <c r="AH77" s="779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</row>
    <row r="78" spans="1:64" ht="19.5" customHeight="1" x14ac:dyDescent="0.25">
      <c r="A78" s="758"/>
      <c r="B78" s="737"/>
      <c r="C78" s="730"/>
      <c r="D78" s="739"/>
      <c r="E78" s="765"/>
      <c r="F78" s="765"/>
      <c r="G78" s="765"/>
      <c r="H78" s="765"/>
      <c r="I78" s="746" t="str">
        <f t="shared" si="4"/>
        <v/>
      </c>
      <c r="J78" s="731"/>
      <c r="K78" s="731" t="str">
        <f t="shared" si="3"/>
        <v/>
      </c>
      <c r="L78" s="726"/>
      <c r="M78" s="726"/>
      <c r="N78" s="726"/>
      <c r="O78" s="726"/>
      <c r="P78" s="726"/>
      <c r="Q78" s="726"/>
      <c r="R78" s="726"/>
      <c r="S78" s="726"/>
      <c r="T78" s="726"/>
      <c r="U78" s="726"/>
      <c r="V78" s="726"/>
      <c r="W78" s="726"/>
      <c r="X78" s="726"/>
      <c r="Y78" s="726"/>
      <c r="Z78" s="726"/>
      <c r="AA78" s="732"/>
      <c r="AB78" s="732"/>
      <c r="AC78" s="732"/>
      <c r="AD78" s="732"/>
      <c r="AE78" s="733"/>
      <c r="AF78" s="734" t="str">
        <f t="shared" si="5"/>
        <v/>
      </c>
      <c r="AG78" s="775"/>
      <c r="AH78" s="779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</row>
    <row r="79" spans="1:64" ht="18.75" x14ac:dyDescent="0.25">
      <c r="A79" s="758"/>
      <c r="B79" s="737"/>
      <c r="C79" s="730"/>
      <c r="D79" s="739"/>
      <c r="E79" s="765"/>
      <c r="F79" s="765"/>
      <c r="G79" s="765"/>
      <c r="H79" s="765"/>
      <c r="I79" s="746" t="str">
        <f t="shared" si="4"/>
        <v/>
      </c>
      <c r="J79" s="731"/>
      <c r="K79" s="731" t="str">
        <f t="shared" si="3"/>
        <v/>
      </c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732"/>
      <c r="AB79" s="732"/>
      <c r="AC79" s="732"/>
      <c r="AD79" s="732"/>
      <c r="AE79" s="733"/>
      <c r="AF79" s="734" t="str">
        <f t="shared" si="5"/>
        <v/>
      </c>
      <c r="AG79" s="773"/>
    </row>
    <row r="80" spans="1:64" ht="18.75" x14ac:dyDescent="0.25">
      <c r="A80" s="758"/>
      <c r="B80" s="737"/>
      <c r="C80" s="730"/>
      <c r="D80" s="739"/>
      <c r="E80" s="765"/>
      <c r="F80" s="765"/>
      <c r="G80" s="765"/>
      <c r="H80" s="765"/>
      <c r="I80" s="746" t="str">
        <f t="shared" si="4"/>
        <v/>
      </c>
      <c r="J80" s="731"/>
      <c r="K80" s="731" t="str">
        <f t="shared" si="3"/>
        <v/>
      </c>
      <c r="L80" s="726"/>
      <c r="M80" s="726"/>
      <c r="N80" s="726"/>
      <c r="O80" s="726"/>
      <c r="P80" s="726"/>
      <c r="Q80" s="726"/>
      <c r="R80" s="726"/>
      <c r="S80" s="726"/>
      <c r="T80" s="726"/>
      <c r="U80" s="726"/>
      <c r="V80" s="726"/>
      <c r="W80" s="726"/>
      <c r="X80" s="726"/>
      <c r="Y80" s="726"/>
      <c r="Z80" s="726"/>
      <c r="AA80" s="732"/>
      <c r="AB80" s="732"/>
      <c r="AC80" s="732"/>
      <c r="AD80" s="732"/>
      <c r="AE80" s="733"/>
      <c r="AF80" s="734" t="str">
        <f t="shared" si="5"/>
        <v/>
      </c>
      <c r="AG80" s="773"/>
    </row>
    <row r="81" spans="1:64" ht="18.75" x14ac:dyDescent="0.25">
      <c r="A81" s="758"/>
      <c r="B81" s="737"/>
      <c r="C81" s="730"/>
      <c r="D81" s="739"/>
      <c r="E81" s="765"/>
      <c r="F81" s="765"/>
      <c r="G81" s="765"/>
      <c r="H81" s="765"/>
      <c r="I81" s="746" t="str">
        <f t="shared" si="4"/>
        <v/>
      </c>
      <c r="J81" s="731"/>
      <c r="K81" s="731" t="str">
        <f t="shared" si="3"/>
        <v/>
      </c>
      <c r="L81" s="726"/>
      <c r="M81" s="726"/>
      <c r="N81" s="726"/>
      <c r="O81" s="726"/>
      <c r="P81" s="726"/>
      <c r="Q81" s="726"/>
      <c r="R81" s="726"/>
      <c r="S81" s="726"/>
      <c r="T81" s="726"/>
      <c r="U81" s="726"/>
      <c r="V81" s="726"/>
      <c r="W81" s="726"/>
      <c r="X81" s="726"/>
      <c r="Y81" s="726"/>
      <c r="Z81" s="726"/>
      <c r="AA81" s="732"/>
      <c r="AB81" s="732"/>
      <c r="AC81" s="732"/>
      <c r="AD81" s="732"/>
      <c r="AE81" s="733"/>
      <c r="AF81" s="734" t="str">
        <f t="shared" si="5"/>
        <v/>
      </c>
      <c r="AG81" s="773"/>
    </row>
    <row r="82" spans="1:64" ht="18.75" x14ac:dyDescent="0.25">
      <c r="A82" s="758"/>
      <c r="B82" s="737"/>
      <c r="C82" s="730"/>
      <c r="D82" s="739"/>
      <c r="E82" s="765"/>
      <c r="F82" s="765"/>
      <c r="G82" s="765"/>
      <c r="H82" s="765"/>
      <c r="I82" s="746" t="str">
        <f t="shared" si="4"/>
        <v/>
      </c>
      <c r="J82" s="731"/>
      <c r="K82" s="731" t="str">
        <f t="shared" si="3"/>
        <v/>
      </c>
      <c r="L82" s="726"/>
      <c r="M82" s="726"/>
      <c r="N82" s="726"/>
      <c r="O82" s="726"/>
      <c r="P82" s="726"/>
      <c r="Q82" s="726"/>
      <c r="R82" s="726"/>
      <c r="S82" s="726"/>
      <c r="T82" s="726"/>
      <c r="U82" s="726"/>
      <c r="V82" s="726"/>
      <c r="W82" s="726"/>
      <c r="X82" s="726"/>
      <c r="Y82" s="726"/>
      <c r="Z82" s="726"/>
      <c r="AA82" s="732"/>
      <c r="AB82" s="732"/>
      <c r="AC82" s="732"/>
      <c r="AD82" s="732"/>
      <c r="AE82" s="733"/>
      <c r="AF82" s="734" t="str">
        <f t="shared" si="5"/>
        <v/>
      </c>
      <c r="AG82" s="773"/>
    </row>
    <row r="83" spans="1:64" ht="18.75" x14ac:dyDescent="0.25">
      <c r="A83" s="758"/>
      <c r="B83" s="737"/>
      <c r="C83" s="730"/>
      <c r="D83" s="739"/>
      <c r="E83" s="765"/>
      <c r="F83" s="765"/>
      <c r="G83" s="765"/>
      <c r="H83" s="765"/>
      <c r="I83" s="746" t="str">
        <f t="shared" si="4"/>
        <v/>
      </c>
      <c r="J83" s="731"/>
      <c r="K83" s="731" t="str">
        <f t="shared" si="3"/>
        <v/>
      </c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732"/>
      <c r="AB83" s="732"/>
      <c r="AC83" s="732"/>
      <c r="AD83" s="732"/>
      <c r="AE83" s="733"/>
      <c r="AF83" s="734" t="str">
        <f t="shared" si="5"/>
        <v/>
      </c>
      <c r="AG83" s="773"/>
    </row>
    <row r="84" spans="1:64" ht="18.75" x14ac:dyDescent="0.25">
      <c r="A84" s="758"/>
      <c r="B84" s="737"/>
      <c r="C84" s="730"/>
      <c r="D84" s="739"/>
      <c r="E84" s="765"/>
      <c r="F84" s="765"/>
      <c r="G84" s="765"/>
      <c r="H84" s="765"/>
      <c r="I84" s="746" t="str">
        <f t="shared" si="4"/>
        <v/>
      </c>
      <c r="J84" s="731"/>
      <c r="K84" s="731" t="str">
        <f t="shared" si="3"/>
        <v/>
      </c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6"/>
      <c r="W84" s="726"/>
      <c r="X84" s="726"/>
      <c r="Y84" s="726"/>
      <c r="Z84" s="726"/>
      <c r="AA84" s="732"/>
      <c r="AB84" s="732"/>
      <c r="AC84" s="732"/>
      <c r="AD84" s="732"/>
      <c r="AE84" s="733"/>
      <c r="AF84" s="734" t="str">
        <f t="shared" si="5"/>
        <v/>
      </c>
      <c r="AG84" s="773"/>
    </row>
    <row r="85" spans="1:64" ht="18.75" x14ac:dyDescent="0.25">
      <c r="A85" s="758"/>
      <c r="B85" s="737"/>
      <c r="C85" s="730"/>
      <c r="D85" s="739"/>
      <c r="E85" s="765"/>
      <c r="F85" s="765"/>
      <c r="G85" s="765"/>
      <c r="H85" s="765"/>
      <c r="I85" s="746" t="str">
        <f t="shared" si="4"/>
        <v/>
      </c>
      <c r="J85" s="731"/>
      <c r="K85" s="731" t="str">
        <f t="shared" si="3"/>
        <v/>
      </c>
      <c r="L85" s="726"/>
      <c r="M85" s="726"/>
      <c r="N85" s="726"/>
      <c r="O85" s="726"/>
      <c r="P85" s="726"/>
      <c r="Q85" s="726"/>
      <c r="R85" s="726"/>
      <c r="S85" s="726"/>
      <c r="T85" s="726"/>
      <c r="U85" s="726"/>
      <c r="V85" s="726"/>
      <c r="W85" s="726"/>
      <c r="X85" s="726"/>
      <c r="Y85" s="726"/>
      <c r="Z85" s="726"/>
      <c r="AA85" s="732"/>
      <c r="AB85" s="732"/>
      <c r="AC85" s="732"/>
      <c r="AD85" s="732"/>
      <c r="AE85" s="733"/>
      <c r="AF85" s="734" t="str">
        <f t="shared" si="5"/>
        <v/>
      </c>
      <c r="AG85" s="775"/>
      <c r="AH85" s="779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</row>
    <row r="86" spans="1:64" ht="18.75" x14ac:dyDescent="0.25">
      <c r="A86" s="758"/>
      <c r="B86" s="737"/>
      <c r="C86" s="730"/>
      <c r="D86" s="739"/>
      <c r="E86" s="765"/>
      <c r="F86" s="765"/>
      <c r="G86" s="765"/>
      <c r="H86" s="765"/>
      <c r="I86" s="746" t="str">
        <f t="shared" si="4"/>
        <v/>
      </c>
      <c r="J86" s="731"/>
      <c r="K86" s="731" t="str">
        <f t="shared" si="3"/>
        <v/>
      </c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732"/>
      <c r="AB86" s="732"/>
      <c r="AC86" s="732"/>
      <c r="AD86" s="732"/>
      <c r="AE86" s="733"/>
      <c r="AF86" s="734" t="str">
        <f t="shared" si="5"/>
        <v/>
      </c>
      <c r="AG86" s="773"/>
    </row>
    <row r="87" spans="1:64" ht="18.75" x14ac:dyDescent="0.25">
      <c r="A87" s="758"/>
      <c r="B87" s="737"/>
      <c r="C87" s="730"/>
      <c r="D87" s="739"/>
      <c r="E87" s="765"/>
      <c r="F87" s="765"/>
      <c r="G87" s="765"/>
      <c r="H87" s="765"/>
      <c r="I87" s="746" t="str">
        <f t="shared" si="4"/>
        <v/>
      </c>
      <c r="J87" s="731"/>
      <c r="K87" s="731" t="str">
        <f t="shared" si="3"/>
        <v/>
      </c>
      <c r="L87" s="726"/>
      <c r="M87" s="726"/>
      <c r="N87" s="726"/>
      <c r="O87" s="726"/>
      <c r="P87" s="726"/>
      <c r="Q87" s="726"/>
      <c r="R87" s="726"/>
      <c r="S87" s="726"/>
      <c r="T87" s="726"/>
      <c r="U87" s="726"/>
      <c r="V87" s="726"/>
      <c r="W87" s="726"/>
      <c r="X87" s="726"/>
      <c r="Y87" s="726"/>
      <c r="Z87" s="726"/>
      <c r="AA87" s="732"/>
      <c r="AB87" s="732"/>
      <c r="AC87" s="732"/>
      <c r="AD87" s="732"/>
      <c r="AE87" s="733"/>
      <c r="AF87" s="734" t="str">
        <f t="shared" si="5"/>
        <v/>
      </c>
      <c r="AG87" s="773"/>
    </row>
    <row r="88" spans="1:64" ht="18.75" x14ac:dyDescent="0.25">
      <c r="A88" s="758"/>
      <c r="B88" s="737"/>
      <c r="C88" s="730"/>
      <c r="D88" s="739"/>
      <c r="E88" s="765"/>
      <c r="F88" s="765"/>
      <c r="G88" s="765"/>
      <c r="H88" s="765"/>
      <c r="I88" s="746" t="str">
        <f t="shared" si="4"/>
        <v/>
      </c>
      <c r="J88" s="731"/>
      <c r="K88" s="731" t="str">
        <f t="shared" si="3"/>
        <v/>
      </c>
      <c r="L88" s="726"/>
      <c r="M88" s="726"/>
      <c r="N88" s="726"/>
      <c r="O88" s="726"/>
      <c r="P88" s="726"/>
      <c r="Q88" s="726"/>
      <c r="R88" s="726"/>
      <c r="S88" s="726"/>
      <c r="T88" s="726"/>
      <c r="U88" s="726"/>
      <c r="V88" s="726"/>
      <c r="W88" s="726"/>
      <c r="X88" s="726"/>
      <c r="Y88" s="726"/>
      <c r="Z88" s="726"/>
      <c r="AA88" s="732"/>
      <c r="AB88" s="732"/>
      <c r="AC88" s="732"/>
      <c r="AD88" s="732"/>
      <c r="AE88" s="733"/>
      <c r="AF88" s="734" t="str">
        <f t="shared" si="5"/>
        <v/>
      </c>
      <c r="AG88" s="773"/>
    </row>
    <row r="89" spans="1:64" ht="18.75" x14ac:dyDescent="0.25">
      <c r="A89" s="758"/>
      <c r="B89" s="737"/>
      <c r="C89" s="730"/>
      <c r="D89" s="739"/>
      <c r="E89" s="765"/>
      <c r="F89" s="765"/>
      <c r="G89" s="765"/>
      <c r="H89" s="765"/>
      <c r="I89" s="746" t="str">
        <f t="shared" si="4"/>
        <v/>
      </c>
      <c r="J89" s="731"/>
      <c r="K89" s="731" t="str">
        <f t="shared" si="3"/>
        <v/>
      </c>
      <c r="L89" s="726"/>
      <c r="M89" s="726"/>
      <c r="N89" s="726"/>
      <c r="O89" s="726"/>
      <c r="P89" s="726"/>
      <c r="Q89" s="726"/>
      <c r="R89" s="726"/>
      <c r="S89" s="726"/>
      <c r="T89" s="726"/>
      <c r="U89" s="726"/>
      <c r="V89" s="726"/>
      <c r="W89" s="726"/>
      <c r="X89" s="726"/>
      <c r="Y89" s="726"/>
      <c r="Z89" s="726"/>
      <c r="AA89" s="732"/>
      <c r="AB89" s="732"/>
      <c r="AC89" s="732"/>
      <c r="AD89" s="732"/>
      <c r="AE89" s="733"/>
      <c r="AF89" s="734" t="str">
        <f t="shared" si="5"/>
        <v/>
      </c>
      <c r="AG89" s="773"/>
    </row>
    <row r="90" spans="1:64" ht="18.75" x14ac:dyDescent="0.25">
      <c r="A90" s="758"/>
      <c r="B90" s="737"/>
      <c r="C90" s="730"/>
      <c r="D90" s="739"/>
      <c r="E90" s="765"/>
      <c r="F90" s="765"/>
      <c r="G90" s="765"/>
      <c r="H90" s="765"/>
      <c r="I90" s="746" t="str">
        <f t="shared" si="4"/>
        <v/>
      </c>
      <c r="J90" s="731"/>
      <c r="K90" s="731" t="str">
        <f t="shared" si="3"/>
        <v/>
      </c>
      <c r="L90" s="726"/>
      <c r="M90" s="726"/>
      <c r="N90" s="726"/>
      <c r="O90" s="726"/>
      <c r="P90" s="726"/>
      <c r="Q90" s="726"/>
      <c r="R90" s="726"/>
      <c r="S90" s="726"/>
      <c r="T90" s="726"/>
      <c r="U90" s="726"/>
      <c r="V90" s="726"/>
      <c r="W90" s="726"/>
      <c r="X90" s="726"/>
      <c r="Y90" s="726"/>
      <c r="Z90" s="726"/>
      <c r="AA90" s="732"/>
      <c r="AB90" s="732"/>
      <c r="AC90" s="732"/>
      <c r="AD90" s="732"/>
      <c r="AE90" s="733"/>
      <c r="AF90" s="734" t="str">
        <f t="shared" si="5"/>
        <v/>
      </c>
      <c r="AG90" s="773"/>
    </row>
    <row r="91" spans="1:64" ht="19.5" customHeight="1" x14ac:dyDescent="0.25">
      <c r="A91" s="758"/>
      <c r="B91" s="737"/>
      <c r="C91" s="730"/>
      <c r="D91" s="739"/>
      <c r="E91" s="765"/>
      <c r="F91" s="765"/>
      <c r="G91" s="765"/>
      <c r="H91" s="765"/>
      <c r="I91" s="746" t="str">
        <f t="shared" si="4"/>
        <v/>
      </c>
      <c r="J91" s="731"/>
      <c r="K91" s="731" t="str">
        <f t="shared" si="3"/>
        <v/>
      </c>
      <c r="L91" s="726"/>
      <c r="M91" s="726"/>
      <c r="N91" s="726"/>
      <c r="O91" s="726"/>
      <c r="P91" s="726"/>
      <c r="Q91" s="726"/>
      <c r="R91" s="726"/>
      <c r="S91" s="726"/>
      <c r="T91" s="726"/>
      <c r="U91" s="726"/>
      <c r="V91" s="726"/>
      <c r="W91" s="726"/>
      <c r="X91" s="726"/>
      <c r="Y91" s="726"/>
      <c r="Z91" s="726"/>
      <c r="AA91" s="732"/>
      <c r="AB91" s="732"/>
      <c r="AC91" s="732"/>
      <c r="AD91" s="732"/>
      <c r="AE91" s="733"/>
      <c r="AF91" s="734" t="str">
        <f t="shared" si="5"/>
        <v/>
      </c>
      <c r="AG91" s="775"/>
      <c r="AH91" s="779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</row>
    <row r="92" spans="1:64" ht="19.5" customHeight="1" x14ac:dyDescent="0.25">
      <c r="A92" s="758"/>
      <c r="B92" s="737"/>
      <c r="C92" s="730"/>
      <c r="D92" s="739"/>
      <c r="E92" s="765"/>
      <c r="F92" s="765"/>
      <c r="G92" s="765"/>
      <c r="H92" s="765"/>
      <c r="I92" s="746" t="str">
        <f t="shared" si="4"/>
        <v/>
      </c>
      <c r="J92" s="731"/>
      <c r="K92" s="731" t="str">
        <f t="shared" si="3"/>
        <v/>
      </c>
      <c r="L92" s="726"/>
      <c r="M92" s="726"/>
      <c r="N92" s="726"/>
      <c r="O92" s="726"/>
      <c r="P92" s="726"/>
      <c r="Q92" s="726"/>
      <c r="R92" s="726"/>
      <c r="S92" s="726"/>
      <c r="T92" s="726"/>
      <c r="U92" s="726"/>
      <c r="V92" s="726"/>
      <c r="W92" s="726"/>
      <c r="X92" s="726"/>
      <c r="Y92" s="726"/>
      <c r="Z92" s="726"/>
      <c r="AA92" s="732"/>
      <c r="AB92" s="732"/>
      <c r="AC92" s="732"/>
      <c r="AD92" s="732"/>
      <c r="AE92" s="733"/>
      <c r="AF92" s="734" t="str">
        <f t="shared" si="5"/>
        <v/>
      </c>
      <c r="AG92" s="775"/>
      <c r="AH92" s="779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</row>
    <row r="93" spans="1:64" ht="18.75" x14ac:dyDescent="0.25">
      <c r="A93" s="758"/>
      <c r="B93" s="737"/>
      <c r="C93" s="730"/>
      <c r="D93" s="739"/>
      <c r="E93" s="765"/>
      <c r="F93" s="765"/>
      <c r="G93" s="765"/>
      <c r="H93" s="765"/>
      <c r="I93" s="746" t="str">
        <f t="shared" si="4"/>
        <v/>
      </c>
      <c r="J93" s="731"/>
      <c r="K93" s="731" t="str">
        <f t="shared" si="3"/>
        <v/>
      </c>
      <c r="L93" s="726"/>
      <c r="M93" s="726"/>
      <c r="N93" s="726"/>
      <c r="O93" s="726"/>
      <c r="P93" s="726"/>
      <c r="Q93" s="726"/>
      <c r="R93" s="726"/>
      <c r="S93" s="726"/>
      <c r="T93" s="726"/>
      <c r="U93" s="726"/>
      <c r="V93" s="726"/>
      <c r="W93" s="726"/>
      <c r="X93" s="726"/>
      <c r="Y93" s="726"/>
      <c r="Z93" s="726"/>
      <c r="AA93" s="732"/>
      <c r="AB93" s="732"/>
      <c r="AC93" s="732"/>
      <c r="AD93" s="732"/>
      <c r="AE93" s="733"/>
      <c r="AF93" s="734" t="str">
        <f t="shared" si="5"/>
        <v/>
      </c>
      <c r="AG93" s="773"/>
    </row>
    <row r="94" spans="1:64" ht="18.75" x14ac:dyDescent="0.25">
      <c r="A94" s="758"/>
      <c r="B94" s="737"/>
      <c r="C94" s="730"/>
      <c r="D94" s="739"/>
      <c r="E94" s="765"/>
      <c r="F94" s="765"/>
      <c r="G94" s="765"/>
      <c r="H94" s="765"/>
      <c r="I94" s="746" t="str">
        <f t="shared" si="4"/>
        <v/>
      </c>
      <c r="J94" s="731"/>
      <c r="K94" s="731" t="str">
        <f t="shared" si="3"/>
        <v/>
      </c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732"/>
      <c r="AB94" s="732"/>
      <c r="AC94" s="732"/>
      <c r="AD94" s="732"/>
      <c r="AE94" s="733"/>
      <c r="AF94" s="734" t="str">
        <f t="shared" si="5"/>
        <v/>
      </c>
      <c r="AG94" s="773"/>
    </row>
    <row r="95" spans="1:64" ht="18.75" x14ac:dyDescent="0.25">
      <c r="A95" s="758"/>
      <c r="B95" s="737"/>
      <c r="C95" s="730"/>
      <c r="D95" s="739"/>
      <c r="E95" s="765"/>
      <c r="F95" s="765"/>
      <c r="G95" s="765"/>
      <c r="H95" s="765"/>
      <c r="I95" s="746" t="str">
        <f t="shared" si="4"/>
        <v/>
      </c>
      <c r="J95" s="731"/>
      <c r="K95" s="731" t="str">
        <f t="shared" si="3"/>
        <v/>
      </c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732"/>
      <c r="AB95" s="732"/>
      <c r="AC95" s="732"/>
      <c r="AD95" s="732"/>
      <c r="AE95" s="733"/>
      <c r="AF95" s="734" t="str">
        <f t="shared" si="5"/>
        <v/>
      </c>
      <c r="AG95" s="773"/>
    </row>
    <row r="96" spans="1:64" ht="18.75" x14ac:dyDescent="0.25">
      <c r="A96" s="758"/>
      <c r="B96" s="737"/>
      <c r="C96" s="730"/>
      <c r="D96" s="739"/>
      <c r="E96" s="765"/>
      <c r="F96" s="765"/>
      <c r="G96" s="765"/>
      <c r="H96" s="765"/>
      <c r="I96" s="746" t="str">
        <f t="shared" si="4"/>
        <v/>
      </c>
      <c r="J96" s="731"/>
      <c r="K96" s="731" t="str">
        <f t="shared" si="3"/>
        <v/>
      </c>
      <c r="L96" s="726"/>
      <c r="M96" s="726"/>
      <c r="N96" s="726"/>
      <c r="O96" s="726"/>
      <c r="P96" s="726"/>
      <c r="Q96" s="726"/>
      <c r="R96" s="726"/>
      <c r="S96" s="726"/>
      <c r="T96" s="726"/>
      <c r="U96" s="726"/>
      <c r="V96" s="726"/>
      <c r="W96" s="726"/>
      <c r="X96" s="726"/>
      <c r="Y96" s="726"/>
      <c r="Z96" s="726"/>
      <c r="AA96" s="732"/>
      <c r="AB96" s="732"/>
      <c r="AC96" s="732"/>
      <c r="AD96" s="732"/>
      <c r="AE96" s="733"/>
      <c r="AF96" s="734" t="str">
        <f t="shared" si="5"/>
        <v/>
      </c>
      <c r="AG96" s="773"/>
    </row>
    <row r="97" spans="1:64" ht="18.75" x14ac:dyDescent="0.25">
      <c r="A97" s="758"/>
      <c r="B97" s="737"/>
      <c r="C97" s="730"/>
      <c r="D97" s="739"/>
      <c r="E97" s="765"/>
      <c r="F97" s="765"/>
      <c r="G97" s="765"/>
      <c r="H97" s="765"/>
      <c r="I97" s="746" t="str">
        <f t="shared" si="4"/>
        <v/>
      </c>
      <c r="J97" s="731"/>
      <c r="K97" s="731" t="str">
        <f t="shared" si="3"/>
        <v/>
      </c>
      <c r="L97" s="726"/>
      <c r="M97" s="726"/>
      <c r="N97" s="726"/>
      <c r="O97" s="726"/>
      <c r="P97" s="726"/>
      <c r="Q97" s="726"/>
      <c r="R97" s="726"/>
      <c r="S97" s="726"/>
      <c r="T97" s="726"/>
      <c r="U97" s="726"/>
      <c r="V97" s="726"/>
      <c r="W97" s="726"/>
      <c r="X97" s="726"/>
      <c r="Y97" s="726"/>
      <c r="Z97" s="726"/>
      <c r="AA97" s="732"/>
      <c r="AB97" s="732"/>
      <c r="AC97" s="732"/>
      <c r="AD97" s="732"/>
      <c r="AE97" s="733"/>
      <c r="AF97" s="734" t="str">
        <f t="shared" si="5"/>
        <v/>
      </c>
      <c r="AG97" s="773"/>
    </row>
    <row r="98" spans="1:64" ht="18.75" x14ac:dyDescent="0.25">
      <c r="A98" s="758"/>
      <c r="B98" s="737"/>
      <c r="C98" s="730"/>
      <c r="D98" s="739"/>
      <c r="E98" s="765"/>
      <c r="F98" s="765"/>
      <c r="G98" s="765"/>
      <c r="H98" s="765"/>
      <c r="I98" s="746" t="str">
        <f t="shared" si="4"/>
        <v/>
      </c>
      <c r="J98" s="731"/>
      <c r="K98" s="731" t="str">
        <f t="shared" si="3"/>
        <v/>
      </c>
      <c r="L98" s="726"/>
      <c r="M98" s="726"/>
      <c r="N98" s="726"/>
      <c r="O98" s="726"/>
      <c r="P98" s="726"/>
      <c r="Q98" s="726"/>
      <c r="R98" s="726"/>
      <c r="S98" s="726"/>
      <c r="T98" s="726"/>
      <c r="U98" s="726"/>
      <c r="V98" s="726"/>
      <c r="W98" s="726"/>
      <c r="X98" s="726"/>
      <c r="Y98" s="726"/>
      <c r="Z98" s="726"/>
      <c r="AA98" s="732"/>
      <c r="AB98" s="732"/>
      <c r="AC98" s="732"/>
      <c r="AD98" s="732"/>
      <c r="AE98" s="733"/>
      <c r="AF98" s="734" t="str">
        <f t="shared" si="5"/>
        <v/>
      </c>
      <c r="AG98" s="773"/>
    </row>
    <row r="99" spans="1:64" ht="18.75" x14ac:dyDescent="0.25">
      <c r="A99" s="758"/>
      <c r="B99" s="737"/>
      <c r="C99" s="730"/>
      <c r="D99" s="739"/>
      <c r="E99" s="765"/>
      <c r="F99" s="765"/>
      <c r="G99" s="765"/>
      <c r="H99" s="765"/>
      <c r="I99" s="746" t="str">
        <f t="shared" si="4"/>
        <v/>
      </c>
      <c r="J99" s="731"/>
      <c r="K99" s="731" t="str">
        <f t="shared" si="3"/>
        <v/>
      </c>
      <c r="L99" s="726"/>
      <c r="M99" s="726"/>
      <c r="N99" s="726"/>
      <c r="O99" s="726"/>
      <c r="P99" s="726"/>
      <c r="Q99" s="726"/>
      <c r="R99" s="726"/>
      <c r="S99" s="726"/>
      <c r="T99" s="726"/>
      <c r="U99" s="726"/>
      <c r="V99" s="726"/>
      <c r="W99" s="726"/>
      <c r="X99" s="726"/>
      <c r="Y99" s="726"/>
      <c r="Z99" s="726"/>
      <c r="AA99" s="732"/>
      <c r="AB99" s="732"/>
      <c r="AC99" s="732"/>
      <c r="AD99" s="732"/>
      <c r="AE99" s="733"/>
      <c r="AF99" s="734" t="str">
        <f t="shared" si="5"/>
        <v/>
      </c>
      <c r="AG99" s="775"/>
      <c r="AH99" s="779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</row>
    <row r="100" spans="1:64" ht="18.75" x14ac:dyDescent="0.25">
      <c r="A100" s="758"/>
      <c r="B100" s="737"/>
      <c r="C100" s="730"/>
      <c r="D100" s="739"/>
      <c r="E100" s="765"/>
      <c r="F100" s="765"/>
      <c r="G100" s="765"/>
      <c r="H100" s="765"/>
      <c r="I100" s="746" t="str">
        <f t="shared" si="4"/>
        <v/>
      </c>
      <c r="J100" s="731"/>
      <c r="K100" s="731" t="str">
        <f t="shared" si="3"/>
        <v/>
      </c>
      <c r="L100" s="726"/>
      <c r="M100" s="726"/>
      <c r="N100" s="726"/>
      <c r="O100" s="726"/>
      <c r="P100" s="726"/>
      <c r="Q100" s="726"/>
      <c r="R100" s="726"/>
      <c r="S100" s="726"/>
      <c r="T100" s="726"/>
      <c r="U100" s="726"/>
      <c r="V100" s="726"/>
      <c r="W100" s="726"/>
      <c r="X100" s="726"/>
      <c r="Y100" s="726"/>
      <c r="Z100" s="726"/>
      <c r="AA100" s="732"/>
      <c r="AB100" s="732"/>
      <c r="AC100" s="732"/>
      <c r="AD100" s="732"/>
      <c r="AE100" s="733"/>
      <c r="AF100" s="734" t="str">
        <f t="shared" si="5"/>
        <v/>
      </c>
      <c r="AG100" s="773"/>
    </row>
    <row r="101" spans="1:64" ht="18.75" x14ac:dyDescent="0.25">
      <c r="A101" s="758"/>
      <c r="B101" s="737"/>
      <c r="C101" s="730"/>
      <c r="D101" s="739"/>
      <c r="E101" s="765"/>
      <c r="F101" s="765"/>
      <c r="G101" s="765"/>
      <c r="H101" s="765"/>
      <c r="I101" s="746" t="str">
        <f t="shared" si="4"/>
        <v/>
      </c>
      <c r="J101" s="731"/>
      <c r="K101" s="731" t="str">
        <f t="shared" si="3"/>
        <v/>
      </c>
      <c r="L101" s="726"/>
      <c r="M101" s="726"/>
      <c r="N101" s="726"/>
      <c r="O101" s="726"/>
      <c r="P101" s="726"/>
      <c r="Q101" s="726"/>
      <c r="R101" s="726"/>
      <c r="S101" s="726"/>
      <c r="T101" s="726"/>
      <c r="U101" s="726"/>
      <c r="V101" s="726"/>
      <c r="W101" s="726"/>
      <c r="X101" s="726"/>
      <c r="Y101" s="726"/>
      <c r="Z101" s="726"/>
      <c r="AA101" s="732"/>
      <c r="AB101" s="732"/>
      <c r="AC101" s="732"/>
      <c r="AD101" s="732"/>
      <c r="AE101" s="733"/>
      <c r="AF101" s="734" t="str">
        <f t="shared" si="5"/>
        <v/>
      </c>
      <c r="AG101" s="773"/>
    </row>
    <row r="102" spans="1:64" ht="18.75" x14ac:dyDescent="0.25">
      <c r="A102" s="758"/>
      <c r="B102" s="737"/>
      <c r="C102" s="730"/>
      <c r="D102" s="739"/>
      <c r="E102" s="765"/>
      <c r="F102" s="765"/>
      <c r="G102" s="765"/>
      <c r="H102" s="765"/>
      <c r="I102" s="746" t="str">
        <f t="shared" si="4"/>
        <v/>
      </c>
      <c r="J102" s="731"/>
      <c r="K102" s="731" t="str">
        <f t="shared" si="3"/>
        <v/>
      </c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732"/>
      <c r="AB102" s="732"/>
      <c r="AC102" s="732"/>
      <c r="AD102" s="732"/>
      <c r="AE102" s="733"/>
      <c r="AF102" s="734" t="str">
        <f t="shared" si="5"/>
        <v/>
      </c>
      <c r="AG102" s="773"/>
    </row>
    <row r="103" spans="1:64" ht="18.75" x14ac:dyDescent="0.25">
      <c r="A103" s="758"/>
      <c r="B103" s="737"/>
      <c r="C103" s="730"/>
      <c r="D103" s="739"/>
      <c r="E103" s="765"/>
      <c r="F103" s="765"/>
      <c r="G103" s="765"/>
      <c r="H103" s="765"/>
      <c r="I103" s="746" t="str">
        <f t="shared" si="4"/>
        <v/>
      </c>
      <c r="J103" s="731"/>
      <c r="K103" s="731" t="str">
        <f t="shared" si="3"/>
        <v/>
      </c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732"/>
      <c r="AB103" s="732"/>
      <c r="AC103" s="732"/>
      <c r="AD103" s="732"/>
      <c r="AE103" s="733"/>
      <c r="AF103" s="734" t="str">
        <f t="shared" si="5"/>
        <v/>
      </c>
      <c r="AG103" s="773"/>
    </row>
    <row r="104" spans="1:64" ht="18.75" x14ac:dyDescent="0.25">
      <c r="A104" s="758"/>
      <c r="B104" s="737"/>
      <c r="C104" s="730"/>
      <c r="D104" s="739"/>
      <c r="E104" s="765"/>
      <c r="F104" s="765"/>
      <c r="G104" s="765"/>
      <c r="H104" s="765"/>
      <c r="I104" s="746" t="str">
        <f t="shared" si="4"/>
        <v/>
      </c>
      <c r="J104" s="731"/>
      <c r="K104" s="731" t="str">
        <f t="shared" si="3"/>
        <v/>
      </c>
      <c r="L104" s="726"/>
      <c r="M104" s="726"/>
      <c r="N104" s="726"/>
      <c r="O104" s="726"/>
      <c r="P104" s="726"/>
      <c r="Q104" s="726"/>
      <c r="R104" s="726"/>
      <c r="S104" s="726"/>
      <c r="T104" s="726"/>
      <c r="U104" s="726"/>
      <c r="V104" s="726"/>
      <c r="W104" s="726"/>
      <c r="X104" s="726"/>
      <c r="Y104" s="726"/>
      <c r="Z104" s="726"/>
      <c r="AA104" s="732"/>
      <c r="AB104" s="732"/>
      <c r="AC104" s="732"/>
      <c r="AD104" s="732"/>
      <c r="AE104" s="733"/>
      <c r="AF104" s="734" t="str">
        <f t="shared" si="5"/>
        <v/>
      </c>
      <c r="AG104" s="773"/>
    </row>
    <row r="105" spans="1:64" ht="18.75" x14ac:dyDescent="0.25">
      <c r="A105" s="758"/>
      <c r="B105" s="737"/>
      <c r="C105" s="730"/>
      <c r="D105" s="739"/>
      <c r="E105" s="765"/>
      <c r="F105" s="765"/>
      <c r="G105" s="765"/>
      <c r="H105" s="765"/>
      <c r="I105" s="746" t="str">
        <f t="shared" si="4"/>
        <v/>
      </c>
      <c r="J105" s="731"/>
      <c r="K105" s="731" t="str">
        <f t="shared" si="3"/>
        <v/>
      </c>
      <c r="L105" s="726"/>
      <c r="M105" s="726"/>
      <c r="N105" s="726"/>
      <c r="O105" s="726"/>
      <c r="P105" s="726"/>
      <c r="Q105" s="726"/>
      <c r="R105" s="726"/>
      <c r="S105" s="726"/>
      <c r="T105" s="726"/>
      <c r="U105" s="726"/>
      <c r="V105" s="726"/>
      <c r="W105" s="726"/>
      <c r="X105" s="726"/>
      <c r="Y105" s="726"/>
      <c r="Z105" s="726"/>
      <c r="AA105" s="732"/>
      <c r="AB105" s="732"/>
      <c r="AC105" s="732"/>
      <c r="AD105" s="732"/>
      <c r="AE105" s="733"/>
      <c r="AF105" s="734" t="str">
        <f t="shared" si="5"/>
        <v/>
      </c>
      <c r="AG105" s="773"/>
    </row>
    <row r="106" spans="1:64" ht="19.5" customHeight="1" x14ac:dyDescent="0.25">
      <c r="A106" s="758"/>
      <c r="B106" s="737"/>
      <c r="C106" s="730"/>
      <c r="D106" s="739"/>
      <c r="E106" s="765"/>
      <c r="F106" s="765"/>
      <c r="G106" s="765"/>
      <c r="H106" s="765"/>
      <c r="I106" s="746" t="str">
        <f t="shared" si="4"/>
        <v/>
      </c>
      <c r="J106" s="731"/>
      <c r="K106" s="731" t="str">
        <f t="shared" si="3"/>
        <v/>
      </c>
      <c r="L106" s="726"/>
      <c r="M106" s="726"/>
      <c r="N106" s="726"/>
      <c r="O106" s="726"/>
      <c r="P106" s="726"/>
      <c r="Q106" s="726"/>
      <c r="R106" s="726"/>
      <c r="S106" s="726"/>
      <c r="T106" s="726"/>
      <c r="U106" s="726"/>
      <c r="V106" s="726"/>
      <c r="W106" s="726"/>
      <c r="X106" s="726"/>
      <c r="Y106" s="726"/>
      <c r="Z106" s="726"/>
      <c r="AA106" s="732"/>
      <c r="AB106" s="732"/>
      <c r="AC106" s="732"/>
      <c r="AD106" s="732"/>
      <c r="AE106" s="733"/>
      <c r="AF106" s="734" t="str">
        <f t="shared" si="5"/>
        <v/>
      </c>
      <c r="AG106" s="775"/>
      <c r="AH106" s="779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</row>
    <row r="107" spans="1:64" ht="19.5" customHeight="1" x14ac:dyDescent="0.25">
      <c r="A107" s="758"/>
      <c r="B107" s="737"/>
      <c r="C107" s="730"/>
      <c r="D107" s="739"/>
      <c r="E107" s="765"/>
      <c r="F107" s="765"/>
      <c r="G107" s="765"/>
      <c r="H107" s="765"/>
      <c r="I107" s="746" t="str">
        <f t="shared" si="4"/>
        <v/>
      </c>
      <c r="J107" s="731"/>
      <c r="K107" s="731" t="str">
        <f t="shared" si="3"/>
        <v/>
      </c>
      <c r="L107" s="726"/>
      <c r="M107" s="726"/>
      <c r="N107" s="726"/>
      <c r="O107" s="726"/>
      <c r="P107" s="726"/>
      <c r="Q107" s="726"/>
      <c r="R107" s="726"/>
      <c r="S107" s="726"/>
      <c r="T107" s="726"/>
      <c r="U107" s="726"/>
      <c r="V107" s="726"/>
      <c r="W107" s="726"/>
      <c r="X107" s="726"/>
      <c r="Y107" s="726"/>
      <c r="Z107" s="726"/>
      <c r="AA107" s="732"/>
      <c r="AB107" s="732"/>
      <c r="AC107" s="732"/>
      <c r="AD107" s="732"/>
      <c r="AE107" s="733"/>
      <c r="AF107" s="734" t="str">
        <f t="shared" si="5"/>
        <v/>
      </c>
      <c r="AG107" s="775"/>
      <c r="AH107" s="779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</row>
    <row r="108" spans="1:64" ht="18.75" x14ac:dyDescent="0.25">
      <c r="A108" s="758"/>
      <c r="B108" s="737"/>
      <c r="C108" s="730"/>
      <c r="D108" s="739"/>
      <c r="E108" s="765"/>
      <c r="F108" s="765"/>
      <c r="G108" s="765"/>
      <c r="H108" s="765"/>
      <c r="I108" s="746" t="str">
        <f t="shared" si="4"/>
        <v/>
      </c>
      <c r="J108" s="731"/>
      <c r="K108" s="731" t="str">
        <f t="shared" si="3"/>
        <v/>
      </c>
      <c r="L108" s="726"/>
      <c r="M108" s="726"/>
      <c r="N108" s="726"/>
      <c r="O108" s="726"/>
      <c r="P108" s="726"/>
      <c r="Q108" s="726"/>
      <c r="R108" s="726"/>
      <c r="S108" s="726"/>
      <c r="T108" s="726"/>
      <c r="U108" s="726"/>
      <c r="V108" s="726"/>
      <c r="W108" s="726"/>
      <c r="X108" s="726"/>
      <c r="Y108" s="726"/>
      <c r="Z108" s="726"/>
      <c r="AA108" s="732"/>
      <c r="AB108" s="732"/>
      <c r="AC108" s="732"/>
      <c r="AD108" s="732"/>
      <c r="AE108" s="733"/>
      <c r="AF108" s="734" t="str">
        <f t="shared" si="5"/>
        <v/>
      </c>
      <c r="AG108" s="773"/>
    </row>
    <row r="109" spans="1:64" ht="18.75" x14ac:dyDescent="0.25">
      <c r="A109" s="758"/>
      <c r="B109" s="737"/>
      <c r="C109" s="730"/>
      <c r="D109" s="739"/>
      <c r="E109" s="765"/>
      <c r="F109" s="765"/>
      <c r="G109" s="765"/>
      <c r="H109" s="765"/>
      <c r="I109" s="746" t="str">
        <f t="shared" si="4"/>
        <v/>
      </c>
      <c r="J109" s="731"/>
      <c r="K109" s="731" t="str">
        <f t="shared" si="3"/>
        <v/>
      </c>
      <c r="L109" s="726"/>
      <c r="M109" s="726"/>
      <c r="N109" s="726"/>
      <c r="O109" s="726"/>
      <c r="P109" s="726"/>
      <c r="Q109" s="726"/>
      <c r="R109" s="726"/>
      <c r="S109" s="726"/>
      <c r="T109" s="726"/>
      <c r="U109" s="726"/>
      <c r="V109" s="726"/>
      <c r="W109" s="726"/>
      <c r="X109" s="726"/>
      <c r="Y109" s="726"/>
      <c r="Z109" s="726"/>
      <c r="AA109" s="732"/>
      <c r="AB109" s="732"/>
      <c r="AC109" s="732"/>
      <c r="AD109" s="732"/>
      <c r="AE109" s="733"/>
      <c r="AF109" s="734" t="str">
        <f t="shared" si="5"/>
        <v/>
      </c>
      <c r="AG109" s="773"/>
    </row>
    <row r="110" spans="1:64" ht="18.75" x14ac:dyDescent="0.25">
      <c r="A110" s="758"/>
      <c r="B110" s="737"/>
      <c r="C110" s="730"/>
      <c r="D110" s="739"/>
      <c r="E110" s="765"/>
      <c r="F110" s="765"/>
      <c r="G110" s="765"/>
      <c r="H110" s="765"/>
      <c r="I110" s="746" t="str">
        <f t="shared" si="4"/>
        <v/>
      </c>
      <c r="J110" s="731"/>
      <c r="K110" s="731" t="str">
        <f t="shared" si="3"/>
        <v/>
      </c>
      <c r="L110" s="726"/>
      <c r="M110" s="726"/>
      <c r="N110" s="726"/>
      <c r="O110" s="726"/>
      <c r="P110" s="726"/>
      <c r="Q110" s="726"/>
      <c r="R110" s="726"/>
      <c r="S110" s="726"/>
      <c r="T110" s="726"/>
      <c r="U110" s="726"/>
      <c r="V110" s="726"/>
      <c r="W110" s="726"/>
      <c r="X110" s="726"/>
      <c r="Y110" s="726"/>
      <c r="Z110" s="726"/>
      <c r="AA110" s="732"/>
      <c r="AB110" s="732"/>
      <c r="AC110" s="732"/>
      <c r="AD110" s="732"/>
      <c r="AE110" s="733"/>
      <c r="AF110" s="734" t="str">
        <f t="shared" si="5"/>
        <v/>
      </c>
      <c r="AG110" s="773"/>
    </row>
    <row r="111" spans="1:64" ht="18.75" x14ac:dyDescent="0.25">
      <c r="A111" s="758"/>
      <c r="B111" s="737"/>
      <c r="C111" s="730"/>
      <c r="D111" s="739"/>
      <c r="E111" s="765"/>
      <c r="F111" s="765"/>
      <c r="G111" s="765"/>
      <c r="H111" s="765"/>
      <c r="I111" s="746" t="str">
        <f t="shared" si="4"/>
        <v/>
      </c>
      <c r="J111" s="731"/>
      <c r="K111" s="731" t="str">
        <f t="shared" si="3"/>
        <v/>
      </c>
      <c r="L111" s="726"/>
      <c r="M111" s="726"/>
      <c r="N111" s="726"/>
      <c r="O111" s="726"/>
      <c r="P111" s="726"/>
      <c r="Q111" s="726"/>
      <c r="R111" s="726"/>
      <c r="S111" s="726"/>
      <c r="T111" s="726"/>
      <c r="U111" s="726"/>
      <c r="V111" s="726"/>
      <c r="W111" s="726"/>
      <c r="X111" s="726"/>
      <c r="Y111" s="726"/>
      <c r="Z111" s="726"/>
      <c r="AA111" s="732"/>
      <c r="AB111" s="732"/>
      <c r="AC111" s="732"/>
      <c r="AD111" s="732"/>
      <c r="AE111" s="733"/>
      <c r="AF111" s="734" t="str">
        <f t="shared" si="5"/>
        <v/>
      </c>
      <c r="AG111" s="773"/>
    </row>
    <row r="112" spans="1:64" ht="18.75" x14ac:dyDescent="0.25">
      <c r="A112" s="758"/>
      <c r="B112" s="737"/>
      <c r="C112" s="730"/>
      <c r="D112" s="739"/>
      <c r="E112" s="765"/>
      <c r="F112" s="765"/>
      <c r="G112" s="765"/>
      <c r="H112" s="765"/>
      <c r="I112" s="746" t="str">
        <f t="shared" si="4"/>
        <v/>
      </c>
      <c r="J112" s="731"/>
      <c r="K112" s="731" t="str">
        <f t="shared" si="3"/>
        <v/>
      </c>
      <c r="L112" s="726"/>
      <c r="M112" s="726"/>
      <c r="N112" s="726"/>
      <c r="O112" s="726"/>
      <c r="P112" s="726"/>
      <c r="Q112" s="726"/>
      <c r="R112" s="726"/>
      <c r="S112" s="726"/>
      <c r="T112" s="726"/>
      <c r="U112" s="726"/>
      <c r="V112" s="726"/>
      <c r="W112" s="726"/>
      <c r="X112" s="726"/>
      <c r="Y112" s="726"/>
      <c r="Z112" s="726"/>
      <c r="AA112" s="732"/>
      <c r="AB112" s="732"/>
      <c r="AC112" s="732"/>
      <c r="AD112" s="732"/>
      <c r="AE112" s="733"/>
      <c r="AF112" s="734" t="str">
        <f t="shared" si="5"/>
        <v/>
      </c>
      <c r="AG112" s="773"/>
    </row>
    <row r="113" spans="1:64" ht="18.75" x14ac:dyDescent="0.25">
      <c r="A113" s="758"/>
      <c r="B113" s="737"/>
      <c r="C113" s="730"/>
      <c r="D113" s="739"/>
      <c r="E113" s="765"/>
      <c r="F113" s="765"/>
      <c r="G113" s="765"/>
      <c r="H113" s="765"/>
      <c r="I113" s="746" t="str">
        <f t="shared" si="4"/>
        <v/>
      </c>
      <c r="J113" s="731"/>
      <c r="K113" s="731" t="str">
        <f t="shared" si="3"/>
        <v/>
      </c>
      <c r="L113" s="726"/>
      <c r="M113" s="726"/>
      <c r="N113" s="726"/>
      <c r="O113" s="726"/>
      <c r="P113" s="726"/>
      <c r="Q113" s="726"/>
      <c r="R113" s="726"/>
      <c r="S113" s="726"/>
      <c r="T113" s="726"/>
      <c r="U113" s="726"/>
      <c r="V113" s="726"/>
      <c r="W113" s="726"/>
      <c r="X113" s="726"/>
      <c r="Y113" s="726"/>
      <c r="Z113" s="726"/>
      <c r="AA113" s="732"/>
      <c r="AB113" s="732"/>
      <c r="AC113" s="732"/>
      <c r="AD113" s="732"/>
      <c r="AE113" s="733"/>
      <c r="AF113" s="734" t="str">
        <f t="shared" si="5"/>
        <v/>
      </c>
      <c r="AG113" s="773"/>
    </row>
    <row r="114" spans="1:64" ht="18.75" x14ac:dyDescent="0.25">
      <c r="A114" s="758"/>
      <c r="B114" s="737"/>
      <c r="C114" s="730"/>
      <c r="D114" s="739"/>
      <c r="E114" s="765"/>
      <c r="F114" s="765"/>
      <c r="G114" s="765"/>
      <c r="H114" s="765"/>
      <c r="I114" s="746" t="str">
        <f t="shared" si="4"/>
        <v/>
      </c>
      <c r="J114" s="731"/>
      <c r="K114" s="731" t="str">
        <f t="shared" si="3"/>
        <v/>
      </c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732"/>
      <c r="AB114" s="732"/>
      <c r="AC114" s="732"/>
      <c r="AD114" s="732"/>
      <c r="AE114" s="733"/>
      <c r="AF114" s="734" t="str">
        <f t="shared" si="5"/>
        <v/>
      </c>
      <c r="AG114" s="775"/>
      <c r="AH114" s="779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</row>
    <row r="115" spans="1:64" ht="18.75" x14ac:dyDescent="0.25">
      <c r="A115" s="758"/>
      <c r="B115" s="737"/>
      <c r="C115" s="730"/>
      <c r="D115" s="739"/>
      <c r="E115" s="765"/>
      <c r="F115" s="765"/>
      <c r="G115" s="765"/>
      <c r="H115" s="765"/>
      <c r="I115" s="746" t="str">
        <f t="shared" si="4"/>
        <v/>
      </c>
      <c r="J115" s="731"/>
      <c r="K115" s="731" t="str">
        <f t="shared" si="3"/>
        <v/>
      </c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732"/>
      <c r="AB115" s="732"/>
      <c r="AC115" s="732"/>
      <c r="AD115" s="732"/>
      <c r="AE115" s="733"/>
      <c r="AF115" s="734" t="str">
        <f t="shared" si="5"/>
        <v/>
      </c>
      <c r="AG115" s="773"/>
    </row>
    <row r="116" spans="1:64" ht="18.75" x14ac:dyDescent="0.25">
      <c r="A116" s="758"/>
      <c r="B116" s="737"/>
      <c r="C116" s="730"/>
      <c r="D116" s="739"/>
      <c r="E116" s="765"/>
      <c r="F116" s="765"/>
      <c r="G116" s="765"/>
      <c r="H116" s="765"/>
      <c r="I116" s="746" t="str">
        <f t="shared" si="4"/>
        <v/>
      </c>
      <c r="J116" s="731"/>
      <c r="K116" s="731" t="str">
        <f t="shared" si="3"/>
        <v/>
      </c>
      <c r="L116" s="726"/>
      <c r="M116" s="726"/>
      <c r="N116" s="726"/>
      <c r="O116" s="726"/>
      <c r="P116" s="726"/>
      <c r="Q116" s="726"/>
      <c r="R116" s="726"/>
      <c r="S116" s="726"/>
      <c r="T116" s="726"/>
      <c r="U116" s="726"/>
      <c r="V116" s="726"/>
      <c r="W116" s="726"/>
      <c r="X116" s="726"/>
      <c r="Y116" s="726"/>
      <c r="Z116" s="726"/>
      <c r="AA116" s="732"/>
      <c r="AB116" s="732"/>
      <c r="AC116" s="732"/>
      <c r="AD116" s="732"/>
      <c r="AE116" s="733"/>
      <c r="AF116" s="734" t="str">
        <f t="shared" si="5"/>
        <v/>
      </c>
      <c r="AG116" s="773"/>
    </row>
    <row r="117" spans="1:64" ht="18.75" x14ac:dyDescent="0.25">
      <c r="A117" s="758"/>
      <c r="B117" s="737"/>
      <c r="C117" s="730"/>
      <c r="D117" s="739"/>
      <c r="E117" s="765"/>
      <c r="F117" s="765"/>
      <c r="G117" s="765"/>
      <c r="H117" s="765"/>
      <c r="I117" s="746" t="str">
        <f t="shared" si="4"/>
        <v/>
      </c>
      <c r="J117" s="731"/>
      <c r="K117" s="731" t="str">
        <f t="shared" si="3"/>
        <v/>
      </c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  <c r="AA117" s="732"/>
      <c r="AB117" s="732"/>
      <c r="AC117" s="732"/>
      <c r="AD117" s="732"/>
      <c r="AE117" s="733"/>
      <c r="AF117" s="734" t="str">
        <f t="shared" si="5"/>
        <v/>
      </c>
      <c r="AG117" s="773"/>
    </row>
    <row r="118" spans="1:64" ht="18.75" x14ac:dyDescent="0.25">
      <c r="A118" s="758"/>
      <c r="B118" s="737"/>
      <c r="C118" s="730"/>
      <c r="D118" s="739"/>
      <c r="E118" s="765"/>
      <c r="F118" s="765"/>
      <c r="G118" s="765"/>
      <c r="H118" s="765"/>
      <c r="I118" s="746" t="str">
        <f t="shared" si="4"/>
        <v/>
      </c>
      <c r="J118" s="731"/>
      <c r="K118" s="731" t="str">
        <f t="shared" si="3"/>
        <v/>
      </c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  <c r="AA118" s="732"/>
      <c r="AB118" s="732"/>
      <c r="AC118" s="732"/>
      <c r="AD118" s="732"/>
      <c r="AE118" s="733"/>
      <c r="AF118" s="734" t="str">
        <f t="shared" si="5"/>
        <v/>
      </c>
      <c r="AG118" s="773"/>
    </row>
    <row r="119" spans="1:64" ht="18.75" x14ac:dyDescent="0.25">
      <c r="A119" s="758"/>
      <c r="B119" s="737"/>
      <c r="C119" s="730"/>
      <c r="D119" s="739"/>
      <c r="E119" s="765"/>
      <c r="F119" s="765"/>
      <c r="G119" s="765"/>
      <c r="H119" s="765"/>
      <c r="I119" s="746" t="str">
        <f t="shared" si="4"/>
        <v/>
      </c>
      <c r="J119" s="731"/>
      <c r="K119" s="731" t="str">
        <f t="shared" si="3"/>
        <v/>
      </c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  <c r="AA119" s="732"/>
      <c r="AB119" s="732"/>
      <c r="AC119" s="732"/>
      <c r="AD119" s="732"/>
      <c r="AE119" s="733"/>
      <c r="AF119" s="734" t="str">
        <f t="shared" si="5"/>
        <v/>
      </c>
      <c r="AG119" s="773"/>
    </row>
    <row r="120" spans="1:64" ht="18.75" customHeight="1" x14ac:dyDescent="0.25">
      <c r="A120" s="758"/>
      <c r="B120" s="737"/>
      <c r="C120" s="730"/>
      <c r="D120" s="739"/>
      <c r="E120" s="765"/>
      <c r="F120" s="765"/>
      <c r="G120" s="765"/>
      <c r="H120" s="765"/>
      <c r="I120" s="746" t="str">
        <f t="shared" si="4"/>
        <v/>
      </c>
      <c r="J120" s="731"/>
      <c r="K120" s="731" t="str">
        <f t="shared" si="3"/>
        <v/>
      </c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  <c r="AA120" s="732"/>
      <c r="AB120" s="732"/>
      <c r="AC120" s="732"/>
      <c r="AD120" s="732"/>
      <c r="AE120" s="733"/>
      <c r="AF120" s="734" t="str">
        <f t="shared" si="5"/>
        <v/>
      </c>
      <c r="AG120" s="772"/>
      <c r="AH120" s="777"/>
      <c r="AI120" s="735"/>
      <c r="AJ120" s="735"/>
      <c r="AK120" s="735"/>
      <c r="AL120" s="735"/>
      <c r="AM120" s="735"/>
      <c r="AN120" s="735"/>
      <c r="AO120" s="735"/>
      <c r="AP120" s="735"/>
      <c r="AQ120" s="735"/>
      <c r="AR120" s="735"/>
      <c r="AS120" s="735"/>
      <c r="AT120" s="735"/>
      <c r="AU120" s="735"/>
      <c r="AV120" s="735"/>
      <c r="AW120" s="735"/>
      <c r="AX120" s="735"/>
      <c r="AY120" s="735"/>
      <c r="AZ120" s="735"/>
      <c r="BA120" s="735"/>
      <c r="BB120" s="735"/>
      <c r="BC120" s="735"/>
      <c r="BD120" s="735"/>
      <c r="BE120" s="735"/>
      <c r="BF120" s="735"/>
      <c r="BG120" s="735"/>
      <c r="BH120" s="735"/>
      <c r="BI120" s="735"/>
      <c r="BJ120" s="735"/>
      <c r="BK120" s="735"/>
      <c r="BL120" s="735"/>
    </row>
    <row r="121" spans="1:64" ht="19.5" customHeight="1" x14ac:dyDescent="0.25">
      <c r="A121" s="758"/>
      <c r="B121" s="737"/>
      <c r="C121" s="730"/>
      <c r="D121" s="739"/>
      <c r="E121" s="765"/>
      <c r="F121" s="765"/>
      <c r="G121" s="765"/>
      <c r="H121" s="765"/>
      <c r="I121" s="746" t="str">
        <f t="shared" si="4"/>
        <v/>
      </c>
      <c r="J121" s="731"/>
      <c r="K121" s="731" t="str">
        <f t="shared" si="3"/>
        <v/>
      </c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732"/>
      <c r="AB121" s="732"/>
      <c r="AC121" s="732"/>
      <c r="AD121" s="732"/>
      <c r="AE121" s="733"/>
      <c r="AF121" s="734" t="str">
        <f t="shared" si="5"/>
        <v/>
      </c>
      <c r="AG121" s="772"/>
      <c r="AH121" s="777"/>
      <c r="AI121" s="735"/>
      <c r="AJ121" s="735"/>
      <c r="AK121" s="735"/>
      <c r="AL121" s="735"/>
      <c r="AM121" s="735"/>
      <c r="AN121" s="735"/>
      <c r="AO121" s="735"/>
      <c r="AP121" s="735"/>
      <c r="AQ121" s="735"/>
      <c r="AR121" s="735"/>
      <c r="AS121" s="735"/>
      <c r="AT121" s="735"/>
      <c r="AU121" s="735"/>
      <c r="AV121" s="735"/>
      <c r="AW121" s="735"/>
      <c r="AX121" s="735"/>
      <c r="AY121" s="735"/>
      <c r="AZ121" s="735"/>
      <c r="BA121" s="735"/>
      <c r="BB121" s="735"/>
      <c r="BC121" s="735"/>
      <c r="BD121" s="735"/>
      <c r="BE121" s="735"/>
      <c r="BF121" s="735"/>
      <c r="BG121" s="735"/>
      <c r="BH121" s="735"/>
      <c r="BI121" s="735"/>
      <c r="BJ121" s="735"/>
      <c r="BK121" s="735"/>
      <c r="BL121" s="735"/>
    </row>
    <row r="122" spans="1:64" ht="19.5" customHeight="1" x14ac:dyDescent="0.25">
      <c r="A122" s="758"/>
      <c r="B122" s="737"/>
      <c r="C122" s="730"/>
      <c r="D122" s="739"/>
      <c r="E122" s="765"/>
      <c r="F122" s="765"/>
      <c r="G122" s="765"/>
      <c r="H122" s="765"/>
      <c r="I122" s="746" t="str">
        <f t="shared" si="4"/>
        <v/>
      </c>
      <c r="J122" s="731"/>
      <c r="K122" s="731" t="str">
        <f t="shared" si="3"/>
        <v/>
      </c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732"/>
      <c r="AB122" s="732"/>
      <c r="AC122" s="732"/>
      <c r="AD122" s="732"/>
      <c r="AE122" s="733"/>
      <c r="AF122" s="734" t="str">
        <f t="shared" si="5"/>
        <v/>
      </c>
      <c r="AG122" s="772"/>
      <c r="AH122" s="777"/>
      <c r="AI122" s="735"/>
      <c r="AJ122" s="735"/>
      <c r="AK122" s="735"/>
      <c r="AL122" s="735"/>
      <c r="AM122" s="735"/>
      <c r="AN122" s="735"/>
      <c r="AO122" s="735"/>
      <c r="AP122" s="735"/>
      <c r="AQ122" s="735"/>
      <c r="AR122" s="735"/>
      <c r="AS122" s="735"/>
      <c r="AT122" s="735"/>
      <c r="AU122" s="735"/>
      <c r="AV122" s="735"/>
      <c r="AW122" s="735"/>
      <c r="AX122" s="735"/>
      <c r="AY122" s="735"/>
      <c r="AZ122" s="735"/>
      <c r="BA122" s="735"/>
      <c r="BB122" s="735"/>
      <c r="BC122" s="735"/>
      <c r="BD122" s="735"/>
      <c r="BE122" s="735"/>
      <c r="BF122" s="735"/>
      <c r="BG122" s="735"/>
      <c r="BH122" s="735"/>
      <c r="BI122" s="735"/>
      <c r="BJ122" s="735"/>
      <c r="BK122" s="735"/>
      <c r="BL122" s="735"/>
    </row>
    <row r="123" spans="1:64" ht="19.5" customHeight="1" x14ac:dyDescent="0.25">
      <c r="A123" s="758"/>
      <c r="B123" s="737"/>
      <c r="C123" s="730"/>
      <c r="D123" s="739"/>
      <c r="E123" s="765"/>
      <c r="F123" s="765"/>
      <c r="G123" s="765"/>
      <c r="H123" s="765"/>
      <c r="I123" s="746" t="str">
        <f t="shared" si="4"/>
        <v/>
      </c>
      <c r="J123" s="731"/>
      <c r="K123" s="731" t="str">
        <f t="shared" si="3"/>
        <v/>
      </c>
      <c r="L123" s="726"/>
      <c r="M123" s="726"/>
      <c r="N123" s="726"/>
      <c r="O123" s="726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  <c r="AA123" s="732"/>
      <c r="AB123" s="732"/>
      <c r="AC123" s="732"/>
      <c r="AD123" s="732"/>
      <c r="AE123" s="733"/>
      <c r="AF123" s="734" t="str">
        <f t="shared" si="5"/>
        <v/>
      </c>
      <c r="AG123" s="772"/>
      <c r="AH123" s="777"/>
      <c r="AI123" s="735"/>
      <c r="AJ123" s="735"/>
      <c r="AK123" s="735"/>
      <c r="AL123" s="735"/>
      <c r="AM123" s="735"/>
      <c r="AN123" s="735"/>
      <c r="AO123" s="735"/>
      <c r="AP123" s="735"/>
      <c r="AQ123" s="735"/>
      <c r="AR123" s="735"/>
      <c r="AS123" s="735"/>
      <c r="AT123" s="735"/>
      <c r="AU123" s="735"/>
      <c r="AV123" s="735"/>
      <c r="AW123" s="735"/>
      <c r="AX123" s="735"/>
      <c r="AY123" s="735"/>
      <c r="AZ123" s="735"/>
      <c r="BA123" s="735"/>
      <c r="BB123" s="735"/>
      <c r="BC123" s="735"/>
      <c r="BD123" s="735"/>
      <c r="BE123" s="735"/>
      <c r="BF123" s="735"/>
      <c r="BG123" s="735"/>
      <c r="BH123" s="735"/>
      <c r="BI123" s="735"/>
      <c r="BJ123" s="735"/>
      <c r="BK123" s="735"/>
      <c r="BL123" s="735"/>
    </row>
    <row r="124" spans="1:64" ht="18.75" x14ac:dyDescent="0.25">
      <c r="A124" s="758"/>
      <c r="B124" s="737"/>
      <c r="C124" s="730"/>
      <c r="D124" s="739"/>
      <c r="E124" s="765"/>
      <c r="F124" s="765"/>
      <c r="G124" s="765"/>
      <c r="H124" s="765"/>
      <c r="I124" s="746" t="str">
        <f t="shared" si="4"/>
        <v/>
      </c>
      <c r="J124" s="731"/>
      <c r="K124" s="731" t="str">
        <f t="shared" si="3"/>
        <v/>
      </c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  <c r="AA124" s="732"/>
      <c r="AB124" s="732"/>
      <c r="AC124" s="732"/>
      <c r="AD124" s="732"/>
      <c r="AE124" s="733"/>
      <c r="AF124" s="734" t="str">
        <f t="shared" si="5"/>
        <v/>
      </c>
      <c r="AG124" s="773"/>
    </row>
    <row r="125" spans="1:64" ht="18.75" x14ac:dyDescent="0.25">
      <c r="A125" s="758"/>
      <c r="B125" s="737"/>
      <c r="C125" s="730"/>
      <c r="D125" s="739"/>
      <c r="E125" s="765"/>
      <c r="F125" s="765"/>
      <c r="G125" s="765"/>
      <c r="H125" s="765"/>
      <c r="I125" s="746" t="str">
        <f t="shared" si="4"/>
        <v/>
      </c>
      <c r="J125" s="731"/>
      <c r="K125" s="731" t="str">
        <f t="shared" si="3"/>
        <v/>
      </c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  <c r="AA125" s="732"/>
      <c r="AB125" s="732"/>
      <c r="AC125" s="732"/>
      <c r="AD125" s="732"/>
      <c r="AE125" s="733"/>
      <c r="AF125" s="734" t="str">
        <f t="shared" si="5"/>
        <v/>
      </c>
      <c r="AG125" s="773"/>
    </row>
    <row r="126" spans="1:64" ht="18.75" x14ac:dyDescent="0.25">
      <c r="A126" s="758"/>
      <c r="B126" s="737"/>
      <c r="C126" s="730"/>
      <c r="D126" s="739"/>
      <c r="E126" s="765"/>
      <c r="F126" s="765"/>
      <c r="G126" s="765"/>
      <c r="H126" s="765"/>
      <c r="I126" s="746" t="str">
        <f t="shared" si="4"/>
        <v/>
      </c>
      <c r="J126" s="731"/>
      <c r="K126" s="731" t="str">
        <f t="shared" si="3"/>
        <v/>
      </c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  <c r="AA126" s="732"/>
      <c r="AB126" s="732"/>
      <c r="AC126" s="732"/>
      <c r="AD126" s="732"/>
      <c r="AE126" s="733"/>
      <c r="AF126" s="734" t="str">
        <f t="shared" si="5"/>
        <v/>
      </c>
      <c r="AG126" s="773"/>
    </row>
    <row r="127" spans="1:64" ht="18.75" x14ac:dyDescent="0.25">
      <c r="A127" s="758"/>
      <c r="B127" s="737"/>
      <c r="C127" s="730"/>
      <c r="D127" s="739"/>
      <c r="E127" s="765"/>
      <c r="F127" s="765"/>
      <c r="G127" s="765"/>
      <c r="H127" s="765"/>
      <c r="I127" s="746" t="str">
        <f t="shared" si="4"/>
        <v/>
      </c>
      <c r="J127" s="731"/>
      <c r="K127" s="731" t="str">
        <f t="shared" si="3"/>
        <v/>
      </c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32"/>
      <c r="AB127" s="732"/>
      <c r="AC127" s="732"/>
      <c r="AD127" s="732"/>
      <c r="AE127" s="733"/>
      <c r="AF127" s="734" t="str">
        <f t="shared" si="5"/>
        <v/>
      </c>
      <c r="AG127" s="773"/>
    </row>
    <row r="128" spans="1:64" ht="18.75" x14ac:dyDescent="0.25">
      <c r="A128" s="758"/>
      <c r="B128" s="737"/>
      <c r="C128" s="730"/>
      <c r="D128" s="739"/>
      <c r="E128" s="765"/>
      <c r="F128" s="765"/>
      <c r="G128" s="765"/>
      <c r="H128" s="765"/>
      <c r="I128" s="746" t="str">
        <f t="shared" si="4"/>
        <v/>
      </c>
      <c r="J128" s="731"/>
      <c r="K128" s="731" t="str">
        <f t="shared" si="3"/>
        <v/>
      </c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32"/>
      <c r="AB128" s="732"/>
      <c r="AC128" s="732"/>
      <c r="AD128" s="732"/>
      <c r="AE128" s="733"/>
      <c r="AF128" s="734" t="str">
        <f t="shared" si="5"/>
        <v/>
      </c>
      <c r="AG128" s="773"/>
    </row>
    <row r="129" spans="1:64" ht="18.75" x14ac:dyDescent="0.25">
      <c r="A129" s="758"/>
      <c r="B129" s="737"/>
      <c r="C129" s="730"/>
      <c r="D129" s="739"/>
      <c r="E129" s="765"/>
      <c r="F129" s="765"/>
      <c r="G129" s="765"/>
      <c r="H129" s="765"/>
      <c r="I129" s="746" t="str">
        <f t="shared" si="4"/>
        <v/>
      </c>
      <c r="J129" s="731"/>
      <c r="K129" s="731" t="str">
        <f t="shared" si="3"/>
        <v/>
      </c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32"/>
      <c r="AB129" s="732"/>
      <c r="AC129" s="732"/>
      <c r="AD129" s="732"/>
      <c r="AE129" s="733"/>
      <c r="AF129" s="734" t="str">
        <f t="shared" si="5"/>
        <v/>
      </c>
      <c r="AG129" s="773"/>
    </row>
    <row r="130" spans="1:64" ht="18.75" x14ac:dyDescent="0.25">
      <c r="A130" s="758"/>
      <c r="B130" s="737"/>
      <c r="C130" s="730"/>
      <c r="D130" s="739"/>
      <c r="E130" s="765"/>
      <c r="F130" s="765"/>
      <c r="G130" s="765"/>
      <c r="H130" s="765"/>
      <c r="I130" s="746" t="str">
        <f t="shared" si="4"/>
        <v/>
      </c>
      <c r="J130" s="731"/>
      <c r="K130" s="731" t="str">
        <f t="shared" si="3"/>
        <v/>
      </c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32"/>
      <c r="AB130" s="732"/>
      <c r="AC130" s="732"/>
      <c r="AD130" s="732"/>
      <c r="AE130" s="733"/>
      <c r="AF130" s="734" t="str">
        <f t="shared" si="5"/>
        <v/>
      </c>
      <c r="AG130" s="773"/>
    </row>
    <row r="131" spans="1:64" ht="18.75" x14ac:dyDescent="0.25">
      <c r="A131" s="758"/>
      <c r="B131" s="737"/>
      <c r="C131" s="730"/>
      <c r="D131" s="739"/>
      <c r="E131" s="765"/>
      <c r="F131" s="765"/>
      <c r="G131" s="765"/>
      <c r="H131" s="765"/>
      <c r="I131" s="746" t="str">
        <f t="shared" si="4"/>
        <v/>
      </c>
      <c r="J131" s="731"/>
      <c r="K131" s="731" t="str">
        <f t="shared" si="3"/>
        <v/>
      </c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32"/>
      <c r="AB131" s="732"/>
      <c r="AC131" s="732"/>
      <c r="AD131" s="732"/>
      <c r="AE131" s="733"/>
      <c r="AF131" s="734" t="str">
        <f t="shared" si="5"/>
        <v/>
      </c>
      <c r="AG131" s="773"/>
    </row>
    <row r="132" spans="1:64" ht="18.75" x14ac:dyDescent="0.25">
      <c r="A132" s="758"/>
      <c r="B132" s="737"/>
      <c r="C132" s="730"/>
      <c r="D132" s="739"/>
      <c r="E132" s="765"/>
      <c r="F132" s="765"/>
      <c r="G132" s="765"/>
      <c r="H132" s="765"/>
      <c r="I132" s="746" t="str">
        <f t="shared" si="4"/>
        <v/>
      </c>
      <c r="J132" s="731"/>
      <c r="K132" s="731" t="str">
        <f t="shared" ref="K132:K195" si="6">IF(AA132-AE132 = 0,"",AA132-AE132)</f>
        <v/>
      </c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32"/>
      <c r="AB132" s="732"/>
      <c r="AC132" s="732"/>
      <c r="AD132" s="732"/>
      <c r="AE132" s="733"/>
      <c r="AF132" s="734" t="str">
        <f t="shared" si="5"/>
        <v/>
      </c>
      <c r="AG132" s="773"/>
    </row>
    <row r="133" spans="1:64" ht="18.75" x14ac:dyDescent="0.25">
      <c r="A133" s="758"/>
      <c r="B133" s="737"/>
      <c r="C133" s="730"/>
      <c r="D133" s="739"/>
      <c r="E133" s="765"/>
      <c r="F133" s="765"/>
      <c r="G133" s="765"/>
      <c r="H133" s="765"/>
      <c r="I133" s="746" t="str">
        <f t="shared" ref="I133:I196" si="7">AF133</f>
        <v/>
      </c>
      <c r="J133" s="731"/>
      <c r="K133" s="731" t="str">
        <f t="shared" si="6"/>
        <v/>
      </c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32"/>
      <c r="AB133" s="732"/>
      <c r="AC133" s="732"/>
      <c r="AD133" s="732"/>
      <c r="AE133" s="733"/>
      <c r="AF133" s="734" t="str">
        <f t="shared" ref="AF133:AF196" si="8">IF(AE133 &lt;&gt;"", AE133/AA133,"")</f>
        <v/>
      </c>
      <c r="AG133" s="773"/>
    </row>
    <row r="134" spans="1:64" ht="18.75" x14ac:dyDescent="0.25">
      <c r="A134" s="758"/>
      <c r="B134" s="737"/>
      <c r="C134" s="730"/>
      <c r="D134" s="739"/>
      <c r="E134" s="765"/>
      <c r="F134" s="765"/>
      <c r="G134" s="765"/>
      <c r="H134" s="765"/>
      <c r="I134" s="746" t="str">
        <f t="shared" si="7"/>
        <v/>
      </c>
      <c r="J134" s="731"/>
      <c r="K134" s="731" t="str">
        <f t="shared" si="6"/>
        <v/>
      </c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32"/>
      <c r="AB134" s="732"/>
      <c r="AC134" s="732"/>
      <c r="AD134" s="732"/>
      <c r="AE134" s="733"/>
      <c r="AF134" s="734" t="str">
        <f t="shared" si="8"/>
        <v/>
      </c>
      <c r="AG134" s="773"/>
    </row>
    <row r="135" spans="1:64" ht="18.75" x14ac:dyDescent="0.25">
      <c r="A135" s="758"/>
      <c r="B135" s="737"/>
      <c r="C135" s="730"/>
      <c r="D135" s="739"/>
      <c r="E135" s="765"/>
      <c r="F135" s="765"/>
      <c r="G135" s="765"/>
      <c r="H135" s="765"/>
      <c r="I135" s="746" t="str">
        <f t="shared" si="7"/>
        <v/>
      </c>
      <c r="J135" s="731"/>
      <c r="K135" s="731" t="str">
        <f t="shared" si="6"/>
        <v/>
      </c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32"/>
      <c r="AB135" s="732"/>
      <c r="AC135" s="732"/>
      <c r="AD135" s="732"/>
      <c r="AE135" s="733"/>
      <c r="AF135" s="734" t="str">
        <f t="shared" si="8"/>
        <v/>
      </c>
      <c r="AG135" s="773"/>
    </row>
    <row r="136" spans="1:64" ht="18.75" x14ac:dyDescent="0.25">
      <c r="A136" s="758"/>
      <c r="B136" s="737"/>
      <c r="C136" s="730"/>
      <c r="D136" s="739"/>
      <c r="E136" s="765"/>
      <c r="F136" s="765"/>
      <c r="G136" s="765"/>
      <c r="H136" s="765"/>
      <c r="I136" s="746" t="str">
        <f t="shared" si="7"/>
        <v/>
      </c>
      <c r="J136" s="731"/>
      <c r="K136" s="731" t="str">
        <f t="shared" si="6"/>
        <v/>
      </c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32"/>
      <c r="AB136" s="732"/>
      <c r="AC136" s="732"/>
      <c r="AD136" s="732"/>
      <c r="AE136" s="733"/>
      <c r="AF136" s="734" t="str">
        <f t="shared" si="8"/>
        <v/>
      </c>
      <c r="AG136" s="773"/>
    </row>
    <row r="137" spans="1:64" ht="18.75" x14ac:dyDescent="0.25">
      <c r="A137" s="758"/>
      <c r="B137" s="737"/>
      <c r="C137" s="730"/>
      <c r="D137" s="739"/>
      <c r="E137" s="765"/>
      <c r="F137" s="765"/>
      <c r="G137" s="765"/>
      <c r="H137" s="765"/>
      <c r="I137" s="746" t="str">
        <f t="shared" si="7"/>
        <v/>
      </c>
      <c r="J137" s="731"/>
      <c r="K137" s="731" t="str">
        <f t="shared" si="6"/>
        <v/>
      </c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32"/>
      <c r="AB137" s="732"/>
      <c r="AC137" s="732"/>
      <c r="AD137" s="732"/>
      <c r="AE137" s="733"/>
      <c r="AF137" s="734" t="str">
        <f t="shared" si="8"/>
        <v/>
      </c>
      <c r="AG137" s="773"/>
    </row>
    <row r="138" spans="1:64" ht="18.75" x14ac:dyDescent="0.25">
      <c r="A138" s="758"/>
      <c r="B138" s="737"/>
      <c r="C138" s="730"/>
      <c r="D138" s="739"/>
      <c r="E138" s="765"/>
      <c r="F138" s="765"/>
      <c r="G138" s="765"/>
      <c r="H138" s="765"/>
      <c r="I138" s="746" t="str">
        <f t="shared" si="7"/>
        <v/>
      </c>
      <c r="J138" s="731"/>
      <c r="K138" s="731" t="str">
        <f t="shared" si="6"/>
        <v/>
      </c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32"/>
      <c r="AB138" s="732"/>
      <c r="AC138" s="732"/>
      <c r="AD138" s="732"/>
      <c r="AE138" s="733"/>
      <c r="AF138" s="734" t="str">
        <f t="shared" si="8"/>
        <v/>
      </c>
      <c r="AG138" s="773"/>
    </row>
    <row r="139" spans="1:64" ht="18.75" x14ac:dyDescent="0.25">
      <c r="A139" s="758"/>
      <c r="B139" s="737"/>
      <c r="C139" s="730"/>
      <c r="D139" s="739"/>
      <c r="E139" s="765"/>
      <c r="F139" s="765"/>
      <c r="G139" s="765"/>
      <c r="H139" s="765"/>
      <c r="I139" s="746" t="str">
        <f t="shared" si="7"/>
        <v/>
      </c>
      <c r="J139" s="731"/>
      <c r="K139" s="731" t="str">
        <f t="shared" si="6"/>
        <v/>
      </c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32"/>
      <c r="AB139" s="732"/>
      <c r="AC139" s="732"/>
      <c r="AD139" s="732"/>
      <c r="AE139" s="733"/>
      <c r="AF139" s="734" t="str">
        <f t="shared" si="8"/>
        <v/>
      </c>
      <c r="AG139" s="773"/>
    </row>
    <row r="140" spans="1:64" ht="18.75" x14ac:dyDescent="0.25">
      <c r="A140" s="758"/>
      <c r="B140" s="737"/>
      <c r="C140" s="730"/>
      <c r="D140" s="739"/>
      <c r="E140" s="765"/>
      <c r="F140" s="765"/>
      <c r="G140" s="765"/>
      <c r="H140" s="765"/>
      <c r="I140" s="746" t="str">
        <f t="shared" si="7"/>
        <v/>
      </c>
      <c r="J140" s="731"/>
      <c r="K140" s="731" t="str">
        <f t="shared" si="6"/>
        <v/>
      </c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32"/>
      <c r="AB140" s="732"/>
      <c r="AC140" s="732"/>
      <c r="AD140" s="732"/>
      <c r="AE140" s="733"/>
      <c r="AF140" s="734" t="str">
        <f t="shared" si="8"/>
        <v/>
      </c>
      <c r="AG140" s="773"/>
    </row>
    <row r="141" spans="1:64" ht="18.75" x14ac:dyDescent="0.25">
      <c r="A141" s="758"/>
      <c r="B141" s="737"/>
      <c r="C141" s="730"/>
      <c r="D141" s="739"/>
      <c r="E141" s="765"/>
      <c r="F141" s="765"/>
      <c r="G141" s="765"/>
      <c r="H141" s="765"/>
      <c r="I141" s="746" t="str">
        <f t="shared" si="7"/>
        <v/>
      </c>
      <c r="J141" s="731"/>
      <c r="K141" s="731" t="str">
        <f t="shared" si="6"/>
        <v/>
      </c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32"/>
      <c r="AB141" s="732"/>
      <c r="AC141" s="732"/>
      <c r="AD141" s="732"/>
      <c r="AE141" s="733"/>
      <c r="AF141" s="734" t="str">
        <f t="shared" si="8"/>
        <v/>
      </c>
      <c r="AG141" s="774"/>
      <c r="AH141" s="778"/>
      <c r="AI141" s="736"/>
      <c r="AJ141" s="736"/>
      <c r="AK141" s="736"/>
      <c r="AL141" s="736"/>
      <c r="AM141" s="736"/>
      <c r="AN141" s="736"/>
      <c r="AO141" s="736"/>
      <c r="AP141" s="736"/>
      <c r="AQ141" s="736"/>
      <c r="AR141" s="736"/>
      <c r="AS141" s="736"/>
      <c r="AT141" s="736"/>
      <c r="AU141" s="736"/>
      <c r="AV141" s="736"/>
      <c r="AW141" s="736"/>
      <c r="AX141" s="736"/>
      <c r="AY141" s="736"/>
      <c r="AZ141" s="736"/>
      <c r="BA141" s="736"/>
      <c r="BB141" s="736"/>
      <c r="BC141" s="736"/>
      <c r="BD141" s="736"/>
      <c r="BE141" s="736"/>
      <c r="BF141" s="736"/>
      <c r="BG141" s="736"/>
      <c r="BH141" s="736"/>
      <c r="BI141" s="736"/>
      <c r="BJ141" s="736"/>
      <c r="BK141" s="736"/>
      <c r="BL141" s="736"/>
    </row>
    <row r="142" spans="1:64" ht="18.75" x14ac:dyDescent="0.25">
      <c r="A142" s="758"/>
      <c r="B142" s="737"/>
      <c r="C142" s="730"/>
      <c r="D142" s="739"/>
      <c r="E142" s="765"/>
      <c r="F142" s="765"/>
      <c r="G142" s="765"/>
      <c r="H142" s="765"/>
      <c r="I142" s="746" t="str">
        <f t="shared" si="7"/>
        <v/>
      </c>
      <c r="J142" s="731"/>
      <c r="K142" s="731" t="str">
        <f t="shared" si="6"/>
        <v/>
      </c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32"/>
      <c r="AB142" s="732"/>
      <c r="AC142" s="732"/>
      <c r="AD142" s="732"/>
      <c r="AE142" s="733"/>
      <c r="AF142" s="734" t="str">
        <f t="shared" si="8"/>
        <v/>
      </c>
      <c r="AG142" s="774"/>
      <c r="AH142" s="778"/>
      <c r="AI142" s="736"/>
      <c r="AJ142" s="736"/>
      <c r="AK142" s="736"/>
      <c r="AL142" s="736"/>
      <c r="AM142" s="736"/>
      <c r="AN142" s="736"/>
      <c r="AO142" s="736"/>
      <c r="AP142" s="736"/>
      <c r="AQ142" s="736"/>
      <c r="AR142" s="736"/>
      <c r="AS142" s="736"/>
      <c r="AT142" s="736"/>
      <c r="AU142" s="736"/>
      <c r="AV142" s="736"/>
      <c r="AW142" s="736"/>
      <c r="AX142" s="736"/>
      <c r="AY142" s="736"/>
      <c r="AZ142" s="736"/>
      <c r="BA142" s="736"/>
      <c r="BB142" s="736"/>
      <c r="BC142" s="736"/>
      <c r="BD142" s="736"/>
      <c r="BE142" s="736"/>
      <c r="BF142" s="736"/>
      <c r="BG142" s="736"/>
      <c r="BH142" s="736"/>
      <c r="BI142" s="736"/>
      <c r="BJ142" s="736"/>
      <c r="BK142" s="736"/>
      <c r="BL142" s="736"/>
    </row>
    <row r="143" spans="1:64" ht="18.75" x14ac:dyDescent="0.25">
      <c r="A143" s="758"/>
      <c r="B143" s="737"/>
      <c r="C143" s="730"/>
      <c r="D143" s="739"/>
      <c r="E143" s="765"/>
      <c r="F143" s="765"/>
      <c r="G143" s="765"/>
      <c r="H143" s="765"/>
      <c r="I143" s="746" t="str">
        <f t="shared" si="7"/>
        <v/>
      </c>
      <c r="J143" s="731"/>
      <c r="K143" s="731" t="str">
        <f t="shared" si="6"/>
        <v/>
      </c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32"/>
      <c r="AB143" s="732"/>
      <c r="AC143" s="732"/>
      <c r="AD143" s="732"/>
      <c r="AE143" s="733"/>
      <c r="AF143" s="734" t="str">
        <f t="shared" si="8"/>
        <v/>
      </c>
      <c r="AG143" s="773"/>
    </row>
    <row r="144" spans="1:64" ht="18.75" x14ac:dyDescent="0.25">
      <c r="A144" s="758"/>
      <c r="B144" s="737"/>
      <c r="C144" s="730"/>
      <c r="D144" s="739"/>
      <c r="E144" s="765"/>
      <c r="F144" s="765"/>
      <c r="G144" s="765"/>
      <c r="H144" s="765"/>
      <c r="I144" s="746" t="str">
        <f t="shared" si="7"/>
        <v/>
      </c>
      <c r="J144" s="731"/>
      <c r="K144" s="731" t="str">
        <f t="shared" si="6"/>
        <v/>
      </c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32"/>
      <c r="AB144" s="732"/>
      <c r="AC144" s="732"/>
      <c r="AD144" s="732"/>
      <c r="AE144" s="733"/>
      <c r="AF144" s="734" t="str">
        <f t="shared" si="8"/>
        <v/>
      </c>
      <c r="AG144" s="773"/>
    </row>
    <row r="145" spans="1:64" ht="18.75" x14ac:dyDescent="0.25">
      <c r="A145" s="758"/>
      <c r="B145" s="737"/>
      <c r="C145" s="730"/>
      <c r="D145" s="739"/>
      <c r="E145" s="765"/>
      <c r="F145" s="765"/>
      <c r="G145" s="765"/>
      <c r="H145" s="765"/>
      <c r="I145" s="746" t="str">
        <f t="shared" si="7"/>
        <v/>
      </c>
      <c r="J145" s="731"/>
      <c r="K145" s="731" t="str">
        <f t="shared" si="6"/>
        <v/>
      </c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32"/>
      <c r="AB145" s="732"/>
      <c r="AC145" s="732"/>
      <c r="AD145" s="732"/>
      <c r="AE145" s="733"/>
      <c r="AF145" s="734" t="str">
        <f t="shared" si="8"/>
        <v/>
      </c>
      <c r="AG145" s="774"/>
      <c r="AH145" s="778"/>
      <c r="AI145" s="736"/>
      <c r="AJ145" s="736"/>
      <c r="AK145" s="736"/>
      <c r="AL145" s="736"/>
      <c r="AM145" s="736"/>
      <c r="AN145" s="736"/>
      <c r="AO145" s="736"/>
      <c r="AP145" s="736"/>
      <c r="AQ145" s="736"/>
      <c r="AR145" s="736"/>
      <c r="AS145" s="736"/>
      <c r="AT145" s="736"/>
      <c r="AU145" s="736"/>
      <c r="AV145" s="736"/>
      <c r="AW145" s="736"/>
      <c r="AX145" s="736"/>
      <c r="AY145" s="736"/>
      <c r="AZ145" s="736"/>
      <c r="BA145" s="736"/>
      <c r="BB145" s="736"/>
      <c r="BC145" s="736"/>
      <c r="BD145" s="736"/>
      <c r="BE145" s="736"/>
      <c r="BF145" s="736"/>
      <c r="BG145" s="736"/>
      <c r="BH145" s="736"/>
      <c r="BI145" s="736"/>
      <c r="BJ145" s="736"/>
      <c r="BK145" s="736"/>
      <c r="BL145" s="736"/>
    </row>
    <row r="146" spans="1:64" ht="18.75" x14ac:dyDescent="0.25">
      <c r="A146" s="758"/>
      <c r="B146" s="737"/>
      <c r="C146" s="730"/>
      <c r="D146" s="739"/>
      <c r="E146" s="765"/>
      <c r="F146" s="765"/>
      <c r="G146" s="765"/>
      <c r="H146" s="765"/>
      <c r="I146" s="746" t="str">
        <f t="shared" si="7"/>
        <v/>
      </c>
      <c r="J146" s="731"/>
      <c r="K146" s="731" t="str">
        <f t="shared" si="6"/>
        <v/>
      </c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32"/>
      <c r="AB146" s="732"/>
      <c r="AC146" s="732"/>
      <c r="AD146" s="732"/>
      <c r="AE146" s="733"/>
      <c r="AF146" s="734" t="str">
        <f t="shared" si="8"/>
        <v/>
      </c>
      <c r="AG146" s="773"/>
    </row>
    <row r="147" spans="1:64" ht="18.75" x14ac:dyDescent="0.25">
      <c r="A147" s="758"/>
      <c r="B147" s="737"/>
      <c r="C147" s="730"/>
      <c r="D147" s="739"/>
      <c r="E147" s="765"/>
      <c r="F147" s="765"/>
      <c r="G147" s="765"/>
      <c r="H147" s="765"/>
      <c r="I147" s="746" t="str">
        <f t="shared" si="7"/>
        <v/>
      </c>
      <c r="J147" s="731"/>
      <c r="K147" s="731" t="str">
        <f t="shared" si="6"/>
        <v/>
      </c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32"/>
      <c r="AB147" s="732"/>
      <c r="AC147" s="732"/>
      <c r="AD147" s="732"/>
      <c r="AE147" s="733"/>
      <c r="AF147" s="734" t="str">
        <f t="shared" si="8"/>
        <v/>
      </c>
      <c r="AG147" s="773"/>
    </row>
    <row r="148" spans="1:64" ht="18.75" x14ac:dyDescent="0.25">
      <c r="A148" s="758"/>
      <c r="B148" s="737"/>
      <c r="C148" s="730"/>
      <c r="D148" s="739"/>
      <c r="E148" s="765"/>
      <c r="F148" s="765"/>
      <c r="G148" s="765"/>
      <c r="H148" s="765"/>
      <c r="I148" s="746" t="str">
        <f t="shared" si="7"/>
        <v/>
      </c>
      <c r="J148" s="731"/>
      <c r="K148" s="731" t="str">
        <f t="shared" si="6"/>
        <v/>
      </c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32"/>
      <c r="AB148" s="732"/>
      <c r="AC148" s="732"/>
      <c r="AD148" s="732"/>
      <c r="AE148" s="733"/>
      <c r="AF148" s="734" t="str">
        <f t="shared" si="8"/>
        <v/>
      </c>
      <c r="AG148" s="774"/>
      <c r="AH148" s="778"/>
      <c r="AI148" s="736"/>
      <c r="AJ148" s="736"/>
      <c r="AK148" s="736"/>
      <c r="AL148" s="736"/>
      <c r="AM148" s="736"/>
      <c r="AN148" s="736"/>
      <c r="AO148" s="736"/>
      <c r="AP148" s="736"/>
      <c r="AQ148" s="736"/>
      <c r="AR148" s="736"/>
      <c r="AS148" s="736"/>
      <c r="AT148" s="736"/>
      <c r="AU148" s="736"/>
      <c r="AV148" s="736"/>
      <c r="AW148" s="736"/>
      <c r="AX148" s="736"/>
      <c r="AY148" s="736"/>
      <c r="AZ148" s="736"/>
      <c r="BA148" s="736"/>
      <c r="BB148" s="736"/>
      <c r="BC148" s="736"/>
      <c r="BD148" s="736"/>
      <c r="BE148" s="736"/>
      <c r="BF148" s="736"/>
      <c r="BG148" s="736"/>
      <c r="BH148" s="736"/>
      <c r="BI148" s="736"/>
      <c r="BJ148" s="736"/>
      <c r="BK148" s="736"/>
      <c r="BL148" s="736"/>
    </row>
    <row r="149" spans="1:64" ht="18.75" x14ac:dyDescent="0.25">
      <c r="A149" s="758"/>
      <c r="B149" s="737"/>
      <c r="C149" s="730"/>
      <c r="D149" s="739"/>
      <c r="E149" s="765"/>
      <c r="F149" s="765"/>
      <c r="G149" s="765"/>
      <c r="H149" s="765"/>
      <c r="I149" s="746" t="str">
        <f t="shared" si="7"/>
        <v/>
      </c>
      <c r="J149" s="731"/>
      <c r="K149" s="731" t="str">
        <f t="shared" si="6"/>
        <v/>
      </c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32"/>
      <c r="AB149" s="732"/>
      <c r="AC149" s="732"/>
      <c r="AD149" s="732"/>
      <c r="AE149" s="733"/>
      <c r="AF149" s="734" t="str">
        <f t="shared" si="8"/>
        <v/>
      </c>
      <c r="AG149" s="773"/>
    </row>
    <row r="150" spans="1:64" ht="18.75" x14ac:dyDescent="0.25">
      <c r="A150" s="758"/>
      <c r="B150" s="737"/>
      <c r="C150" s="730"/>
      <c r="D150" s="739"/>
      <c r="E150" s="765"/>
      <c r="F150" s="765"/>
      <c r="G150" s="765"/>
      <c r="H150" s="765"/>
      <c r="I150" s="746" t="str">
        <f t="shared" si="7"/>
        <v/>
      </c>
      <c r="J150" s="731"/>
      <c r="K150" s="731" t="str">
        <f t="shared" si="6"/>
        <v/>
      </c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32"/>
      <c r="AB150" s="732"/>
      <c r="AC150" s="732"/>
      <c r="AD150" s="732"/>
      <c r="AE150" s="733"/>
      <c r="AF150" s="734" t="str">
        <f t="shared" si="8"/>
        <v/>
      </c>
      <c r="AG150" s="774"/>
      <c r="AH150" s="778"/>
      <c r="AI150" s="736"/>
      <c r="AJ150" s="736"/>
      <c r="AK150" s="736"/>
      <c r="AL150" s="736"/>
      <c r="AM150" s="736"/>
      <c r="AN150" s="736"/>
      <c r="AO150" s="736"/>
      <c r="AP150" s="736"/>
      <c r="AQ150" s="736"/>
      <c r="AR150" s="736"/>
      <c r="AS150" s="736"/>
      <c r="AT150" s="736"/>
      <c r="AU150" s="736"/>
      <c r="AV150" s="736"/>
      <c r="AW150" s="736"/>
      <c r="AX150" s="736"/>
      <c r="AY150" s="736"/>
      <c r="AZ150" s="736"/>
      <c r="BA150" s="736"/>
      <c r="BB150" s="736"/>
      <c r="BC150" s="736"/>
      <c r="BD150" s="736"/>
      <c r="BE150" s="736"/>
      <c r="BF150" s="736"/>
      <c r="BG150" s="736"/>
      <c r="BH150" s="736"/>
      <c r="BI150" s="736"/>
      <c r="BJ150" s="736"/>
      <c r="BK150" s="736"/>
      <c r="BL150" s="736"/>
    </row>
    <row r="151" spans="1:64" ht="18.75" x14ac:dyDescent="0.25">
      <c r="A151" s="758"/>
      <c r="B151" s="737"/>
      <c r="C151" s="730"/>
      <c r="D151" s="739"/>
      <c r="E151" s="765"/>
      <c r="F151" s="765"/>
      <c r="G151" s="765"/>
      <c r="H151" s="765"/>
      <c r="I151" s="746" t="str">
        <f t="shared" si="7"/>
        <v/>
      </c>
      <c r="J151" s="731"/>
      <c r="K151" s="731" t="str">
        <f t="shared" si="6"/>
        <v/>
      </c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32"/>
      <c r="AB151" s="732"/>
      <c r="AC151" s="732"/>
      <c r="AD151" s="732"/>
      <c r="AE151" s="733"/>
      <c r="AF151" s="734" t="str">
        <f t="shared" si="8"/>
        <v/>
      </c>
      <c r="AG151" s="774"/>
      <c r="AH151" s="778"/>
      <c r="AI151" s="736"/>
      <c r="AJ151" s="736"/>
      <c r="AK151" s="736"/>
      <c r="AL151" s="736"/>
      <c r="AM151" s="736"/>
      <c r="AN151" s="736"/>
      <c r="AO151" s="736"/>
      <c r="AP151" s="736"/>
      <c r="AQ151" s="736"/>
      <c r="AR151" s="736"/>
      <c r="AS151" s="736"/>
      <c r="AT151" s="736"/>
      <c r="AU151" s="736"/>
      <c r="AV151" s="736"/>
      <c r="AW151" s="736"/>
      <c r="AX151" s="736"/>
      <c r="AY151" s="736"/>
      <c r="AZ151" s="736"/>
      <c r="BA151" s="736"/>
      <c r="BB151" s="736"/>
      <c r="BC151" s="736"/>
      <c r="BD151" s="736"/>
      <c r="BE151" s="736"/>
      <c r="BF151" s="736"/>
      <c r="BG151" s="736"/>
      <c r="BH151" s="736"/>
      <c r="BI151" s="736"/>
      <c r="BJ151" s="736"/>
      <c r="BK151" s="736"/>
      <c r="BL151" s="736"/>
    </row>
    <row r="152" spans="1:64" ht="18.75" x14ac:dyDescent="0.25">
      <c r="A152" s="758"/>
      <c r="B152" s="737"/>
      <c r="C152" s="730"/>
      <c r="D152" s="739"/>
      <c r="E152" s="765"/>
      <c r="F152" s="765"/>
      <c r="G152" s="765"/>
      <c r="H152" s="765"/>
      <c r="I152" s="746" t="str">
        <f t="shared" si="7"/>
        <v/>
      </c>
      <c r="J152" s="731"/>
      <c r="K152" s="731" t="str">
        <f t="shared" si="6"/>
        <v/>
      </c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32"/>
      <c r="AB152" s="732"/>
      <c r="AC152" s="732"/>
      <c r="AD152" s="732"/>
      <c r="AE152" s="733"/>
      <c r="AF152" s="734" t="str">
        <f t="shared" si="8"/>
        <v/>
      </c>
      <c r="AG152" s="773"/>
    </row>
    <row r="153" spans="1:64" ht="18.75" x14ac:dyDescent="0.25">
      <c r="A153" s="758"/>
      <c r="B153" s="737"/>
      <c r="C153" s="730"/>
      <c r="D153" s="739"/>
      <c r="E153" s="765"/>
      <c r="F153" s="765"/>
      <c r="G153" s="765"/>
      <c r="H153" s="765"/>
      <c r="I153" s="746" t="str">
        <f t="shared" si="7"/>
        <v/>
      </c>
      <c r="J153" s="731"/>
      <c r="K153" s="731" t="str">
        <f t="shared" si="6"/>
        <v/>
      </c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32"/>
      <c r="AB153" s="732"/>
      <c r="AC153" s="732"/>
      <c r="AD153" s="732"/>
      <c r="AE153" s="733"/>
      <c r="AF153" s="734" t="str">
        <f t="shared" si="8"/>
        <v/>
      </c>
      <c r="AG153" s="774"/>
      <c r="AH153" s="778"/>
      <c r="AI153" s="736"/>
      <c r="AJ153" s="736"/>
      <c r="AK153" s="736"/>
      <c r="AL153" s="736"/>
      <c r="AM153" s="736"/>
      <c r="AN153" s="736"/>
      <c r="AO153" s="736"/>
      <c r="AP153" s="736"/>
      <c r="AQ153" s="736"/>
      <c r="AR153" s="736"/>
      <c r="AS153" s="736"/>
      <c r="AT153" s="736"/>
      <c r="AU153" s="736"/>
      <c r="AV153" s="736"/>
      <c r="AW153" s="736"/>
      <c r="AX153" s="736"/>
      <c r="AY153" s="736"/>
      <c r="AZ153" s="736"/>
      <c r="BA153" s="736"/>
      <c r="BB153" s="736"/>
      <c r="BC153" s="736"/>
      <c r="BD153" s="736"/>
      <c r="BE153" s="736"/>
      <c r="BF153" s="736"/>
      <c r="BG153" s="736"/>
      <c r="BH153" s="736"/>
      <c r="BI153" s="736"/>
      <c r="BJ153" s="736"/>
      <c r="BK153" s="736"/>
      <c r="BL153" s="736"/>
    </row>
    <row r="154" spans="1:64" ht="18.75" x14ac:dyDescent="0.25">
      <c r="A154" s="758"/>
      <c r="B154" s="737"/>
      <c r="C154" s="730"/>
      <c r="D154" s="739"/>
      <c r="E154" s="765"/>
      <c r="F154" s="765"/>
      <c r="G154" s="765"/>
      <c r="H154" s="765"/>
      <c r="I154" s="746" t="str">
        <f t="shared" si="7"/>
        <v/>
      </c>
      <c r="J154" s="731"/>
      <c r="K154" s="731" t="str">
        <f t="shared" si="6"/>
        <v/>
      </c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32"/>
      <c r="AB154" s="732"/>
      <c r="AC154" s="732"/>
      <c r="AD154" s="732"/>
      <c r="AE154" s="733"/>
      <c r="AF154" s="734" t="str">
        <f t="shared" si="8"/>
        <v/>
      </c>
      <c r="AG154" s="773"/>
    </row>
    <row r="155" spans="1:64" ht="18.75" x14ac:dyDescent="0.25">
      <c r="A155" s="758"/>
      <c r="B155" s="737"/>
      <c r="C155" s="730"/>
      <c r="D155" s="739"/>
      <c r="E155" s="765"/>
      <c r="F155" s="765"/>
      <c r="G155" s="765"/>
      <c r="H155" s="765"/>
      <c r="I155" s="746" t="str">
        <f t="shared" si="7"/>
        <v/>
      </c>
      <c r="J155" s="731"/>
      <c r="K155" s="731" t="str">
        <f t="shared" si="6"/>
        <v/>
      </c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32"/>
      <c r="AB155" s="732"/>
      <c r="AC155" s="732"/>
      <c r="AD155" s="732"/>
      <c r="AE155" s="733"/>
      <c r="AF155" s="734" t="str">
        <f t="shared" si="8"/>
        <v/>
      </c>
      <c r="AG155" s="774"/>
      <c r="AH155" s="778"/>
      <c r="AI155" s="736"/>
      <c r="AJ155" s="736"/>
      <c r="AK155" s="736"/>
      <c r="AL155" s="736"/>
      <c r="AM155" s="736"/>
      <c r="AN155" s="736"/>
      <c r="AO155" s="736"/>
      <c r="AP155" s="736"/>
      <c r="AQ155" s="736"/>
      <c r="AR155" s="736"/>
      <c r="AS155" s="736"/>
      <c r="AT155" s="736"/>
      <c r="AU155" s="736"/>
      <c r="AV155" s="736"/>
      <c r="AW155" s="736"/>
      <c r="AX155" s="736"/>
      <c r="AY155" s="736"/>
      <c r="AZ155" s="736"/>
      <c r="BA155" s="736"/>
      <c r="BB155" s="736"/>
      <c r="BC155" s="736"/>
      <c r="BD155" s="736"/>
      <c r="BE155" s="736"/>
      <c r="BF155" s="736"/>
      <c r="BG155" s="736"/>
      <c r="BH155" s="736"/>
      <c r="BI155" s="736"/>
      <c r="BJ155" s="736"/>
      <c r="BK155" s="736"/>
      <c r="BL155" s="736"/>
    </row>
    <row r="156" spans="1:64" ht="18.75" x14ac:dyDescent="0.25">
      <c r="A156" s="758"/>
      <c r="B156" s="737"/>
      <c r="C156" s="730"/>
      <c r="D156" s="739"/>
      <c r="E156" s="765"/>
      <c r="F156" s="765"/>
      <c r="G156" s="765"/>
      <c r="H156" s="765"/>
      <c r="I156" s="746" t="str">
        <f t="shared" si="7"/>
        <v/>
      </c>
      <c r="J156" s="731"/>
      <c r="K156" s="731" t="str">
        <f t="shared" si="6"/>
        <v/>
      </c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32"/>
      <c r="AB156" s="732"/>
      <c r="AC156" s="732"/>
      <c r="AD156" s="732"/>
      <c r="AE156" s="733"/>
      <c r="AF156" s="734" t="str">
        <f t="shared" si="8"/>
        <v/>
      </c>
      <c r="AG156" s="774"/>
      <c r="AH156" s="778"/>
      <c r="AI156" s="736"/>
      <c r="AJ156" s="736"/>
      <c r="AK156" s="736"/>
      <c r="AL156" s="736"/>
      <c r="AM156" s="736"/>
      <c r="AN156" s="736"/>
      <c r="AO156" s="736"/>
      <c r="AP156" s="736"/>
      <c r="AQ156" s="736"/>
      <c r="AR156" s="736"/>
      <c r="AS156" s="736"/>
      <c r="AT156" s="736"/>
      <c r="AU156" s="736"/>
      <c r="AV156" s="736"/>
      <c r="AW156" s="736"/>
      <c r="AX156" s="736"/>
      <c r="AY156" s="736"/>
      <c r="AZ156" s="736"/>
      <c r="BA156" s="736"/>
      <c r="BB156" s="736"/>
      <c r="BC156" s="736"/>
      <c r="BD156" s="736"/>
      <c r="BE156" s="736"/>
      <c r="BF156" s="736"/>
      <c r="BG156" s="736"/>
      <c r="BH156" s="736"/>
      <c r="BI156" s="736"/>
      <c r="BJ156" s="736"/>
      <c r="BK156" s="736"/>
      <c r="BL156" s="736"/>
    </row>
    <row r="157" spans="1:64" ht="18.75" x14ac:dyDescent="0.25">
      <c r="A157" s="758"/>
      <c r="B157" s="737"/>
      <c r="C157" s="730"/>
      <c r="D157" s="739"/>
      <c r="E157" s="765"/>
      <c r="F157" s="765"/>
      <c r="G157" s="765"/>
      <c r="H157" s="765"/>
      <c r="I157" s="746" t="str">
        <f t="shared" si="7"/>
        <v/>
      </c>
      <c r="J157" s="731"/>
      <c r="K157" s="731" t="str">
        <f t="shared" si="6"/>
        <v/>
      </c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32"/>
      <c r="AB157" s="732"/>
      <c r="AC157" s="732"/>
      <c r="AD157" s="732"/>
      <c r="AE157" s="733"/>
      <c r="AF157" s="734" t="str">
        <f t="shared" si="8"/>
        <v/>
      </c>
      <c r="AG157" s="774"/>
      <c r="AH157" s="778"/>
      <c r="AI157" s="736"/>
      <c r="AJ157" s="736"/>
      <c r="AK157" s="736"/>
      <c r="AL157" s="736"/>
      <c r="AM157" s="736"/>
      <c r="AN157" s="736"/>
      <c r="AO157" s="736"/>
      <c r="AP157" s="736"/>
      <c r="AQ157" s="736"/>
      <c r="AR157" s="736"/>
      <c r="AS157" s="736"/>
      <c r="AT157" s="736"/>
      <c r="AU157" s="736"/>
      <c r="AV157" s="736"/>
      <c r="AW157" s="736"/>
      <c r="AX157" s="736"/>
      <c r="AY157" s="736"/>
      <c r="AZ157" s="736"/>
      <c r="BA157" s="736"/>
      <c r="BB157" s="736"/>
      <c r="BC157" s="736"/>
      <c r="BD157" s="736"/>
      <c r="BE157" s="736"/>
      <c r="BF157" s="736"/>
      <c r="BG157" s="736"/>
      <c r="BH157" s="736"/>
      <c r="BI157" s="736"/>
      <c r="BJ157" s="736"/>
      <c r="BK157" s="736"/>
      <c r="BL157" s="736"/>
    </row>
    <row r="158" spans="1:64" ht="18.75" x14ac:dyDescent="0.25">
      <c r="A158" s="758"/>
      <c r="B158" s="737"/>
      <c r="C158" s="730"/>
      <c r="D158" s="739"/>
      <c r="E158" s="765"/>
      <c r="F158" s="765"/>
      <c r="G158" s="765"/>
      <c r="H158" s="765"/>
      <c r="I158" s="746" t="str">
        <f t="shared" si="7"/>
        <v/>
      </c>
      <c r="J158" s="731"/>
      <c r="K158" s="731" t="str">
        <f t="shared" si="6"/>
        <v/>
      </c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32"/>
      <c r="AB158" s="732"/>
      <c r="AC158" s="732"/>
      <c r="AD158" s="732"/>
      <c r="AE158" s="733"/>
      <c r="AF158" s="734" t="str">
        <f t="shared" si="8"/>
        <v/>
      </c>
      <c r="AG158" s="774"/>
      <c r="AH158" s="778"/>
      <c r="AI158" s="736"/>
      <c r="AJ158" s="736"/>
      <c r="AK158" s="736"/>
      <c r="AL158" s="736"/>
      <c r="AM158" s="736"/>
      <c r="AN158" s="736"/>
      <c r="AO158" s="736"/>
      <c r="AP158" s="736"/>
      <c r="AQ158" s="736"/>
      <c r="AR158" s="736"/>
      <c r="AS158" s="736"/>
      <c r="AT158" s="736"/>
      <c r="AU158" s="736"/>
      <c r="AV158" s="736"/>
      <c r="AW158" s="736"/>
      <c r="AX158" s="736"/>
      <c r="AY158" s="736"/>
      <c r="AZ158" s="736"/>
      <c r="BA158" s="736"/>
      <c r="BB158" s="736"/>
      <c r="BC158" s="736"/>
      <c r="BD158" s="736"/>
      <c r="BE158" s="736"/>
      <c r="BF158" s="736"/>
      <c r="BG158" s="736"/>
      <c r="BH158" s="736"/>
      <c r="BI158" s="736"/>
      <c r="BJ158" s="736"/>
      <c r="BK158" s="736"/>
      <c r="BL158" s="736"/>
    </row>
    <row r="159" spans="1:64" ht="18.75" x14ac:dyDescent="0.25">
      <c r="A159" s="758"/>
      <c r="B159" s="737"/>
      <c r="C159" s="730"/>
      <c r="D159" s="739"/>
      <c r="E159" s="765"/>
      <c r="F159" s="765"/>
      <c r="G159" s="765"/>
      <c r="H159" s="765"/>
      <c r="I159" s="746" t="str">
        <f t="shared" si="7"/>
        <v/>
      </c>
      <c r="J159" s="731"/>
      <c r="K159" s="731" t="str">
        <f t="shared" si="6"/>
        <v/>
      </c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32"/>
      <c r="AB159" s="732"/>
      <c r="AC159" s="732"/>
      <c r="AD159" s="732"/>
      <c r="AE159" s="733"/>
      <c r="AF159" s="734" t="str">
        <f t="shared" si="8"/>
        <v/>
      </c>
      <c r="AG159" s="774"/>
      <c r="AH159" s="778"/>
      <c r="AI159" s="736"/>
      <c r="AJ159" s="736"/>
      <c r="AK159" s="736"/>
      <c r="AL159" s="736"/>
      <c r="AM159" s="736"/>
      <c r="AN159" s="736"/>
      <c r="AO159" s="736"/>
      <c r="AP159" s="736"/>
      <c r="AQ159" s="736"/>
      <c r="AR159" s="736"/>
      <c r="AS159" s="736"/>
      <c r="AT159" s="736"/>
      <c r="AU159" s="736"/>
      <c r="AV159" s="736"/>
      <c r="AW159" s="736"/>
      <c r="AX159" s="736"/>
      <c r="AY159" s="736"/>
      <c r="AZ159" s="736"/>
      <c r="BA159" s="736"/>
      <c r="BB159" s="736"/>
      <c r="BC159" s="736"/>
      <c r="BD159" s="736"/>
      <c r="BE159" s="736"/>
      <c r="BF159" s="736"/>
      <c r="BG159" s="736"/>
      <c r="BH159" s="736"/>
      <c r="BI159" s="736"/>
      <c r="BJ159" s="736"/>
      <c r="BK159" s="736"/>
      <c r="BL159" s="736"/>
    </row>
    <row r="160" spans="1:64" ht="18.75" x14ac:dyDescent="0.25">
      <c r="A160" s="758"/>
      <c r="B160" s="737"/>
      <c r="C160" s="730"/>
      <c r="D160" s="739"/>
      <c r="E160" s="765"/>
      <c r="F160" s="765"/>
      <c r="G160" s="765"/>
      <c r="H160" s="765"/>
      <c r="I160" s="746" t="str">
        <f t="shared" si="7"/>
        <v/>
      </c>
      <c r="J160" s="731"/>
      <c r="K160" s="731" t="str">
        <f t="shared" si="6"/>
        <v/>
      </c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32"/>
      <c r="AB160" s="732"/>
      <c r="AC160" s="732"/>
      <c r="AD160" s="732"/>
      <c r="AE160" s="733"/>
      <c r="AF160" s="734" t="str">
        <f t="shared" si="8"/>
        <v/>
      </c>
      <c r="AG160" s="774"/>
      <c r="AH160" s="778"/>
      <c r="AI160" s="736"/>
      <c r="AJ160" s="736"/>
      <c r="AK160" s="736"/>
      <c r="AL160" s="736"/>
      <c r="AM160" s="736"/>
      <c r="AN160" s="736"/>
      <c r="AO160" s="736"/>
      <c r="AP160" s="736"/>
      <c r="AQ160" s="736"/>
      <c r="AR160" s="736"/>
      <c r="AS160" s="736"/>
      <c r="AT160" s="736"/>
      <c r="AU160" s="736"/>
      <c r="AV160" s="736"/>
      <c r="AW160" s="736"/>
      <c r="AX160" s="736"/>
      <c r="AY160" s="736"/>
      <c r="AZ160" s="736"/>
      <c r="BA160" s="736"/>
      <c r="BB160" s="736"/>
      <c r="BC160" s="736"/>
      <c r="BD160" s="736"/>
      <c r="BE160" s="736"/>
      <c r="BF160" s="736"/>
      <c r="BG160" s="736"/>
      <c r="BH160" s="736"/>
      <c r="BI160" s="736"/>
      <c r="BJ160" s="736"/>
      <c r="BK160" s="736"/>
      <c r="BL160" s="736"/>
    </row>
    <row r="161" spans="1:64" ht="18.75" x14ac:dyDescent="0.25">
      <c r="A161" s="758"/>
      <c r="B161" s="737"/>
      <c r="C161" s="730"/>
      <c r="D161" s="739"/>
      <c r="E161" s="765"/>
      <c r="F161" s="765"/>
      <c r="G161" s="765"/>
      <c r="H161" s="765"/>
      <c r="I161" s="746" t="str">
        <f t="shared" si="7"/>
        <v/>
      </c>
      <c r="J161" s="731"/>
      <c r="K161" s="731" t="str">
        <f t="shared" si="6"/>
        <v/>
      </c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32"/>
      <c r="AB161" s="732"/>
      <c r="AC161" s="732"/>
      <c r="AD161" s="732"/>
      <c r="AE161" s="733"/>
      <c r="AF161" s="734" t="str">
        <f t="shared" si="8"/>
        <v/>
      </c>
      <c r="AG161" s="774"/>
      <c r="AH161" s="778"/>
      <c r="AI161" s="736"/>
      <c r="AJ161" s="736"/>
      <c r="AK161" s="736"/>
      <c r="AL161" s="736"/>
      <c r="AM161" s="736"/>
      <c r="AN161" s="736"/>
      <c r="AO161" s="736"/>
      <c r="AP161" s="736"/>
      <c r="AQ161" s="736"/>
      <c r="AR161" s="736"/>
      <c r="AS161" s="736"/>
      <c r="AT161" s="736"/>
      <c r="AU161" s="736"/>
      <c r="AV161" s="736"/>
      <c r="AW161" s="736"/>
      <c r="AX161" s="736"/>
      <c r="AY161" s="736"/>
      <c r="AZ161" s="736"/>
      <c r="BA161" s="736"/>
      <c r="BB161" s="736"/>
      <c r="BC161" s="736"/>
      <c r="BD161" s="736"/>
      <c r="BE161" s="736"/>
      <c r="BF161" s="736"/>
      <c r="BG161" s="736"/>
      <c r="BH161" s="736"/>
      <c r="BI161" s="736"/>
      <c r="BJ161" s="736"/>
      <c r="BK161" s="736"/>
      <c r="BL161" s="736"/>
    </row>
    <row r="162" spans="1:64" ht="18.75" x14ac:dyDescent="0.25">
      <c r="A162" s="758"/>
      <c r="B162" s="737"/>
      <c r="C162" s="730"/>
      <c r="D162" s="739"/>
      <c r="E162" s="765"/>
      <c r="F162" s="765"/>
      <c r="G162" s="765"/>
      <c r="H162" s="765"/>
      <c r="I162" s="746" t="str">
        <f t="shared" si="7"/>
        <v/>
      </c>
      <c r="J162" s="731"/>
      <c r="K162" s="731" t="str">
        <f t="shared" si="6"/>
        <v/>
      </c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32"/>
      <c r="AB162" s="732"/>
      <c r="AC162" s="732"/>
      <c r="AD162" s="732"/>
      <c r="AE162" s="733"/>
      <c r="AF162" s="734" t="str">
        <f t="shared" si="8"/>
        <v/>
      </c>
      <c r="AG162" s="773"/>
    </row>
    <row r="163" spans="1:64" ht="18.75" x14ac:dyDescent="0.25">
      <c r="A163" s="758"/>
      <c r="B163" s="737"/>
      <c r="C163" s="730"/>
      <c r="D163" s="739"/>
      <c r="E163" s="765"/>
      <c r="F163" s="765"/>
      <c r="G163" s="765"/>
      <c r="H163" s="765"/>
      <c r="I163" s="746" t="str">
        <f t="shared" si="7"/>
        <v/>
      </c>
      <c r="J163" s="731"/>
      <c r="K163" s="731" t="str">
        <f t="shared" si="6"/>
        <v/>
      </c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32"/>
      <c r="AB163" s="732"/>
      <c r="AC163" s="732"/>
      <c r="AD163" s="732"/>
      <c r="AE163" s="733"/>
      <c r="AF163" s="734" t="str">
        <f t="shared" si="8"/>
        <v/>
      </c>
      <c r="AG163" s="774"/>
      <c r="AH163" s="778"/>
      <c r="AI163" s="736"/>
      <c r="AJ163" s="736"/>
      <c r="AK163" s="736"/>
      <c r="AL163" s="736"/>
      <c r="AM163" s="736"/>
      <c r="AN163" s="736"/>
      <c r="AO163" s="736"/>
      <c r="AP163" s="736"/>
      <c r="AQ163" s="736"/>
      <c r="AR163" s="736"/>
      <c r="AS163" s="736"/>
      <c r="AT163" s="736"/>
      <c r="AU163" s="736"/>
      <c r="AV163" s="736"/>
      <c r="AW163" s="736"/>
      <c r="AX163" s="736"/>
      <c r="AY163" s="736"/>
      <c r="AZ163" s="736"/>
      <c r="BA163" s="736"/>
      <c r="BB163" s="736"/>
      <c r="BC163" s="736"/>
      <c r="BD163" s="736"/>
      <c r="BE163" s="736"/>
      <c r="BF163" s="736"/>
      <c r="BG163" s="736"/>
      <c r="BH163" s="736"/>
      <c r="BI163" s="736"/>
      <c r="BJ163" s="736"/>
      <c r="BK163" s="736"/>
      <c r="BL163" s="736"/>
    </row>
    <row r="164" spans="1:64" ht="18.75" x14ac:dyDescent="0.25">
      <c r="A164" s="758"/>
      <c r="B164" s="737"/>
      <c r="C164" s="730"/>
      <c r="D164" s="739"/>
      <c r="E164" s="765"/>
      <c r="F164" s="765"/>
      <c r="G164" s="765"/>
      <c r="H164" s="765"/>
      <c r="I164" s="746" t="str">
        <f t="shared" si="7"/>
        <v/>
      </c>
      <c r="J164" s="731"/>
      <c r="K164" s="731" t="str">
        <f t="shared" si="6"/>
        <v/>
      </c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32"/>
      <c r="AB164" s="732"/>
      <c r="AC164" s="732"/>
      <c r="AD164" s="732"/>
      <c r="AE164" s="733"/>
      <c r="AF164" s="734" t="str">
        <f t="shared" si="8"/>
        <v/>
      </c>
      <c r="AG164" s="774"/>
      <c r="AH164" s="778"/>
      <c r="AI164" s="736"/>
      <c r="AJ164" s="736"/>
      <c r="AK164" s="736"/>
      <c r="AL164" s="736"/>
      <c r="AM164" s="736"/>
      <c r="AN164" s="736"/>
      <c r="AO164" s="736"/>
      <c r="AP164" s="736"/>
      <c r="AQ164" s="736"/>
      <c r="AR164" s="736"/>
      <c r="AS164" s="736"/>
      <c r="AT164" s="736"/>
      <c r="AU164" s="736"/>
      <c r="AV164" s="736"/>
      <c r="AW164" s="736"/>
      <c r="AX164" s="736"/>
      <c r="AY164" s="736"/>
      <c r="AZ164" s="736"/>
      <c r="BA164" s="736"/>
      <c r="BB164" s="736"/>
      <c r="BC164" s="736"/>
      <c r="BD164" s="736"/>
      <c r="BE164" s="736"/>
      <c r="BF164" s="736"/>
      <c r="BG164" s="736"/>
      <c r="BH164" s="736"/>
      <c r="BI164" s="736"/>
      <c r="BJ164" s="736"/>
      <c r="BK164" s="736"/>
      <c r="BL164" s="736"/>
    </row>
    <row r="165" spans="1:64" ht="18.75" x14ac:dyDescent="0.25">
      <c r="A165" s="758"/>
      <c r="B165" s="737"/>
      <c r="C165" s="730"/>
      <c r="D165" s="739"/>
      <c r="E165" s="765"/>
      <c r="F165" s="765"/>
      <c r="G165" s="765"/>
      <c r="H165" s="765"/>
      <c r="I165" s="746" t="str">
        <f t="shared" si="7"/>
        <v/>
      </c>
      <c r="J165" s="731"/>
      <c r="K165" s="731" t="str">
        <f t="shared" si="6"/>
        <v/>
      </c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32"/>
      <c r="AB165" s="732"/>
      <c r="AC165" s="732"/>
      <c r="AD165" s="732"/>
      <c r="AE165" s="733"/>
      <c r="AF165" s="734" t="str">
        <f t="shared" si="8"/>
        <v/>
      </c>
      <c r="AG165" s="774"/>
      <c r="AH165" s="778"/>
      <c r="AI165" s="736"/>
      <c r="AJ165" s="736"/>
      <c r="AK165" s="736"/>
      <c r="AL165" s="736"/>
      <c r="AM165" s="736"/>
      <c r="AN165" s="736"/>
      <c r="AO165" s="736"/>
      <c r="AP165" s="736"/>
      <c r="AQ165" s="736"/>
      <c r="AR165" s="736"/>
      <c r="AS165" s="736"/>
      <c r="AT165" s="736"/>
      <c r="AU165" s="736"/>
      <c r="AV165" s="736"/>
      <c r="AW165" s="736"/>
      <c r="AX165" s="736"/>
      <c r="AY165" s="736"/>
      <c r="AZ165" s="736"/>
      <c r="BA165" s="736"/>
      <c r="BB165" s="736"/>
      <c r="BC165" s="736"/>
      <c r="BD165" s="736"/>
      <c r="BE165" s="736"/>
      <c r="BF165" s="736"/>
      <c r="BG165" s="736"/>
      <c r="BH165" s="736"/>
      <c r="BI165" s="736"/>
      <c r="BJ165" s="736"/>
      <c r="BK165" s="736"/>
      <c r="BL165" s="736"/>
    </row>
    <row r="166" spans="1:64" ht="18.75" x14ac:dyDescent="0.25">
      <c r="A166" s="758"/>
      <c r="B166" s="737"/>
      <c r="C166" s="730"/>
      <c r="D166" s="739"/>
      <c r="E166" s="765"/>
      <c r="F166" s="765"/>
      <c r="G166" s="765"/>
      <c r="H166" s="765"/>
      <c r="I166" s="746" t="str">
        <f t="shared" si="7"/>
        <v/>
      </c>
      <c r="J166" s="731"/>
      <c r="K166" s="731" t="str">
        <f t="shared" si="6"/>
        <v/>
      </c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32"/>
      <c r="AB166" s="732"/>
      <c r="AC166" s="732"/>
      <c r="AD166" s="732"/>
      <c r="AE166" s="733"/>
      <c r="AF166" s="734" t="str">
        <f t="shared" si="8"/>
        <v/>
      </c>
      <c r="AG166" s="774"/>
      <c r="AH166" s="778"/>
      <c r="AI166" s="736"/>
      <c r="AJ166" s="736"/>
      <c r="AK166" s="736"/>
      <c r="AL166" s="736"/>
      <c r="AM166" s="736"/>
      <c r="AN166" s="736"/>
      <c r="AO166" s="736"/>
      <c r="AP166" s="736"/>
      <c r="AQ166" s="736"/>
      <c r="AR166" s="736"/>
      <c r="AS166" s="736"/>
      <c r="AT166" s="736"/>
      <c r="AU166" s="736"/>
      <c r="AV166" s="736"/>
      <c r="AW166" s="736"/>
      <c r="AX166" s="736"/>
      <c r="AY166" s="736"/>
      <c r="AZ166" s="736"/>
      <c r="BA166" s="736"/>
      <c r="BB166" s="736"/>
      <c r="BC166" s="736"/>
      <c r="BD166" s="736"/>
      <c r="BE166" s="736"/>
      <c r="BF166" s="736"/>
      <c r="BG166" s="736"/>
      <c r="BH166" s="736"/>
      <c r="BI166" s="736"/>
      <c r="BJ166" s="736"/>
      <c r="BK166" s="736"/>
      <c r="BL166" s="736"/>
    </row>
    <row r="167" spans="1:64" ht="18.75" x14ac:dyDescent="0.25">
      <c r="A167" s="758"/>
      <c r="B167" s="737"/>
      <c r="C167" s="730"/>
      <c r="D167" s="739"/>
      <c r="E167" s="765"/>
      <c r="F167" s="765"/>
      <c r="G167" s="765"/>
      <c r="H167" s="765"/>
      <c r="I167" s="746" t="str">
        <f t="shared" si="7"/>
        <v/>
      </c>
      <c r="J167" s="731"/>
      <c r="K167" s="731" t="str">
        <f t="shared" si="6"/>
        <v/>
      </c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32"/>
      <c r="AB167" s="732"/>
      <c r="AC167" s="732"/>
      <c r="AD167" s="732"/>
      <c r="AE167" s="733"/>
      <c r="AF167" s="734" t="str">
        <f t="shared" si="8"/>
        <v/>
      </c>
      <c r="AG167" s="774"/>
      <c r="AH167" s="778"/>
      <c r="AI167" s="736"/>
      <c r="AJ167" s="736"/>
      <c r="AK167" s="736"/>
      <c r="AL167" s="736"/>
      <c r="AM167" s="736"/>
      <c r="AN167" s="736"/>
      <c r="AO167" s="736"/>
      <c r="AP167" s="736"/>
      <c r="AQ167" s="736"/>
      <c r="AR167" s="736"/>
      <c r="AS167" s="736"/>
      <c r="AT167" s="736"/>
      <c r="AU167" s="736"/>
      <c r="AV167" s="736"/>
      <c r="AW167" s="736"/>
      <c r="AX167" s="736"/>
      <c r="AY167" s="736"/>
      <c r="AZ167" s="736"/>
      <c r="BA167" s="736"/>
      <c r="BB167" s="736"/>
      <c r="BC167" s="736"/>
      <c r="BD167" s="736"/>
      <c r="BE167" s="736"/>
      <c r="BF167" s="736"/>
      <c r="BG167" s="736"/>
      <c r="BH167" s="736"/>
      <c r="BI167" s="736"/>
      <c r="BJ167" s="736"/>
      <c r="BK167" s="736"/>
      <c r="BL167" s="736"/>
    </row>
    <row r="168" spans="1:64" ht="18.75" x14ac:dyDescent="0.25">
      <c r="A168" s="758"/>
      <c r="B168" s="737"/>
      <c r="C168" s="730"/>
      <c r="D168" s="739"/>
      <c r="E168" s="765"/>
      <c r="F168" s="765"/>
      <c r="G168" s="765"/>
      <c r="H168" s="765"/>
      <c r="I168" s="746" t="str">
        <f t="shared" si="7"/>
        <v/>
      </c>
      <c r="J168" s="731"/>
      <c r="K168" s="731" t="str">
        <f t="shared" si="6"/>
        <v/>
      </c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32"/>
      <c r="AB168" s="732"/>
      <c r="AC168" s="732"/>
      <c r="AD168" s="732"/>
      <c r="AE168" s="733"/>
      <c r="AF168" s="734" t="str">
        <f t="shared" si="8"/>
        <v/>
      </c>
      <c r="AG168" s="774"/>
      <c r="AH168" s="778"/>
      <c r="AI168" s="736"/>
      <c r="AJ168" s="736"/>
      <c r="AK168" s="736"/>
      <c r="AL168" s="736"/>
      <c r="AM168" s="736"/>
      <c r="AN168" s="736"/>
      <c r="AO168" s="736"/>
      <c r="AP168" s="736"/>
      <c r="AQ168" s="736"/>
      <c r="AR168" s="736"/>
      <c r="AS168" s="736"/>
      <c r="AT168" s="736"/>
      <c r="AU168" s="736"/>
      <c r="AV168" s="736"/>
      <c r="AW168" s="736"/>
      <c r="AX168" s="736"/>
      <c r="AY168" s="736"/>
      <c r="AZ168" s="736"/>
      <c r="BA168" s="736"/>
      <c r="BB168" s="736"/>
      <c r="BC168" s="736"/>
      <c r="BD168" s="736"/>
      <c r="BE168" s="736"/>
      <c r="BF168" s="736"/>
      <c r="BG168" s="736"/>
      <c r="BH168" s="736"/>
      <c r="BI168" s="736"/>
      <c r="BJ168" s="736"/>
      <c r="BK168" s="736"/>
      <c r="BL168" s="736"/>
    </row>
    <row r="169" spans="1:64" ht="18.75" x14ac:dyDescent="0.25">
      <c r="A169" s="758"/>
      <c r="B169" s="737"/>
      <c r="C169" s="730"/>
      <c r="D169" s="739"/>
      <c r="E169" s="765"/>
      <c r="F169" s="765"/>
      <c r="G169" s="765"/>
      <c r="H169" s="765"/>
      <c r="I169" s="746" t="str">
        <f t="shared" si="7"/>
        <v/>
      </c>
      <c r="J169" s="731"/>
      <c r="K169" s="731" t="str">
        <f t="shared" si="6"/>
        <v/>
      </c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32"/>
      <c r="AB169" s="732"/>
      <c r="AC169" s="732"/>
      <c r="AD169" s="732"/>
      <c r="AE169" s="733"/>
      <c r="AF169" s="734" t="str">
        <f t="shared" si="8"/>
        <v/>
      </c>
      <c r="AG169" s="773"/>
    </row>
    <row r="170" spans="1:64" ht="18.75" x14ac:dyDescent="0.25">
      <c r="A170" s="758"/>
      <c r="B170" s="737"/>
      <c r="C170" s="730"/>
      <c r="D170" s="739"/>
      <c r="E170" s="765"/>
      <c r="F170" s="765"/>
      <c r="G170" s="765"/>
      <c r="H170" s="765"/>
      <c r="I170" s="746" t="str">
        <f t="shared" si="7"/>
        <v/>
      </c>
      <c r="J170" s="731"/>
      <c r="K170" s="731" t="str">
        <f t="shared" si="6"/>
        <v/>
      </c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32"/>
      <c r="AB170" s="732"/>
      <c r="AC170" s="732"/>
      <c r="AD170" s="732"/>
      <c r="AE170" s="733"/>
      <c r="AF170" s="734" t="str">
        <f t="shared" si="8"/>
        <v/>
      </c>
      <c r="AG170" s="774"/>
      <c r="AH170" s="778"/>
      <c r="AI170" s="736"/>
      <c r="AJ170" s="736"/>
      <c r="AK170" s="736"/>
      <c r="AL170" s="736"/>
      <c r="AM170" s="736"/>
      <c r="AN170" s="736"/>
      <c r="AO170" s="736"/>
      <c r="AP170" s="736"/>
      <c r="AQ170" s="736"/>
      <c r="AR170" s="736"/>
      <c r="AS170" s="736"/>
      <c r="AT170" s="736"/>
      <c r="AU170" s="736"/>
      <c r="AV170" s="736"/>
      <c r="AW170" s="736"/>
      <c r="AX170" s="736"/>
      <c r="AY170" s="736"/>
      <c r="AZ170" s="736"/>
      <c r="BA170" s="736"/>
      <c r="BB170" s="736"/>
      <c r="BC170" s="736"/>
      <c r="BD170" s="736"/>
      <c r="BE170" s="736"/>
      <c r="BF170" s="736"/>
      <c r="BG170" s="736"/>
      <c r="BH170" s="736"/>
      <c r="BI170" s="736"/>
      <c r="BJ170" s="736"/>
      <c r="BK170" s="736"/>
      <c r="BL170" s="736"/>
    </row>
    <row r="171" spans="1:64" ht="18.75" x14ac:dyDescent="0.25">
      <c r="A171" s="758"/>
      <c r="B171" s="737"/>
      <c r="C171" s="730"/>
      <c r="D171" s="739"/>
      <c r="E171" s="765"/>
      <c r="F171" s="765"/>
      <c r="G171" s="765"/>
      <c r="H171" s="765"/>
      <c r="I171" s="746" t="str">
        <f t="shared" si="7"/>
        <v/>
      </c>
      <c r="J171" s="731"/>
      <c r="K171" s="731" t="str">
        <f t="shared" si="6"/>
        <v/>
      </c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32"/>
      <c r="AB171" s="732"/>
      <c r="AC171" s="732"/>
      <c r="AD171" s="732"/>
      <c r="AE171" s="733"/>
      <c r="AF171" s="734" t="str">
        <f t="shared" si="8"/>
        <v/>
      </c>
      <c r="AG171" s="773"/>
    </row>
    <row r="172" spans="1:64" ht="18.75" x14ac:dyDescent="0.25">
      <c r="A172" s="758"/>
      <c r="B172" s="737"/>
      <c r="C172" s="730"/>
      <c r="D172" s="739"/>
      <c r="E172" s="765"/>
      <c r="F172" s="765"/>
      <c r="G172" s="765"/>
      <c r="H172" s="765"/>
      <c r="I172" s="746" t="str">
        <f t="shared" si="7"/>
        <v/>
      </c>
      <c r="J172" s="731"/>
      <c r="K172" s="731" t="str">
        <f t="shared" si="6"/>
        <v/>
      </c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32"/>
      <c r="AB172" s="732"/>
      <c r="AC172" s="732"/>
      <c r="AD172" s="732"/>
      <c r="AE172" s="733"/>
      <c r="AF172" s="734" t="str">
        <f t="shared" si="8"/>
        <v/>
      </c>
      <c r="AG172" s="773"/>
    </row>
    <row r="173" spans="1:64" ht="18.75" x14ac:dyDescent="0.25">
      <c r="A173" s="758"/>
      <c r="B173" s="737"/>
      <c r="C173" s="730"/>
      <c r="D173" s="739"/>
      <c r="E173" s="765"/>
      <c r="F173" s="765"/>
      <c r="G173" s="765"/>
      <c r="H173" s="765"/>
      <c r="I173" s="746" t="str">
        <f t="shared" si="7"/>
        <v/>
      </c>
      <c r="J173" s="731"/>
      <c r="K173" s="731" t="str">
        <f t="shared" si="6"/>
        <v/>
      </c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32"/>
      <c r="AB173" s="732"/>
      <c r="AC173" s="732"/>
      <c r="AD173" s="732"/>
      <c r="AE173" s="733"/>
      <c r="AF173" s="734" t="str">
        <f t="shared" si="8"/>
        <v/>
      </c>
      <c r="AG173" s="774"/>
      <c r="AH173" s="778"/>
      <c r="AI173" s="736"/>
      <c r="AJ173" s="736"/>
      <c r="AK173" s="736"/>
      <c r="AL173" s="736"/>
      <c r="AM173" s="736"/>
      <c r="AN173" s="736"/>
      <c r="AO173" s="736"/>
      <c r="AP173" s="736"/>
      <c r="AQ173" s="736"/>
      <c r="AR173" s="736"/>
      <c r="AS173" s="736"/>
      <c r="AT173" s="736"/>
      <c r="AU173" s="736"/>
      <c r="AV173" s="736"/>
      <c r="AW173" s="736"/>
      <c r="AX173" s="736"/>
      <c r="AY173" s="736"/>
      <c r="AZ173" s="736"/>
      <c r="BA173" s="736"/>
      <c r="BB173" s="736"/>
      <c r="BC173" s="736"/>
      <c r="BD173" s="736"/>
      <c r="BE173" s="736"/>
      <c r="BF173" s="736"/>
      <c r="BG173" s="736"/>
      <c r="BH173" s="736"/>
      <c r="BI173" s="736"/>
      <c r="BJ173" s="736"/>
      <c r="BK173" s="736"/>
      <c r="BL173" s="736"/>
    </row>
    <row r="174" spans="1:64" ht="18.75" x14ac:dyDescent="0.25">
      <c r="A174" s="758"/>
      <c r="B174" s="737"/>
      <c r="C174" s="730"/>
      <c r="D174" s="739"/>
      <c r="E174" s="765"/>
      <c r="F174" s="765"/>
      <c r="G174" s="765"/>
      <c r="H174" s="765"/>
      <c r="I174" s="746" t="str">
        <f t="shared" si="7"/>
        <v/>
      </c>
      <c r="J174" s="731"/>
      <c r="K174" s="731" t="str">
        <f t="shared" si="6"/>
        <v/>
      </c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32"/>
      <c r="AB174" s="732"/>
      <c r="AC174" s="732"/>
      <c r="AD174" s="732"/>
      <c r="AE174" s="733"/>
      <c r="AF174" s="734" t="str">
        <f t="shared" si="8"/>
        <v/>
      </c>
      <c r="AG174" s="774"/>
      <c r="AH174" s="778"/>
      <c r="AI174" s="736"/>
      <c r="AJ174" s="736"/>
      <c r="AK174" s="736"/>
      <c r="AL174" s="736"/>
      <c r="AM174" s="736"/>
      <c r="AN174" s="736"/>
      <c r="AO174" s="736"/>
      <c r="AP174" s="736"/>
      <c r="AQ174" s="736"/>
      <c r="AR174" s="736"/>
      <c r="AS174" s="736"/>
      <c r="AT174" s="736"/>
      <c r="AU174" s="736"/>
      <c r="AV174" s="736"/>
      <c r="AW174" s="736"/>
      <c r="AX174" s="736"/>
      <c r="AY174" s="736"/>
      <c r="AZ174" s="736"/>
      <c r="BA174" s="736"/>
      <c r="BB174" s="736"/>
      <c r="BC174" s="736"/>
      <c r="BD174" s="736"/>
      <c r="BE174" s="736"/>
      <c r="BF174" s="736"/>
      <c r="BG174" s="736"/>
      <c r="BH174" s="736"/>
      <c r="BI174" s="736"/>
      <c r="BJ174" s="736"/>
      <c r="BK174" s="736"/>
      <c r="BL174" s="736"/>
    </row>
    <row r="175" spans="1:64" ht="18.75" x14ac:dyDescent="0.25">
      <c r="A175" s="758"/>
      <c r="B175" s="737"/>
      <c r="C175" s="730"/>
      <c r="D175" s="739"/>
      <c r="E175" s="765"/>
      <c r="F175" s="765"/>
      <c r="G175" s="765"/>
      <c r="H175" s="765"/>
      <c r="I175" s="746" t="str">
        <f t="shared" si="7"/>
        <v/>
      </c>
      <c r="J175" s="731"/>
      <c r="K175" s="731" t="str">
        <f t="shared" si="6"/>
        <v/>
      </c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32"/>
      <c r="AB175" s="732"/>
      <c r="AC175" s="732"/>
      <c r="AD175" s="732"/>
      <c r="AE175" s="733"/>
      <c r="AF175" s="734" t="str">
        <f t="shared" si="8"/>
        <v/>
      </c>
      <c r="AG175" s="774"/>
      <c r="AH175" s="778"/>
      <c r="AI175" s="736"/>
      <c r="AJ175" s="736"/>
      <c r="AK175" s="736"/>
      <c r="AL175" s="736"/>
      <c r="AM175" s="736"/>
      <c r="AN175" s="736"/>
      <c r="AO175" s="736"/>
      <c r="AP175" s="736"/>
      <c r="AQ175" s="736"/>
      <c r="AR175" s="736"/>
      <c r="AS175" s="736"/>
      <c r="AT175" s="736"/>
      <c r="AU175" s="736"/>
      <c r="AV175" s="736"/>
      <c r="AW175" s="736"/>
      <c r="AX175" s="736"/>
      <c r="AY175" s="736"/>
      <c r="AZ175" s="736"/>
      <c r="BA175" s="736"/>
      <c r="BB175" s="736"/>
      <c r="BC175" s="736"/>
      <c r="BD175" s="736"/>
      <c r="BE175" s="736"/>
      <c r="BF175" s="736"/>
      <c r="BG175" s="736"/>
      <c r="BH175" s="736"/>
      <c r="BI175" s="736"/>
      <c r="BJ175" s="736"/>
      <c r="BK175" s="736"/>
      <c r="BL175" s="736"/>
    </row>
    <row r="176" spans="1:64" ht="18.75" x14ac:dyDescent="0.25">
      <c r="A176" s="758"/>
      <c r="B176" s="737"/>
      <c r="C176" s="730"/>
      <c r="D176" s="739"/>
      <c r="E176" s="765"/>
      <c r="F176" s="765"/>
      <c r="G176" s="765"/>
      <c r="H176" s="765"/>
      <c r="I176" s="746" t="str">
        <f t="shared" si="7"/>
        <v/>
      </c>
      <c r="J176" s="731"/>
      <c r="K176" s="731" t="str">
        <f t="shared" si="6"/>
        <v/>
      </c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32"/>
      <c r="AB176" s="732"/>
      <c r="AC176" s="732"/>
      <c r="AD176" s="732"/>
      <c r="AE176" s="733"/>
      <c r="AF176" s="734" t="str">
        <f t="shared" si="8"/>
        <v/>
      </c>
      <c r="AG176" s="773"/>
    </row>
    <row r="177" spans="1:64" ht="18.75" x14ac:dyDescent="0.25">
      <c r="A177" s="758"/>
      <c r="B177" s="737"/>
      <c r="C177" s="730"/>
      <c r="D177" s="739"/>
      <c r="E177" s="765"/>
      <c r="F177" s="765"/>
      <c r="G177" s="765"/>
      <c r="H177" s="765"/>
      <c r="I177" s="746" t="str">
        <f t="shared" si="7"/>
        <v/>
      </c>
      <c r="J177" s="731"/>
      <c r="K177" s="731" t="str">
        <f t="shared" si="6"/>
        <v/>
      </c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32"/>
      <c r="AB177" s="732"/>
      <c r="AC177" s="732"/>
      <c r="AD177" s="732"/>
      <c r="AE177" s="733"/>
      <c r="AF177" s="734" t="str">
        <f t="shared" si="8"/>
        <v/>
      </c>
      <c r="AG177" s="773"/>
    </row>
    <row r="178" spans="1:64" ht="18.75" x14ac:dyDescent="0.25">
      <c r="A178" s="758"/>
      <c r="B178" s="737"/>
      <c r="C178" s="730"/>
      <c r="D178" s="739"/>
      <c r="E178" s="765"/>
      <c r="F178" s="765"/>
      <c r="G178" s="765"/>
      <c r="H178" s="765"/>
      <c r="I178" s="746" t="str">
        <f t="shared" si="7"/>
        <v/>
      </c>
      <c r="J178" s="731"/>
      <c r="K178" s="731" t="str">
        <f t="shared" si="6"/>
        <v/>
      </c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32"/>
      <c r="AB178" s="732"/>
      <c r="AC178" s="732"/>
      <c r="AD178" s="732"/>
      <c r="AE178" s="733"/>
      <c r="AF178" s="734" t="str">
        <f t="shared" si="8"/>
        <v/>
      </c>
      <c r="AG178" s="773"/>
    </row>
    <row r="179" spans="1:64" ht="18.75" x14ac:dyDescent="0.25">
      <c r="A179" s="758"/>
      <c r="B179" s="737"/>
      <c r="C179" s="730"/>
      <c r="D179" s="739"/>
      <c r="E179" s="765"/>
      <c r="F179" s="765"/>
      <c r="G179" s="765"/>
      <c r="H179" s="765"/>
      <c r="I179" s="746" t="str">
        <f t="shared" si="7"/>
        <v/>
      </c>
      <c r="J179" s="731"/>
      <c r="K179" s="731" t="str">
        <f t="shared" si="6"/>
        <v/>
      </c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32"/>
      <c r="AB179" s="732"/>
      <c r="AC179" s="732"/>
      <c r="AD179" s="732"/>
      <c r="AE179" s="733"/>
      <c r="AF179" s="734" t="str">
        <f t="shared" si="8"/>
        <v/>
      </c>
      <c r="AG179" s="774"/>
      <c r="AH179" s="778"/>
      <c r="AI179" s="736"/>
      <c r="AJ179" s="736"/>
      <c r="AK179" s="736"/>
      <c r="AL179" s="736"/>
      <c r="AM179" s="736"/>
      <c r="AN179" s="736"/>
      <c r="AO179" s="736"/>
      <c r="AP179" s="736"/>
      <c r="AQ179" s="736"/>
      <c r="AR179" s="736"/>
      <c r="AS179" s="736"/>
      <c r="AT179" s="736"/>
      <c r="AU179" s="736"/>
      <c r="AV179" s="736"/>
      <c r="AW179" s="736"/>
      <c r="AX179" s="736"/>
      <c r="AY179" s="736"/>
      <c r="AZ179" s="736"/>
      <c r="BA179" s="736"/>
      <c r="BB179" s="736"/>
      <c r="BC179" s="736"/>
      <c r="BD179" s="736"/>
      <c r="BE179" s="736"/>
      <c r="BF179" s="736"/>
      <c r="BG179" s="736"/>
      <c r="BH179" s="736"/>
      <c r="BI179" s="736"/>
      <c r="BJ179" s="736"/>
      <c r="BK179" s="736"/>
      <c r="BL179" s="736"/>
    </row>
    <row r="180" spans="1:64" ht="18.75" x14ac:dyDescent="0.25">
      <c r="A180" s="758"/>
      <c r="B180" s="737"/>
      <c r="C180" s="730"/>
      <c r="D180" s="739"/>
      <c r="E180" s="765"/>
      <c r="F180" s="765"/>
      <c r="G180" s="765"/>
      <c r="H180" s="765"/>
      <c r="I180" s="746" t="str">
        <f t="shared" si="7"/>
        <v/>
      </c>
      <c r="J180" s="731"/>
      <c r="K180" s="731" t="str">
        <f t="shared" si="6"/>
        <v/>
      </c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32"/>
      <c r="AB180" s="732"/>
      <c r="AC180" s="732"/>
      <c r="AD180" s="732"/>
      <c r="AE180" s="733"/>
      <c r="AF180" s="734" t="str">
        <f t="shared" si="8"/>
        <v/>
      </c>
      <c r="AG180" s="773"/>
    </row>
    <row r="181" spans="1:64" ht="18.75" x14ac:dyDescent="0.25">
      <c r="A181" s="758"/>
      <c r="B181" s="737"/>
      <c r="C181" s="730"/>
      <c r="D181" s="739"/>
      <c r="E181" s="765"/>
      <c r="F181" s="765"/>
      <c r="G181" s="765"/>
      <c r="H181" s="765"/>
      <c r="I181" s="746" t="str">
        <f t="shared" si="7"/>
        <v/>
      </c>
      <c r="J181" s="731"/>
      <c r="K181" s="731" t="str">
        <f t="shared" si="6"/>
        <v/>
      </c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32"/>
      <c r="AB181" s="732"/>
      <c r="AC181" s="732"/>
      <c r="AD181" s="732"/>
      <c r="AE181" s="733"/>
      <c r="AF181" s="734" t="str">
        <f t="shared" si="8"/>
        <v/>
      </c>
      <c r="AG181" s="773"/>
    </row>
    <row r="182" spans="1:64" ht="18.75" x14ac:dyDescent="0.25">
      <c r="A182" s="758"/>
      <c r="B182" s="737"/>
      <c r="C182" s="730"/>
      <c r="D182" s="739"/>
      <c r="E182" s="765"/>
      <c r="F182" s="765"/>
      <c r="G182" s="765"/>
      <c r="H182" s="765"/>
      <c r="I182" s="746" t="str">
        <f t="shared" si="7"/>
        <v/>
      </c>
      <c r="J182" s="731"/>
      <c r="K182" s="731" t="str">
        <f t="shared" si="6"/>
        <v/>
      </c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32"/>
      <c r="AB182" s="732"/>
      <c r="AC182" s="732"/>
      <c r="AD182" s="732"/>
      <c r="AE182" s="733"/>
      <c r="AF182" s="734" t="str">
        <f t="shared" si="8"/>
        <v/>
      </c>
      <c r="AG182" s="773"/>
    </row>
    <row r="183" spans="1:64" ht="18.75" x14ac:dyDescent="0.25">
      <c r="A183" s="758"/>
      <c r="B183" s="737"/>
      <c r="C183" s="730"/>
      <c r="D183" s="739"/>
      <c r="E183" s="765"/>
      <c r="F183" s="765"/>
      <c r="G183" s="765"/>
      <c r="H183" s="765"/>
      <c r="I183" s="746" t="str">
        <f t="shared" si="7"/>
        <v/>
      </c>
      <c r="J183" s="731"/>
      <c r="K183" s="731" t="str">
        <f t="shared" si="6"/>
        <v/>
      </c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32"/>
      <c r="AB183" s="732"/>
      <c r="AC183" s="732"/>
      <c r="AD183" s="732"/>
      <c r="AE183" s="733"/>
      <c r="AF183" s="734" t="str">
        <f t="shared" si="8"/>
        <v/>
      </c>
      <c r="AG183" s="773"/>
    </row>
    <row r="184" spans="1:64" ht="18.75" x14ac:dyDescent="0.25">
      <c r="A184" s="758"/>
      <c r="B184" s="737"/>
      <c r="C184" s="730"/>
      <c r="D184" s="739"/>
      <c r="E184" s="765"/>
      <c r="F184" s="765"/>
      <c r="G184" s="765"/>
      <c r="H184" s="765"/>
      <c r="I184" s="746" t="str">
        <f t="shared" si="7"/>
        <v/>
      </c>
      <c r="J184" s="731"/>
      <c r="K184" s="731" t="str">
        <f t="shared" si="6"/>
        <v/>
      </c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32"/>
      <c r="AB184" s="732"/>
      <c r="AC184" s="732"/>
      <c r="AD184" s="732"/>
      <c r="AE184" s="733"/>
      <c r="AF184" s="734" t="str">
        <f t="shared" si="8"/>
        <v/>
      </c>
      <c r="AG184" s="773"/>
    </row>
    <row r="185" spans="1:64" ht="18.75" x14ac:dyDescent="0.25">
      <c r="A185" s="758"/>
      <c r="B185" s="737"/>
      <c r="C185" s="730"/>
      <c r="D185" s="739"/>
      <c r="E185" s="765"/>
      <c r="F185" s="765"/>
      <c r="G185" s="765"/>
      <c r="H185" s="765"/>
      <c r="I185" s="746" t="str">
        <f t="shared" si="7"/>
        <v/>
      </c>
      <c r="J185" s="731"/>
      <c r="K185" s="731" t="str">
        <f t="shared" si="6"/>
        <v/>
      </c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32"/>
      <c r="AB185" s="732"/>
      <c r="AC185" s="732"/>
      <c r="AD185" s="732"/>
      <c r="AE185" s="733"/>
      <c r="AF185" s="734" t="str">
        <f t="shared" si="8"/>
        <v/>
      </c>
      <c r="AG185" s="773"/>
    </row>
    <row r="186" spans="1:64" ht="18.75" x14ac:dyDescent="0.25">
      <c r="A186" s="758"/>
      <c r="B186" s="737"/>
      <c r="C186" s="730"/>
      <c r="D186" s="739"/>
      <c r="E186" s="765"/>
      <c r="F186" s="765"/>
      <c r="G186" s="765"/>
      <c r="H186" s="765"/>
      <c r="I186" s="746" t="str">
        <f t="shared" si="7"/>
        <v/>
      </c>
      <c r="J186" s="731"/>
      <c r="K186" s="731" t="str">
        <f t="shared" si="6"/>
        <v/>
      </c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32"/>
      <c r="AB186" s="732"/>
      <c r="AC186" s="732"/>
      <c r="AD186" s="732"/>
      <c r="AE186" s="733"/>
      <c r="AF186" s="734" t="str">
        <f t="shared" si="8"/>
        <v/>
      </c>
      <c r="AG186" s="773"/>
    </row>
    <row r="187" spans="1:64" ht="18.75" x14ac:dyDescent="0.25">
      <c r="A187" s="758"/>
      <c r="B187" s="737"/>
      <c r="C187" s="730"/>
      <c r="D187" s="739"/>
      <c r="E187" s="765"/>
      <c r="F187" s="765"/>
      <c r="G187" s="765"/>
      <c r="H187" s="765"/>
      <c r="I187" s="746" t="str">
        <f t="shared" si="7"/>
        <v/>
      </c>
      <c r="J187" s="731"/>
      <c r="K187" s="731" t="str">
        <f t="shared" si="6"/>
        <v/>
      </c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32"/>
      <c r="AB187" s="732"/>
      <c r="AC187" s="732"/>
      <c r="AD187" s="732"/>
      <c r="AE187" s="733"/>
      <c r="AF187" s="734" t="str">
        <f t="shared" si="8"/>
        <v/>
      </c>
      <c r="AG187" s="773"/>
    </row>
    <row r="188" spans="1:64" ht="18.75" x14ac:dyDescent="0.25">
      <c r="A188" s="758"/>
      <c r="B188" s="737"/>
      <c r="C188" s="730"/>
      <c r="D188" s="739"/>
      <c r="E188" s="765"/>
      <c r="F188" s="765"/>
      <c r="G188" s="765"/>
      <c r="H188" s="765"/>
      <c r="I188" s="746" t="str">
        <f t="shared" si="7"/>
        <v/>
      </c>
      <c r="J188" s="731"/>
      <c r="K188" s="731" t="str">
        <f t="shared" si="6"/>
        <v/>
      </c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32"/>
      <c r="AB188" s="732"/>
      <c r="AC188" s="732"/>
      <c r="AD188" s="732"/>
      <c r="AE188" s="733"/>
      <c r="AF188" s="734" t="str">
        <f t="shared" si="8"/>
        <v/>
      </c>
      <c r="AG188" s="773"/>
    </row>
    <row r="189" spans="1:64" ht="18.75" x14ac:dyDescent="0.25">
      <c r="A189" s="758"/>
      <c r="B189" s="737"/>
      <c r="C189" s="730"/>
      <c r="D189" s="739"/>
      <c r="E189" s="765"/>
      <c r="F189" s="765"/>
      <c r="G189" s="765"/>
      <c r="H189" s="765"/>
      <c r="I189" s="746" t="str">
        <f t="shared" si="7"/>
        <v/>
      </c>
      <c r="J189" s="731"/>
      <c r="K189" s="731" t="str">
        <f t="shared" si="6"/>
        <v/>
      </c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32"/>
      <c r="AB189" s="732"/>
      <c r="AC189" s="732"/>
      <c r="AD189" s="732"/>
      <c r="AE189" s="733"/>
      <c r="AF189" s="734" t="str">
        <f t="shared" si="8"/>
        <v/>
      </c>
      <c r="AG189" s="773"/>
    </row>
    <row r="190" spans="1:64" ht="18.75" x14ac:dyDescent="0.25">
      <c r="A190" s="758"/>
      <c r="B190" s="737"/>
      <c r="C190" s="730"/>
      <c r="D190" s="739"/>
      <c r="E190" s="765"/>
      <c r="F190" s="765"/>
      <c r="G190" s="765"/>
      <c r="H190" s="765"/>
      <c r="I190" s="746" t="str">
        <f t="shared" si="7"/>
        <v/>
      </c>
      <c r="J190" s="731"/>
      <c r="K190" s="731" t="str">
        <f t="shared" si="6"/>
        <v/>
      </c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32"/>
      <c r="AB190" s="732"/>
      <c r="AC190" s="732"/>
      <c r="AD190" s="732"/>
      <c r="AE190" s="733"/>
      <c r="AF190" s="734" t="str">
        <f t="shared" si="8"/>
        <v/>
      </c>
      <c r="AG190" s="773"/>
    </row>
    <row r="191" spans="1:64" ht="19.5" customHeight="1" x14ac:dyDescent="0.25">
      <c r="A191" s="758"/>
      <c r="B191" s="737"/>
      <c r="C191" s="730"/>
      <c r="D191" s="739"/>
      <c r="E191" s="765"/>
      <c r="F191" s="765"/>
      <c r="G191" s="765"/>
      <c r="H191" s="765"/>
      <c r="I191" s="746" t="str">
        <f t="shared" si="7"/>
        <v/>
      </c>
      <c r="J191" s="731"/>
      <c r="K191" s="731" t="str">
        <f t="shared" si="6"/>
        <v/>
      </c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32"/>
      <c r="AB191" s="732"/>
      <c r="AC191" s="732"/>
      <c r="AD191" s="732"/>
      <c r="AE191" s="733"/>
      <c r="AF191" s="734" t="str">
        <f t="shared" si="8"/>
        <v/>
      </c>
      <c r="AG191" s="773"/>
    </row>
    <row r="192" spans="1:64" ht="18.75" x14ac:dyDescent="0.25">
      <c r="A192" s="758"/>
      <c r="B192" s="737"/>
      <c r="C192" s="730"/>
      <c r="D192" s="739"/>
      <c r="E192" s="765"/>
      <c r="F192" s="765"/>
      <c r="G192" s="765"/>
      <c r="H192" s="765"/>
      <c r="I192" s="746" t="str">
        <f t="shared" si="7"/>
        <v/>
      </c>
      <c r="J192" s="731"/>
      <c r="K192" s="731" t="str">
        <f t="shared" si="6"/>
        <v/>
      </c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32"/>
      <c r="AB192" s="732"/>
      <c r="AC192" s="732"/>
      <c r="AD192" s="732"/>
      <c r="AE192" s="733"/>
      <c r="AF192" s="734" t="str">
        <f t="shared" si="8"/>
        <v/>
      </c>
      <c r="AG192" s="773"/>
    </row>
    <row r="193" spans="1:64" ht="18.75" x14ac:dyDescent="0.25">
      <c r="A193" s="758"/>
      <c r="B193" s="737"/>
      <c r="C193" s="730"/>
      <c r="D193" s="739"/>
      <c r="E193" s="765"/>
      <c r="F193" s="765"/>
      <c r="G193" s="765"/>
      <c r="H193" s="765"/>
      <c r="I193" s="746" t="str">
        <f t="shared" si="7"/>
        <v/>
      </c>
      <c r="J193" s="731"/>
      <c r="K193" s="731" t="str">
        <f t="shared" si="6"/>
        <v/>
      </c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32"/>
      <c r="AB193" s="732"/>
      <c r="AC193" s="732"/>
      <c r="AD193" s="732"/>
      <c r="AE193" s="733"/>
      <c r="AF193" s="734" t="str">
        <f t="shared" si="8"/>
        <v/>
      </c>
      <c r="AG193" s="773"/>
    </row>
    <row r="194" spans="1:64" ht="19.5" customHeight="1" x14ac:dyDescent="0.25">
      <c r="A194" s="758"/>
      <c r="B194" s="737"/>
      <c r="C194" s="730"/>
      <c r="D194" s="739"/>
      <c r="E194" s="765"/>
      <c r="F194" s="765"/>
      <c r="G194" s="765"/>
      <c r="H194" s="765"/>
      <c r="I194" s="746" t="str">
        <f t="shared" si="7"/>
        <v/>
      </c>
      <c r="J194" s="731"/>
      <c r="K194" s="731" t="str">
        <f t="shared" si="6"/>
        <v/>
      </c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32"/>
      <c r="AB194" s="732"/>
      <c r="AC194" s="732"/>
      <c r="AD194" s="732"/>
      <c r="AE194" s="733"/>
      <c r="AF194" s="734" t="str">
        <f t="shared" si="8"/>
        <v/>
      </c>
      <c r="AG194" s="775"/>
      <c r="AH194" s="779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</row>
    <row r="195" spans="1:64" ht="19.5" customHeight="1" x14ac:dyDescent="0.25">
      <c r="A195" s="758"/>
      <c r="B195" s="737"/>
      <c r="C195" s="730"/>
      <c r="D195" s="739"/>
      <c r="E195" s="765"/>
      <c r="F195" s="765"/>
      <c r="G195" s="765"/>
      <c r="H195" s="765"/>
      <c r="I195" s="746" t="str">
        <f t="shared" si="7"/>
        <v/>
      </c>
      <c r="J195" s="731"/>
      <c r="K195" s="731" t="str">
        <f t="shared" si="6"/>
        <v/>
      </c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32"/>
      <c r="AB195" s="732"/>
      <c r="AC195" s="732"/>
      <c r="AD195" s="732"/>
      <c r="AE195" s="733"/>
      <c r="AF195" s="734" t="str">
        <f t="shared" si="8"/>
        <v/>
      </c>
      <c r="AG195" s="775"/>
      <c r="AH195" s="779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</row>
    <row r="196" spans="1:64" ht="18.75" x14ac:dyDescent="0.25">
      <c r="A196" s="758"/>
      <c r="B196" s="737"/>
      <c r="C196" s="730"/>
      <c r="D196" s="739"/>
      <c r="E196" s="765"/>
      <c r="F196" s="765"/>
      <c r="G196" s="765"/>
      <c r="H196" s="765"/>
      <c r="I196" s="746" t="str">
        <f t="shared" si="7"/>
        <v/>
      </c>
      <c r="J196" s="731"/>
      <c r="K196" s="731" t="str">
        <f t="shared" ref="K196:K259" si="9">IF(AA196-AE196 = 0,"",AA196-AE196)</f>
        <v/>
      </c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32"/>
      <c r="AB196" s="732"/>
      <c r="AC196" s="732"/>
      <c r="AD196" s="732"/>
      <c r="AE196" s="733"/>
      <c r="AF196" s="734" t="str">
        <f t="shared" si="8"/>
        <v/>
      </c>
      <c r="AG196" s="773"/>
    </row>
    <row r="197" spans="1:64" ht="18.75" x14ac:dyDescent="0.25">
      <c r="A197" s="758"/>
      <c r="B197" s="737"/>
      <c r="C197" s="730"/>
      <c r="D197" s="739"/>
      <c r="E197" s="765"/>
      <c r="F197" s="765"/>
      <c r="G197" s="765"/>
      <c r="H197" s="765"/>
      <c r="I197" s="746" t="str">
        <f t="shared" ref="I197:I260" si="10">AF197</f>
        <v/>
      </c>
      <c r="J197" s="731"/>
      <c r="K197" s="731" t="str">
        <f t="shared" si="9"/>
        <v/>
      </c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32"/>
      <c r="AB197" s="732"/>
      <c r="AC197" s="732"/>
      <c r="AD197" s="732"/>
      <c r="AE197" s="733"/>
      <c r="AF197" s="734" t="str">
        <f t="shared" ref="AF197:AF260" si="11">IF(AE197 &lt;&gt;"", AE197/AA197,"")</f>
        <v/>
      </c>
      <c r="AG197" s="773"/>
    </row>
    <row r="198" spans="1:64" ht="18.75" x14ac:dyDescent="0.25">
      <c r="A198" s="758"/>
      <c r="B198" s="737"/>
      <c r="C198" s="730"/>
      <c r="D198" s="739"/>
      <c r="E198" s="765"/>
      <c r="F198" s="765"/>
      <c r="G198" s="765"/>
      <c r="H198" s="765"/>
      <c r="I198" s="746" t="str">
        <f t="shared" si="10"/>
        <v/>
      </c>
      <c r="J198" s="731"/>
      <c r="K198" s="731" t="str">
        <f t="shared" si="9"/>
        <v/>
      </c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32"/>
      <c r="AB198" s="732"/>
      <c r="AC198" s="732"/>
      <c r="AD198" s="732"/>
      <c r="AE198" s="733"/>
      <c r="AF198" s="734" t="str">
        <f t="shared" si="11"/>
        <v/>
      </c>
      <c r="AG198" s="773"/>
    </row>
    <row r="199" spans="1:64" ht="18.75" x14ac:dyDescent="0.25">
      <c r="A199" s="758"/>
      <c r="B199" s="737"/>
      <c r="C199" s="730"/>
      <c r="D199" s="739"/>
      <c r="E199" s="765"/>
      <c r="F199" s="765"/>
      <c r="G199" s="765"/>
      <c r="H199" s="765"/>
      <c r="I199" s="746" t="str">
        <f t="shared" si="10"/>
        <v/>
      </c>
      <c r="J199" s="731"/>
      <c r="K199" s="731" t="str">
        <f t="shared" si="9"/>
        <v/>
      </c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32"/>
      <c r="AB199" s="732"/>
      <c r="AC199" s="732"/>
      <c r="AD199" s="732"/>
      <c r="AE199" s="733"/>
      <c r="AF199" s="734" t="str">
        <f t="shared" si="11"/>
        <v/>
      </c>
      <c r="AG199" s="773"/>
    </row>
    <row r="200" spans="1:64" ht="18.75" x14ac:dyDescent="0.25">
      <c r="A200" s="758"/>
      <c r="B200" s="737"/>
      <c r="C200" s="730"/>
      <c r="D200" s="739"/>
      <c r="E200" s="765"/>
      <c r="F200" s="765"/>
      <c r="G200" s="765"/>
      <c r="H200" s="765"/>
      <c r="I200" s="746" t="str">
        <f t="shared" si="10"/>
        <v/>
      </c>
      <c r="J200" s="731"/>
      <c r="K200" s="731" t="str">
        <f t="shared" si="9"/>
        <v/>
      </c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32"/>
      <c r="AB200" s="732"/>
      <c r="AC200" s="732"/>
      <c r="AD200" s="732"/>
      <c r="AE200" s="733"/>
      <c r="AF200" s="734" t="str">
        <f t="shared" si="11"/>
        <v/>
      </c>
      <c r="AG200" s="773"/>
    </row>
    <row r="201" spans="1:64" ht="18.75" x14ac:dyDescent="0.25">
      <c r="A201" s="758"/>
      <c r="B201" s="737"/>
      <c r="C201" s="730"/>
      <c r="D201" s="739"/>
      <c r="E201" s="765"/>
      <c r="F201" s="765"/>
      <c r="G201" s="765"/>
      <c r="H201" s="765"/>
      <c r="I201" s="746" t="str">
        <f t="shared" si="10"/>
        <v/>
      </c>
      <c r="J201" s="731"/>
      <c r="K201" s="731" t="str">
        <f t="shared" si="9"/>
        <v/>
      </c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32"/>
      <c r="AB201" s="732"/>
      <c r="AC201" s="732"/>
      <c r="AD201" s="732"/>
      <c r="AE201" s="733"/>
      <c r="AF201" s="734" t="str">
        <f t="shared" si="11"/>
        <v/>
      </c>
      <c r="AG201" s="773"/>
    </row>
    <row r="202" spans="1:64" ht="18.75" x14ac:dyDescent="0.25">
      <c r="A202" s="758"/>
      <c r="B202" s="737"/>
      <c r="C202" s="730"/>
      <c r="D202" s="739"/>
      <c r="E202" s="765"/>
      <c r="F202" s="765"/>
      <c r="G202" s="765"/>
      <c r="H202" s="765"/>
      <c r="I202" s="746" t="str">
        <f t="shared" si="10"/>
        <v/>
      </c>
      <c r="J202" s="731"/>
      <c r="K202" s="731" t="str">
        <f t="shared" si="9"/>
        <v/>
      </c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32"/>
      <c r="AB202" s="732"/>
      <c r="AC202" s="732"/>
      <c r="AD202" s="732"/>
      <c r="AE202" s="733"/>
      <c r="AF202" s="734" t="str">
        <f t="shared" si="11"/>
        <v/>
      </c>
      <c r="AG202" s="775"/>
      <c r="AH202" s="779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</row>
    <row r="203" spans="1:64" ht="18.75" x14ac:dyDescent="0.25">
      <c r="A203" s="758"/>
      <c r="B203" s="737"/>
      <c r="C203" s="730"/>
      <c r="D203" s="739"/>
      <c r="E203" s="765"/>
      <c r="F203" s="765"/>
      <c r="G203" s="765"/>
      <c r="H203" s="765"/>
      <c r="I203" s="746" t="str">
        <f t="shared" si="10"/>
        <v/>
      </c>
      <c r="J203" s="731"/>
      <c r="K203" s="731" t="str">
        <f t="shared" si="9"/>
        <v/>
      </c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32"/>
      <c r="AB203" s="732"/>
      <c r="AC203" s="732"/>
      <c r="AD203" s="732"/>
      <c r="AE203" s="733"/>
      <c r="AF203" s="734" t="str">
        <f t="shared" si="11"/>
        <v/>
      </c>
      <c r="AG203" s="773"/>
    </row>
    <row r="204" spans="1:64" ht="18.75" x14ac:dyDescent="0.25">
      <c r="A204" s="758"/>
      <c r="B204" s="737"/>
      <c r="C204" s="730"/>
      <c r="D204" s="739"/>
      <c r="E204" s="765"/>
      <c r="F204" s="765"/>
      <c r="G204" s="765"/>
      <c r="H204" s="765"/>
      <c r="I204" s="746" t="str">
        <f t="shared" si="10"/>
        <v/>
      </c>
      <c r="J204" s="731"/>
      <c r="K204" s="731" t="str">
        <f t="shared" si="9"/>
        <v/>
      </c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32"/>
      <c r="AB204" s="732"/>
      <c r="AC204" s="732"/>
      <c r="AD204" s="732"/>
      <c r="AE204" s="733"/>
      <c r="AF204" s="734" t="str">
        <f t="shared" si="11"/>
        <v/>
      </c>
      <c r="AG204" s="773"/>
    </row>
    <row r="205" spans="1:64" ht="18.75" x14ac:dyDescent="0.25">
      <c r="A205" s="758"/>
      <c r="B205" s="737"/>
      <c r="C205" s="730"/>
      <c r="D205" s="739"/>
      <c r="E205" s="765"/>
      <c r="F205" s="765"/>
      <c r="G205" s="765"/>
      <c r="H205" s="765"/>
      <c r="I205" s="746" t="str">
        <f t="shared" si="10"/>
        <v/>
      </c>
      <c r="J205" s="731"/>
      <c r="K205" s="731" t="str">
        <f t="shared" si="9"/>
        <v/>
      </c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32"/>
      <c r="AB205" s="732"/>
      <c r="AC205" s="732"/>
      <c r="AD205" s="732"/>
      <c r="AE205" s="733"/>
      <c r="AF205" s="734" t="str">
        <f t="shared" si="11"/>
        <v/>
      </c>
      <c r="AG205" s="773"/>
    </row>
    <row r="206" spans="1:64" ht="18.75" x14ac:dyDescent="0.25">
      <c r="A206" s="758"/>
      <c r="B206" s="737"/>
      <c r="C206" s="730"/>
      <c r="D206" s="739"/>
      <c r="E206" s="765"/>
      <c r="F206" s="765"/>
      <c r="G206" s="765"/>
      <c r="H206" s="765"/>
      <c r="I206" s="746" t="str">
        <f t="shared" si="10"/>
        <v/>
      </c>
      <c r="J206" s="731"/>
      <c r="K206" s="731" t="str">
        <f t="shared" si="9"/>
        <v/>
      </c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32"/>
      <c r="AB206" s="732"/>
      <c r="AC206" s="732"/>
      <c r="AD206" s="732"/>
      <c r="AE206" s="733"/>
      <c r="AF206" s="734" t="str">
        <f t="shared" si="11"/>
        <v/>
      </c>
      <c r="AG206" s="773"/>
    </row>
    <row r="207" spans="1:64" ht="18.75" x14ac:dyDescent="0.25">
      <c r="A207" s="758"/>
      <c r="B207" s="737"/>
      <c r="C207" s="730"/>
      <c r="D207" s="739"/>
      <c r="E207" s="765"/>
      <c r="F207" s="765"/>
      <c r="G207" s="765"/>
      <c r="H207" s="765"/>
      <c r="I207" s="746" t="str">
        <f t="shared" si="10"/>
        <v/>
      </c>
      <c r="J207" s="731"/>
      <c r="K207" s="731" t="str">
        <f t="shared" si="9"/>
        <v/>
      </c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32"/>
      <c r="AB207" s="732"/>
      <c r="AC207" s="732"/>
      <c r="AD207" s="732"/>
      <c r="AE207" s="733"/>
      <c r="AF207" s="734" t="str">
        <f t="shared" si="11"/>
        <v/>
      </c>
      <c r="AG207" s="773"/>
    </row>
    <row r="208" spans="1:64" ht="19.5" customHeight="1" x14ac:dyDescent="0.25">
      <c r="A208" s="758"/>
      <c r="B208" s="737"/>
      <c r="C208" s="730"/>
      <c r="D208" s="739"/>
      <c r="E208" s="765"/>
      <c r="F208" s="765"/>
      <c r="G208" s="765"/>
      <c r="H208" s="765"/>
      <c r="I208" s="746" t="str">
        <f t="shared" si="10"/>
        <v/>
      </c>
      <c r="J208" s="731"/>
      <c r="K208" s="731" t="str">
        <f t="shared" si="9"/>
        <v/>
      </c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32"/>
      <c r="AB208" s="732"/>
      <c r="AC208" s="732"/>
      <c r="AD208" s="732"/>
      <c r="AE208" s="733"/>
      <c r="AF208" s="734" t="str">
        <f t="shared" si="11"/>
        <v/>
      </c>
      <c r="AG208" s="775"/>
      <c r="AH208" s="779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</row>
    <row r="209" spans="1:64" ht="19.5" customHeight="1" x14ac:dyDescent="0.25">
      <c r="A209" s="758"/>
      <c r="B209" s="737"/>
      <c r="C209" s="730"/>
      <c r="D209" s="739"/>
      <c r="E209" s="765"/>
      <c r="F209" s="765"/>
      <c r="G209" s="765"/>
      <c r="H209" s="765"/>
      <c r="I209" s="746" t="str">
        <f t="shared" si="10"/>
        <v/>
      </c>
      <c r="J209" s="731"/>
      <c r="K209" s="731" t="str">
        <f t="shared" si="9"/>
        <v/>
      </c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32"/>
      <c r="AB209" s="732"/>
      <c r="AC209" s="732"/>
      <c r="AD209" s="732"/>
      <c r="AE209" s="733"/>
      <c r="AF209" s="734" t="str">
        <f t="shared" si="11"/>
        <v/>
      </c>
      <c r="AG209" s="775"/>
      <c r="AH209" s="779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</row>
    <row r="210" spans="1:64" ht="18.75" x14ac:dyDescent="0.25">
      <c r="A210" s="758"/>
      <c r="B210" s="737"/>
      <c r="C210" s="730"/>
      <c r="D210" s="739"/>
      <c r="E210" s="765"/>
      <c r="F210" s="765"/>
      <c r="G210" s="765"/>
      <c r="H210" s="765"/>
      <c r="I210" s="746" t="str">
        <f t="shared" si="10"/>
        <v/>
      </c>
      <c r="J210" s="731"/>
      <c r="K210" s="731" t="str">
        <f t="shared" si="9"/>
        <v/>
      </c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32"/>
      <c r="AB210" s="732"/>
      <c r="AC210" s="732"/>
      <c r="AD210" s="732"/>
      <c r="AE210" s="733"/>
      <c r="AF210" s="734" t="str">
        <f t="shared" si="11"/>
        <v/>
      </c>
      <c r="AG210" s="773"/>
    </row>
    <row r="211" spans="1:64" ht="18.75" x14ac:dyDescent="0.25">
      <c r="A211" s="758"/>
      <c r="B211" s="737"/>
      <c r="C211" s="730"/>
      <c r="D211" s="739"/>
      <c r="E211" s="765"/>
      <c r="F211" s="765"/>
      <c r="G211" s="765"/>
      <c r="H211" s="765"/>
      <c r="I211" s="746" t="str">
        <f t="shared" si="10"/>
        <v/>
      </c>
      <c r="J211" s="731"/>
      <c r="K211" s="731" t="str">
        <f t="shared" si="9"/>
        <v/>
      </c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32"/>
      <c r="AB211" s="732"/>
      <c r="AC211" s="732"/>
      <c r="AD211" s="732"/>
      <c r="AE211" s="733"/>
      <c r="AF211" s="734" t="str">
        <f t="shared" si="11"/>
        <v/>
      </c>
      <c r="AG211" s="773"/>
    </row>
    <row r="212" spans="1:64" ht="18.75" x14ac:dyDescent="0.25">
      <c r="A212" s="758"/>
      <c r="B212" s="737"/>
      <c r="C212" s="730"/>
      <c r="D212" s="739"/>
      <c r="E212" s="765"/>
      <c r="F212" s="765"/>
      <c r="G212" s="765"/>
      <c r="H212" s="765"/>
      <c r="I212" s="746" t="str">
        <f t="shared" si="10"/>
        <v/>
      </c>
      <c r="J212" s="731"/>
      <c r="K212" s="731" t="str">
        <f t="shared" si="9"/>
        <v/>
      </c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32"/>
      <c r="AB212" s="732"/>
      <c r="AC212" s="732"/>
      <c r="AD212" s="732"/>
      <c r="AE212" s="733"/>
      <c r="AF212" s="734" t="str">
        <f t="shared" si="11"/>
        <v/>
      </c>
      <c r="AG212" s="773"/>
    </row>
    <row r="213" spans="1:64" ht="18.75" x14ac:dyDescent="0.25">
      <c r="A213" s="758"/>
      <c r="B213" s="737"/>
      <c r="C213" s="730"/>
      <c r="D213" s="739"/>
      <c r="E213" s="765"/>
      <c r="F213" s="765"/>
      <c r="G213" s="765"/>
      <c r="H213" s="765"/>
      <c r="I213" s="746" t="str">
        <f t="shared" si="10"/>
        <v/>
      </c>
      <c r="J213" s="731"/>
      <c r="K213" s="731" t="str">
        <f t="shared" si="9"/>
        <v/>
      </c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32"/>
      <c r="AB213" s="732"/>
      <c r="AC213" s="732"/>
      <c r="AD213" s="732"/>
      <c r="AE213" s="733"/>
      <c r="AF213" s="734" t="str">
        <f t="shared" si="11"/>
        <v/>
      </c>
      <c r="AG213" s="773"/>
    </row>
    <row r="214" spans="1:64" ht="18.75" x14ac:dyDescent="0.25">
      <c r="A214" s="758"/>
      <c r="B214" s="737"/>
      <c r="C214" s="730"/>
      <c r="D214" s="739"/>
      <c r="E214" s="765"/>
      <c r="F214" s="765"/>
      <c r="G214" s="765"/>
      <c r="H214" s="765"/>
      <c r="I214" s="746" t="str">
        <f t="shared" si="10"/>
        <v/>
      </c>
      <c r="J214" s="731"/>
      <c r="K214" s="731" t="str">
        <f t="shared" si="9"/>
        <v/>
      </c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32"/>
      <c r="AB214" s="732"/>
      <c r="AC214" s="732"/>
      <c r="AD214" s="732"/>
      <c r="AE214" s="733"/>
      <c r="AF214" s="734" t="str">
        <f t="shared" si="11"/>
        <v/>
      </c>
      <c r="AG214" s="773"/>
    </row>
    <row r="215" spans="1:64" ht="18.75" x14ac:dyDescent="0.25">
      <c r="A215" s="758"/>
      <c r="B215" s="737"/>
      <c r="C215" s="730"/>
      <c r="D215" s="739"/>
      <c r="E215" s="765"/>
      <c r="F215" s="765"/>
      <c r="G215" s="765"/>
      <c r="H215" s="765"/>
      <c r="I215" s="746" t="str">
        <f t="shared" si="10"/>
        <v/>
      </c>
      <c r="J215" s="731"/>
      <c r="K215" s="731" t="str">
        <f t="shared" si="9"/>
        <v/>
      </c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32"/>
      <c r="AB215" s="732"/>
      <c r="AC215" s="732"/>
      <c r="AD215" s="732"/>
      <c r="AE215" s="733"/>
      <c r="AF215" s="734" t="str">
        <f t="shared" si="11"/>
        <v/>
      </c>
      <c r="AG215" s="773"/>
    </row>
    <row r="216" spans="1:64" ht="18.75" x14ac:dyDescent="0.25">
      <c r="A216" s="758"/>
      <c r="B216" s="737"/>
      <c r="C216" s="730"/>
      <c r="D216" s="739"/>
      <c r="E216" s="765"/>
      <c r="F216" s="765"/>
      <c r="G216" s="765"/>
      <c r="H216" s="765"/>
      <c r="I216" s="746" t="str">
        <f t="shared" si="10"/>
        <v/>
      </c>
      <c r="J216" s="731"/>
      <c r="K216" s="731" t="str">
        <f t="shared" si="9"/>
        <v/>
      </c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32"/>
      <c r="AB216" s="732"/>
      <c r="AC216" s="732"/>
      <c r="AD216" s="732"/>
      <c r="AE216" s="733"/>
      <c r="AF216" s="734" t="str">
        <f t="shared" si="11"/>
        <v/>
      </c>
      <c r="AG216" s="775"/>
      <c r="AH216" s="779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</row>
    <row r="217" spans="1:64" ht="18.75" x14ac:dyDescent="0.25">
      <c r="A217" s="758"/>
      <c r="B217" s="737"/>
      <c r="C217" s="730"/>
      <c r="D217" s="739"/>
      <c r="E217" s="765"/>
      <c r="F217" s="765"/>
      <c r="G217" s="765"/>
      <c r="H217" s="765"/>
      <c r="I217" s="746" t="str">
        <f t="shared" si="10"/>
        <v/>
      </c>
      <c r="J217" s="731"/>
      <c r="K217" s="731" t="str">
        <f t="shared" si="9"/>
        <v/>
      </c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32"/>
      <c r="AB217" s="732"/>
      <c r="AC217" s="732"/>
      <c r="AD217" s="732"/>
      <c r="AE217" s="733"/>
      <c r="AF217" s="734" t="str">
        <f t="shared" si="11"/>
        <v/>
      </c>
      <c r="AG217" s="773"/>
    </row>
    <row r="218" spans="1:64" ht="18.75" x14ac:dyDescent="0.25">
      <c r="A218" s="758"/>
      <c r="B218" s="737"/>
      <c r="C218" s="730"/>
      <c r="D218" s="739"/>
      <c r="E218" s="765"/>
      <c r="F218" s="765"/>
      <c r="G218" s="765"/>
      <c r="H218" s="765"/>
      <c r="I218" s="746" t="str">
        <f t="shared" si="10"/>
        <v/>
      </c>
      <c r="J218" s="731"/>
      <c r="K218" s="731" t="str">
        <f t="shared" si="9"/>
        <v/>
      </c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32"/>
      <c r="AB218" s="732"/>
      <c r="AC218" s="732"/>
      <c r="AD218" s="732"/>
      <c r="AE218" s="733"/>
      <c r="AF218" s="734" t="str">
        <f t="shared" si="11"/>
        <v/>
      </c>
      <c r="AG218" s="773"/>
    </row>
    <row r="219" spans="1:64" ht="18.75" x14ac:dyDescent="0.25">
      <c r="A219" s="758"/>
      <c r="B219" s="737"/>
      <c r="C219" s="730"/>
      <c r="D219" s="739"/>
      <c r="E219" s="765"/>
      <c r="F219" s="765"/>
      <c r="G219" s="765"/>
      <c r="H219" s="765"/>
      <c r="I219" s="746" t="str">
        <f t="shared" si="10"/>
        <v/>
      </c>
      <c r="J219" s="731"/>
      <c r="K219" s="731" t="str">
        <f t="shared" si="9"/>
        <v/>
      </c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32"/>
      <c r="AB219" s="732"/>
      <c r="AC219" s="732"/>
      <c r="AD219" s="732"/>
      <c r="AE219" s="733"/>
      <c r="AF219" s="734" t="str">
        <f t="shared" si="11"/>
        <v/>
      </c>
      <c r="AG219" s="773"/>
    </row>
    <row r="220" spans="1:64" ht="18.75" x14ac:dyDescent="0.25">
      <c r="A220" s="758"/>
      <c r="B220" s="737"/>
      <c r="C220" s="730"/>
      <c r="D220" s="739"/>
      <c r="E220" s="765"/>
      <c r="F220" s="765"/>
      <c r="G220" s="765"/>
      <c r="H220" s="765"/>
      <c r="I220" s="746" t="str">
        <f t="shared" si="10"/>
        <v/>
      </c>
      <c r="J220" s="731"/>
      <c r="K220" s="731" t="str">
        <f t="shared" si="9"/>
        <v/>
      </c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32"/>
      <c r="AB220" s="732"/>
      <c r="AC220" s="732"/>
      <c r="AD220" s="732"/>
      <c r="AE220" s="733"/>
      <c r="AF220" s="734" t="str">
        <f t="shared" si="11"/>
        <v/>
      </c>
      <c r="AG220" s="773"/>
    </row>
    <row r="221" spans="1:64" ht="18.75" x14ac:dyDescent="0.25">
      <c r="A221" s="758"/>
      <c r="B221" s="737"/>
      <c r="C221" s="730"/>
      <c r="D221" s="739"/>
      <c r="E221" s="765"/>
      <c r="F221" s="765"/>
      <c r="G221" s="765"/>
      <c r="H221" s="765"/>
      <c r="I221" s="746" t="str">
        <f t="shared" si="10"/>
        <v/>
      </c>
      <c r="J221" s="731"/>
      <c r="K221" s="731" t="str">
        <f t="shared" si="9"/>
        <v/>
      </c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32"/>
      <c r="AB221" s="732"/>
      <c r="AC221" s="732"/>
      <c r="AD221" s="732"/>
      <c r="AE221" s="733"/>
      <c r="AF221" s="734" t="str">
        <f t="shared" si="11"/>
        <v/>
      </c>
      <c r="AG221" s="773"/>
    </row>
    <row r="222" spans="1:64" ht="18.75" x14ac:dyDescent="0.25">
      <c r="A222" s="758"/>
      <c r="B222" s="737"/>
      <c r="C222" s="730"/>
      <c r="D222" s="739"/>
      <c r="E222" s="765"/>
      <c r="F222" s="765"/>
      <c r="G222" s="765"/>
      <c r="H222" s="765"/>
      <c r="I222" s="746" t="str">
        <f t="shared" si="10"/>
        <v/>
      </c>
      <c r="J222" s="731"/>
      <c r="K222" s="731" t="str">
        <f t="shared" si="9"/>
        <v/>
      </c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32"/>
      <c r="AB222" s="732"/>
      <c r="AC222" s="732"/>
      <c r="AD222" s="732"/>
      <c r="AE222" s="733"/>
      <c r="AF222" s="734" t="str">
        <f t="shared" si="11"/>
        <v/>
      </c>
      <c r="AG222" s="773"/>
    </row>
    <row r="223" spans="1:64" ht="19.5" customHeight="1" x14ac:dyDescent="0.25">
      <c r="A223" s="758"/>
      <c r="B223" s="737"/>
      <c r="C223" s="730"/>
      <c r="D223" s="739"/>
      <c r="E223" s="765"/>
      <c r="F223" s="765"/>
      <c r="G223" s="765"/>
      <c r="H223" s="765"/>
      <c r="I223" s="746" t="str">
        <f t="shared" si="10"/>
        <v/>
      </c>
      <c r="J223" s="731"/>
      <c r="K223" s="731" t="str">
        <f t="shared" si="9"/>
        <v/>
      </c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32"/>
      <c r="AB223" s="732"/>
      <c r="AC223" s="732"/>
      <c r="AD223" s="732"/>
      <c r="AE223" s="733"/>
      <c r="AF223" s="734" t="str">
        <f t="shared" si="11"/>
        <v/>
      </c>
      <c r="AG223" s="775"/>
      <c r="AH223" s="779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</row>
    <row r="224" spans="1:64" ht="19.5" customHeight="1" x14ac:dyDescent="0.25">
      <c r="A224" s="758"/>
      <c r="B224" s="737"/>
      <c r="C224" s="730"/>
      <c r="D224" s="739"/>
      <c r="E224" s="765"/>
      <c r="F224" s="765"/>
      <c r="G224" s="765"/>
      <c r="H224" s="765"/>
      <c r="I224" s="746" t="str">
        <f t="shared" si="10"/>
        <v/>
      </c>
      <c r="J224" s="731"/>
      <c r="K224" s="731" t="str">
        <f t="shared" si="9"/>
        <v/>
      </c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32"/>
      <c r="AB224" s="732"/>
      <c r="AC224" s="732"/>
      <c r="AD224" s="732"/>
      <c r="AE224" s="733"/>
      <c r="AF224" s="734" t="str">
        <f t="shared" si="11"/>
        <v/>
      </c>
      <c r="AG224" s="775"/>
      <c r="AH224" s="779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</row>
    <row r="225" spans="1:64" ht="18.75" x14ac:dyDescent="0.25">
      <c r="A225" s="758"/>
      <c r="B225" s="737"/>
      <c r="C225" s="730"/>
      <c r="D225" s="739"/>
      <c r="E225" s="765"/>
      <c r="F225" s="765"/>
      <c r="G225" s="765"/>
      <c r="H225" s="765"/>
      <c r="I225" s="746" t="str">
        <f t="shared" si="10"/>
        <v/>
      </c>
      <c r="J225" s="731"/>
      <c r="K225" s="731" t="str">
        <f t="shared" si="9"/>
        <v/>
      </c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32"/>
      <c r="AB225" s="732"/>
      <c r="AC225" s="732"/>
      <c r="AD225" s="732"/>
      <c r="AE225" s="733"/>
      <c r="AF225" s="734" t="str">
        <f t="shared" si="11"/>
        <v/>
      </c>
      <c r="AG225" s="773"/>
    </row>
    <row r="226" spans="1:64" ht="18.75" x14ac:dyDescent="0.25">
      <c r="A226" s="758"/>
      <c r="B226" s="737"/>
      <c r="C226" s="730"/>
      <c r="D226" s="739"/>
      <c r="E226" s="765"/>
      <c r="F226" s="765"/>
      <c r="G226" s="765"/>
      <c r="H226" s="765"/>
      <c r="I226" s="746" t="str">
        <f t="shared" si="10"/>
        <v/>
      </c>
      <c r="J226" s="731"/>
      <c r="K226" s="731" t="str">
        <f t="shared" si="9"/>
        <v/>
      </c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32"/>
      <c r="AB226" s="732"/>
      <c r="AC226" s="732"/>
      <c r="AD226" s="732"/>
      <c r="AE226" s="733"/>
      <c r="AF226" s="734" t="str">
        <f t="shared" si="11"/>
        <v/>
      </c>
      <c r="AG226" s="773"/>
    </row>
    <row r="227" spans="1:64" ht="18.75" x14ac:dyDescent="0.25">
      <c r="A227" s="758"/>
      <c r="B227" s="737"/>
      <c r="C227" s="730"/>
      <c r="D227" s="739"/>
      <c r="E227" s="765"/>
      <c r="F227" s="765"/>
      <c r="G227" s="765"/>
      <c r="H227" s="765"/>
      <c r="I227" s="746" t="str">
        <f t="shared" si="10"/>
        <v/>
      </c>
      <c r="J227" s="731"/>
      <c r="K227" s="731" t="str">
        <f t="shared" si="9"/>
        <v/>
      </c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32"/>
      <c r="AB227" s="732"/>
      <c r="AC227" s="732"/>
      <c r="AD227" s="732"/>
      <c r="AE227" s="733"/>
      <c r="AF227" s="734" t="str">
        <f t="shared" si="11"/>
        <v/>
      </c>
      <c r="AG227" s="773"/>
    </row>
    <row r="228" spans="1:64" ht="18.75" x14ac:dyDescent="0.25">
      <c r="A228" s="758"/>
      <c r="B228" s="737"/>
      <c r="C228" s="730"/>
      <c r="D228" s="739"/>
      <c r="E228" s="765"/>
      <c r="F228" s="765"/>
      <c r="G228" s="765"/>
      <c r="H228" s="765"/>
      <c r="I228" s="746" t="str">
        <f t="shared" si="10"/>
        <v/>
      </c>
      <c r="J228" s="731"/>
      <c r="K228" s="731" t="str">
        <f t="shared" si="9"/>
        <v/>
      </c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32"/>
      <c r="AB228" s="732"/>
      <c r="AC228" s="732"/>
      <c r="AD228" s="732"/>
      <c r="AE228" s="733"/>
      <c r="AF228" s="734" t="str">
        <f t="shared" si="11"/>
        <v/>
      </c>
      <c r="AG228" s="773"/>
    </row>
    <row r="229" spans="1:64" ht="18.75" x14ac:dyDescent="0.25">
      <c r="A229" s="758"/>
      <c r="B229" s="737"/>
      <c r="C229" s="730"/>
      <c r="D229" s="739"/>
      <c r="E229" s="765"/>
      <c r="F229" s="765"/>
      <c r="G229" s="765"/>
      <c r="H229" s="765"/>
      <c r="I229" s="746" t="str">
        <f t="shared" si="10"/>
        <v/>
      </c>
      <c r="J229" s="731"/>
      <c r="K229" s="731" t="str">
        <f t="shared" si="9"/>
        <v/>
      </c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32"/>
      <c r="AB229" s="732"/>
      <c r="AC229" s="732"/>
      <c r="AD229" s="732"/>
      <c r="AE229" s="733"/>
      <c r="AF229" s="734" t="str">
        <f t="shared" si="11"/>
        <v/>
      </c>
      <c r="AG229" s="773"/>
    </row>
    <row r="230" spans="1:64" ht="18.75" x14ac:dyDescent="0.25">
      <c r="A230" s="758"/>
      <c r="B230" s="737"/>
      <c r="C230" s="730"/>
      <c r="D230" s="739"/>
      <c r="E230" s="765"/>
      <c r="F230" s="765"/>
      <c r="G230" s="765"/>
      <c r="H230" s="765"/>
      <c r="I230" s="746" t="str">
        <f t="shared" si="10"/>
        <v/>
      </c>
      <c r="J230" s="731"/>
      <c r="K230" s="731" t="str">
        <f t="shared" si="9"/>
        <v/>
      </c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32"/>
      <c r="AB230" s="732"/>
      <c r="AC230" s="732"/>
      <c r="AD230" s="732"/>
      <c r="AE230" s="733"/>
      <c r="AF230" s="734" t="str">
        <f t="shared" si="11"/>
        <v/>
      </c>
      <c r="AG230" s="773"/>
    </row>
    <row r="231" spans="1:64" ht="18.75" x14ac:dyDescent="0.25">
      <c r="A231" s="758"/>
      <c r="B231" s="737"/>
      <c r="C231" s="730"/>
      <c r="D231" s="739"/>
      <c r="E231" s="765"/>
      <c r="F231" s="765"/>
      <c r="G231" s="765"/>
      <c r="H231" s="765"/>
      <c r="I231" s="746" t="str">
        <f t="shared" si="10"/>
        <v/>
      </c>
      <c r="J231" s="731"/>
      <c r="K231" s="731" t="str">
        <f t="shared" si="9"/>
        <v/>
      </c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32"/>
      <c r="AB231" s="732"/>
      <c r="AC231" s="732"/>
      <c r="AD231" s="732"/>
      <c r="AE231" s="733"/>
      <c r="AF231" s="734" t="str">
        <f t="shared" si="11"/>
        <v/>
      </c>
      <c r="AG231" s="775"/>
      <c r="AH231" s="779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</row>
    <row r="232" spans="1:64" ht="18.75" x14ac:dyDescent="0.25">
      <c r="A232" s="758"/>
      <c r="B232" s="737"/>
      <c r="C232" s="730"/>
      <c r="D232" s="739"/>
      <c r="E232" s="765"/>
      <c r="F232" s="765"/>
      <c r="G232" s="765"/>
      <c r="H232" s="765"/>
      <c r="I232" s="746" t="str">
        <f t="shared" si="10"/>
        <v/>
      </c>
      <c r="J232" s="731"/>
      <c r="K232" s="731" t="str">
        <f t="shared" si="9"/>
        <v/>
      </c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32"/>
      <c r="AB232" s="732"/>
      <c r="AC232" s="732"/>
      <c r="AD232" s="732"/>
      <c r="AE232" s="733"/>
      <c r="AF232" s="734" t="str">
        <f t="shared" si="11"/>
        <v/>
      </c>
      <c r="AG232" s="773"/>
    </row>
    <row r="233" spans="1:64" ht="18.75" x14ac:dyDescent="0.25">
      <c r="A233" s="758"/>
      <c r="B233" s="737"/>
      <c r="C233" s="730"/>
      <c r="D233" s="739"/>
      <c r="E233" s="765"/>
      <c r="F233" s="765"/>
      <c r="G233" s="765"/>
      <c r="H233" s="765"/>
      <c r="I233" s="746" t="str">
        <f t="shared" si="10"/>
        <v/>
      </c>
      <c r="J233" s="731"/>
      <c r="K233" s="731" t="str">
        <f t="shared" si="9"/>
        <v/>
      </c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32"/>
      <c r="AB233" s="732"/>
      <c r="AC233" s="732"/>
      <c r="AD233" s="732"/>
      <c r="AE233" s="733"/>
      <c r="AF233" s="734" t="str">
        <f t="shared" si="11"/>
        <v/>
      </c>
      <c r="AG233" s="773"/>
    </row>
    <row r="234" spans="1:64" ht="18.75" x14ac:dyDescent="0.25">
      <c r="A234" s="758"/>
      <c r="B234" s="737"/>
      <c r="C234" s="730"/>
      <c r="D234" s="739"/>
      <c r="E234" s="765"/>
      <c r="F234" s="765"/>
      <c r="G234" s="765"/>
      <c r="H234" s="765"/>
      <c r="I234" s="746" t="str">
        <f t="shared" si="10"/>
        <v/>
      </c>
      <c r="J234" s="731"/>
      <c r="K234" s="731" t="str">
        <f t="shared" si="9"/>
        <v/>
      </c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32"/>
      <c r="AB234" s="732"/>
      <c r="AC234" s="732"/>
      <c r="AD234" s="732"/>
      <c r="AE234" s="733"/>
      <c r="AF234" s="734" t="str">
        <f t="shared" si="11"/>
        <v/>
      </c>
      <c r="AG234" s="773"/>
    </row>
    <row r="235" spans="1:64" ht="18.75" x14ac:dyDescent="0.25">
      <c r="A235" s="758"/>
      <c r="B235" s="737"/>
      <c r="C235" s="730"/>
      <c r="D235" s="739"/>
      <c r="E235" s="765"/>
      <c r="F235" s="765"/>
      <c r="G235" s="765"/>
      <c r="H235" s="765"/>
      <c r="I235" s="746" t="str">
        <f t="shared" si="10"/>
        <v/>
      </c>
      <c r="J235" s="731"/>
      <c r="K235" s="731" t="str">
        <f t="shared" si="9"/>
        <v/>
      </c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32"/>
      <c r="AB235" s="732"/>
      <c r="AC235" s="732"/>
      <c r="AD235" s="732"/>
      <c r="AE235" s="733"/>
      <c r="AF235" s="734" t="str">
        <f t="shared" si="11"/>
        <v/>
      </c>
      <c r="AG235" s="773"/>
    </row>
    <row r="236" spans="1:64" ht="18.75" x14ac:dyDescent="0.25">
      <c r="A236" s="758"/>
      <c r="B236" s="737"/>
      <c r="C236" s="730"/>
      <c r="D236" s="739"/>
      <c r="E236" s="765"/>
      <c r="F236" s="765"/>
      <c r="G236" s="765"/>
      <c r="H236" s="765"/>
      <c r="I236" s="746" t="str">
        <f t="shared" si="10"/>
        <v/>
      </c>
      <c r="J236" s="731"/>
      <c r="K236" s="731" t="str">
        <f t="shared" si="9"/>
        <v/>
      </c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32"/>
      <c r="AB236" s="732"/>
      <c r="AC236" s="732"/>
      <c r="AD236" s="732"/>
      <c r="AE236" s="733"/>
      <c r="AF236" s="734" t="str">
        <f t="shared" si="11"/>
        <v/>
      </c>
      <c r="AG236" s="773"/>
    </row>
    <row r="237" spans="1:64" ht="18.75" customHeight="1" x14ac:dyDescent="0.25">
      <c r="A237" s="758"/>
      <c r="B237" s="737"/>
      <c r="C237" s="730"/>
      <c r="D237" s="739"/>
      <c r="E237" s="765"/>
      <c r="F237" s="765"/>
      <c r="G237" s="765"/>
      <c r="H237" s="765"/>
      <c r="I237" s="746" t="str">
        <f t="shared" si="10"/>
        <v/>
      </c>
      <c r="J237" s="731"/>
      <c r="K237" s="731" t="str">
        <f t="shared" si="9"/>
        <v/>
      </c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32"/>
      <c r="AB237" s="732"/>
      <c r="AC237" s="732"/>
      <c r="AD237" s="732"/>
      <c r="AE237" s="733"/>
      <c r="AF237" s="734" t="str">
        <f t="shared" si="11"/>
        <v/>
      </c>
      <c r="AG237" s="772"/>
      <c r="AH237" s="777"/>
      <c r="AI237" s="735"/>
      <c r="AJ237" s="735"/>
      <c r="AK237" s="735"/>
      <c r="AL237" s="735"/>
      <c r="AM237" s="735"/>
      <c r="AN237" s="735"/>
      <c r="AO237" s="735"/>
      <c r="AP237" s="735"/>
      <c r="AQ237" s="735"/>
      <c r="AR237" s="735"/>
      <c r="AS237" s="735"/>
      <c r="AT237" s="735"/>
      <c r="AU237" s="735"/>
      <c r="AV237" s="735"/>
      <c r="AW237" s="735"/>
      <c r="AX237" s="735"/>
      <c r="AY237" s="735"/>
      <c r="AZ237" s="735"/>
      <c r="BA237" s="735"/>
      <c r="BB237" s="735"/>
      <c r="BC237" s="735"/>
      <c r="BD237" s="735"/>
      <c r="BE237" s="735"/>
      <c r="BF237" s="735"/>
      <c r="BG237" s="735"/>
      <c r="BH237" s="735"/>
      <c r="BI237" s="735"/>
      <c r="BJ237" s="735"/>
      <c r="BK237" s="735"/>
      <c r="BL237" s="735"/>
    </row>
    <row r="238" spans="1:64" ht="19.5" customHeight="1" x14ac:dyDescent="0.25">
      <c r="A238" s="758"/>
      <c r="B238" s="737"/>
      <c r="C238" s="730"/>
      <c r="D238" s="739"/>
      <c r="E238" s="765"/>
      <c r="F238" s="765"/>
      <c r="G238" s="765"/>
      <c r="H238" s="765"/>
      <c r="I238" s="746" t="str">
        <f t="shared" si="10"/>
        <v/>
      </c>
      <c r="J238" s="731"/>
      <c r="K238" s="731" t="str">
        <f t="shared" si="9"/>
        <v/>
      </c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32"/>
      <c r="AB238" s="732"/>
      <c r="AC238" s="732"/>
      <c r="AD238" s="732"/>
      <c r="AE238" s="733"/>
      <c r="AF238" s="734" t="str">
        <f t="shared" si="11"/>
        <v/>
      </c>
      <c r="AG238" s="772"/>
      <c r="AH238" s="777"/>
      <c r="AI238" s="735"/>
      <c r="AJ238" s="735"/>
      <c r="AK238" s="735"/>
      <c r="AL238" s="735"/>
      <c r="AM238" s="735"/>
      <c r="AN238" s="735"/>
      <c r="AO238" s="735"/>
      <c r="AP238" s="735"/>
      <c r="AQ238" s="735"/>
      <c r="AR238" s="735"/>
      <c r="AS238" s="735"/>
      <c r="AT238" s="735"/>
      <c r="AU238" s="735"/>
      <c r="AV238" s="735"/>
      <c r="AW238" s="735"/>
      <c r="AX238" s="735"/>
      <c r="AY238" s="735"/>
      <c r="AZ238" s="735"/>
      <c r="BA238" s="735"/>
      <c r="BB238" s="735"/>
      <c r="BC238" s="735"/>
      <c r="BD238" s="735"/>
      <c r="BE238" s="735"/>
      <c r="BF238" s="735"/>
      <c r="BG238" s="735"/>
      <c r="BH238" s="735"/>
      <c r="BI238" s="735"/>
      <c r="BJ238" s="735"/>
      <c r="BK238" s="735"/>
      <c r="BL238" s="735"/>
    </row>
    <row r="239" spans="1:64" ht="19.5" customHeight="1" x14ac:dyDescent="0.25">
      <c r="A239" s="758"/>
      <c r="B239" s="737"/>
      <c r="C239" s="730"/>
      <c r="D239" s="739"/>
      <c r="E239" s="765"/>
      <c r="F239" s="765"/>
      <c r="G239" s="765"/>
      <c r="H239" s="765"/>
      <c r="I239" s="746" t="str">
        <f t="shared" si="10"/>
        <v/>
      </c>
      <c r="J239" s="731"/>
      <c r="K239" s="731" t="str">
        <f t="shared" si="9"/>
        <v/>
      </c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32"/>
      <c r="AB239" s="732"/>
      <c r="AC239" s="732"/>
      <c r="AD239" s="732"/>
      <c r="AE239" s="733"/>
      <c r="AF239" s="734" t="str">
        <f t="shared" si="11"/>
        <v/>
      </c>
      <c r="AG239" s="772"/>
      <c r="AH239" s="777"/>
      <c r="AI239" s="735"/>
      <c r="AJ239" s="735"/>
      <c r="AK239" s="735"/>
      <c r="AL239" s="735"/>
      <c r="AM239" s="735"/>
      <c r="AN239" s="735"/>
      <c r="AO239" s="735"/>
      <c r="AP239" s="735"/>
      <c r="AQ239" s="735"/>
      <c r="AR239" s="735"/>
      <c r="AS239" s="735"/>
      <c r="AT239" s="735"/>
      <c r="AU239" s="735"/>
      <c r="AV239" s="735"/>
      <c r="AW239" s="735"/>
      <c r="AX239" s="735"/>
      <c r="AY239" s="735"/>
      <c r="AZ239" s="735"/>
      <c r="BA239" s="735"/>
      <c r="BB239" s="735"/>
      <c r="BC239" s="735"/>
      <c r="BD239" s="735"/>
      <c r="BE239" s="735"/>
      <c r="BF239" s="735"/>
      <c r="BG239" s="735"/>
      <c r="BH239" s="735"/>
      <c r="BI239" s="735"/>
      <c r="BJ239" s="735"/>
      <c r="BK239" s="735"/>
      <c r="BL239" s="735"/>
    </row>
    <row r="240" spans="1:64" ht="19.5" customHeight="1" x14ac:dyDescent="0.25">
      <c r="A240" s="758"/>
      <c r="B240" s="737"/>
      <c r="C240" s="730"/>
      <c r="D240" s="739"/>
      <c r="E240" s="765"/>
      <c r="F240" s="765"/>
      <c r="G240" s="765"/>
      <c r="H240" s="765"/>
      <c r="I240" s="746" t="str">
        <f t="shared" si="10"/>
        <v/>
      </c>
      <c r="J240" s="731"/>
      <c r="K240" s="731" t="str">
        <f t="shared" si="9"/>
        <v/>
      </c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32"/>
      <c r="AB240" s="732"/>
      <c r="AC240" s="732"/>
      <c r="AD240" s="732"/>
      <c r="AE240" s="733"/>
      <c r="AF240" s="734" t="str">
        <f t="shared" si="11"/>
        <v/>
      </c>
      <c r="AG240" s="772"/>
      <c r="AH240" s="777"/>
      <c r="AI240" s="735"/>
      <c r="AJ240" s="735"/>
      <c r="AK240" s="735"/>
      <c r="AL240" s="735"/>
      <c r="AM240" s="735"/>
      <c r="AN240" s="735"/>
      <c r="AO240" s="735"/>
      <c r="AP240" s="735"/>
      <c r="AQ240" s="735"/>
      <c r="AR240" s="735"/>
      <c r="AS240" s="735"/>
      <c r="AT240" s="735"/>
      <c r="AU240" s="735"/>
      <c r="AV240" s="735"/>
      <c r="AW240" s="735"/>
      <c r="AX240" s="735"/>
      <c r="AY240" s="735"/>
      <c r="AZ240" s="735"/>
      <c r="BA240" s="735"/>
      <c r="BB240" s="735"/>
      <c r="BC240" s="735"/>
      <c r="BD240" s="735"/>
      <c r="BE240" s="735"/>
      <c r="BF240" s="735"/>
      <c r="BG240" s="735"/>
      <c r="BH240" s="735"/>
      <c r="BI240" s="735"/>
      <c r="BJ240" s="735"/>
      <c r="BK240" s="735"/>
      <c r="BL240" s="735"/>
    </row>
    <row r="241" spans="1:33" ht="18.75" x14ac:dyDescent="0.25">
      <c r="A241" s="758"/>
      <c r="B241" s="737"/>
      <c r="C241" s="730"/>
      <c r="D241" s="739"/>
      <c r="E241" s="765"/>
      <c r="F241" s="765"/>
      <c r="G241" s="765"/>
      <c r="H241" s="765"/>
      <c r="I241" s="746" t="str">
        <f t="shared" si="10"/>
        <v/>
      </c>
      <c r="J241" s="731"/>
      <c r="K241" s="731" t="str">
        <f t="shared" si="9"/>
        <v/>
      </c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32"/>
      <c r="AB241" s="732"/>
      <c r="AC241" s="732"/>
      <c r="AD241" s="732"/>
      <c r="AE241" s="733"/>
      <c r="AF241" s="734" t="str">
        <f t="shared" si="11"/>
        <v/>
      </c>
      <c r="AG241" s="773"/>
    </row>
    <row r="242" spans="1:33" ht="18.75" x14ac:dyDescent="0.25">
      <c r="A242" s="758"/>
      <c r="B242" s="737"/>
      <c r="C242" s="730"/>
      <c r="D242" s="739"/>
      <c r="E242" s="765"/>
      <c r="F242" s="765"/>
      <c r="G242" s="765"/>
      <c r="H242" s="765"/>
      <c r="I242" s="746" t="str">
        <f t="shared" si="10"/>
        <v/>
      </c>
      <c r="J242" s="731"/>
      <c r="K242" s="731" t="str">
        <f t="shared" si="9"/>
        <v/>
      </c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32"/>
      <c r="AB242" s="732"/>
      <c r="AC242" s="732"/>
      <c r="AD242" s="732"/>
      <c r="AE242" s="733"/>
      <c r="AF242" s="734" t="str">
        <f t="shared" si="11"/>
        <v/>
      </c>
      <c r="AG242" s="773"/>
    </row>
    <row r="243" spans="1:33" ht="18.75" x14ac:dyDescent="0.25">
      <c r="A243" s="758"/>
      <c r="B243" s="737"/>
      <c r="C243" s="730"/>
      <c r="D243" s="739"/>
      <c r="E243" s="765"/>
      <c r="F243" s="765"/>
      <c r="G243" s="765"/>
      <c r="H243" s="765"/>
      <c r="I243" s="746" t="str">
        <f t="shared" si="10"/>
        <v/>
      </c>
      <c r="J243" s="731"/>
      <c r="K243" s="731" t="str">
        <f t="shared" si="9"/>
        <v/>
      </c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32"/>
      <c r="AB243" s="732"/>
      <c r="AC243" s="732"/>
      <c r="AD243" s="732"/>
      <c r="AE243" s="733"/>
      <c r="AF243" s="734" t="str">
        <f t="shared" si="11"/>
        <v/>
      </c>
      <c r="AG243" s="773"/>
    </row>
    <row r="244" spans="1:33" ht="18.75" x14ac:dyDescent="0.25">
      <c r="A244" s="758"/>
      <c r="B244" s="737"/>
      <c r="C244" s="730"/>
      <c r="D244" s="739"/>
      <c r="E244" s="765"/>
      <c r="F244" s="765"/>
      <c r="G244" s="765"/>
      <c r="H244" s="765"/>
      <c r="I244" s="746" t="str">
        <f t="shared" si="10"/>
        <v/>
      </c>
      <c r="J244" s="731"/>
      <c r="K244" s="731" t="str">
        <f t="shared" si="9"/>
        <v/>
      </c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32"/>
      <c r="AB244" s="732"/>
      <c r="AC244" s="732"/>
      <c r="AD244" s="732"/>
      <c r="AE244" s="733"/>
      <c r="AF244" s="734" t="str">
        <f t="shared" si="11"/>
        <v/>
      </c>
      <c r="AG244" s="773"/>
    </row>
    <row r="245" spans="1:33" ht="18.75" x14ac:dyDescent="0.25">
      <c r="A245" s="758"/>
      <c r="B245" s="737"/>
      <c r="C245" s="730"/>
      <c r="D245" s="739"/>
      <c r="E245" s="765"/>
      <c r="F245" s="765"/>
      <c r="G245" s="765"/>
      <c r="H245" s="765"/>
      <c r="I245" s="746" t="str">
        <f t="shared" si="10"/>
        <v/>
      </c>
      <c r="J245" s="731"/>
      <c r="K245" s="731" t="str">
        <f t="shared" si="9"/>
        <v/>
      </c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32"/>
      <c r="AB245" s="732"/>
      <c r="AC245" s="732"/>
      <c r="AD245" s="732"/>
      <c r="AE245" s="733"/>
      <c r="AF245" s="734" t="str">
        <f t="shared" si="11"/>
        <v/>
      </c>
      <c r="AG245" s="773"/>
    </row>
    <row r="246" spans="1:33" ht="18.75" x14ac:dyDescent="0.25">
      <c r="A246" s="758"/>
      <c r="B246" s="737"/>
      <c r="C246" s="730"/>
      <c r="D246" s="739"/>
      <c r="E246" s="765"/>
      <c r="F246" s="765"/>
      <c r="G246" s="765"/>
      <c r="H246" s="765"/>
      <c r="I246" s="746" t="str">
        <f t="shared" si="10"/>
        <v/>
      </c>
      <c r="J246" s="731"/>
      <c r="K246" s="731" t="str">
        <f t="shared" si="9"/>
        <v/>
      </c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32"/>
      <c r="AB246" s="732"/>
      <c r="AC246" s="732"/>
      <c r="AD246" s="732"/>
      <c r="AE246" s="733"/>
      <c r="AF246" s="734" t="str">
        <f t="shared" si="11"/>
        <v/>
      </c>
      <c r="AG246" s="773"/>
    </row>
    <row r="247" spans="1:33" ht="18.75" x14ac:dyDescent="0.25">
      <c r="A247" s="758"/>
      <c r="B247" s="737"/>
      <c r="C247" s="730"/>
      <c r="D247" s="739"/>
      <c r="E247" s="765"/>
      <c r="F247" s="765"/>
      <c r="G247" s="765"/>
      <c r="H247" s="765"/>
      <c r="I247" s="746" t="str">
        <f t="shared" si="10"/>
        <v/>
      </c>
      <c r="J247" s="731"/>
      <c r="K247" s="731" t="str">
        <f t="shared" si="9"/>
        <v/>
      </c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32"/>
      <c r="AB247" s="732"/>
      <c r="AC247" s="732"/>
      <c r="AD247" s="732"/>
      <c r="AE247" s="733"/>
      <c r="AF247" s="734" t="str">
        <f t="shared" si="11"/>
        <v/>
      </c>
      <c r="AG247" s="773"/>
    </row>
    <row r="248" spans="1:33" ht="18.75" x14ac:dyDescent="0.25">
      <c r="A248" s="758"/>
      <c r="B248" s="737"/>
      <c r="C248" s="730"/>
      <c r="D248" s="739"/>
      <c r="E248" s="765"/>
      <c r="F248" s="765"/>
      <c r="G248" s="765"/>
      <c r="H248" s="765"/>
      <c r="I248" s="746" t="str">
        <f t="shared" si="10"/>
        <v/>
      </c>
      <c r="J248" s="731"/>
      <c r="K248" s="731" t="str">
        <f t="shared" si="9"/>
        <v/>
      </c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32"/>
      <c r="AB248" s="732"/>
      <c r="AC248" s="732"/>
      <c r="AD248" s="732"/>
      <c r="AE248" s="733"/>
      <c r="AF248" s="734" t="str">
        <f t="shared" si="11"/>
        <v/>
      </c>
      <c r="AG248" s="773"/>
    </row>
    <row r="249" spans="1:33" ht="18.75" x14ac:dyDescent="0.25">
      <c r="A249" s="758"/>
      <c r="B249" s="737"/>
      <c r="C249" s="730"/>
      <c r="D249" s="739"/>
      <c r="E249" s="765"/>
      <c r="F249" s="765"/>
      <c r="G249" s="765"/>
      <c r="H249" s="765"/>
      <c r="I249" s="746" t="str">
        <f t="shared" si="10"/>
        <v/>
      </c>
      <c r="J249" s="731"/>
      <c r="K249" s="731" t="str">
        <f t="shared" si="9"/>
        <v/>
      </c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32"/>
      <c r="AB249" s="732"/>
      <c r="AC249" s="732"/>
      <c r="AD249" s="732"/>
      <c r="AE249" s="733"/>
      <c r="AF249" s="734" t="str">
        <f t="shared" si="11"/>
        <v/>
      </c>
      <c r="AG249" s="773"/>
    </row>
    <row r="250" spans="1:33" ht="18.75" x14ac:dyDescent="0.25">
      <c r="A250" s="758"/>
      <c r="B250" s="737"/>
      <c r="C250" s="730"/>
      <c r="D250" s="739"/>
      <c r="E250" s="765"/>
      <c r="F250" s="765"/>
      <c r="G250" s="765"/>
      <c r="H250" s="765"/>
      <c r="I250" s="746" t="str">
        <f t="shared" si="10"/>
        <v/>
      </c>
      <c r="J250" s="731"/>
      <c r="K250" s="731" t="str">
        <f t="shared" si="9"/>
        <v/>
      </c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32"/>
      <c r="AB250" s="732"/>
      <c r="AC250" s="732"/>
      <c r="AD250" s="732"/>
      <c r="AE250" s="733"/>
      <c r="AF250" s="734" t="str">
        <f t="shared" si="11"/>
        <v/>
      </c>
      <c r="AG250" s="773"/>
    </row>
    <row r="251" spans="1:33" ht="18.75" x14ac:dyDescent="0.25">
      <c r="A251" s="758"/>
      <c r="B251" s="737"/>
      <c r="C251" s="730"/>
      <c r="D251" s="739"/>
      <c r="E251" s="765"/>
      <c r="F251" s="765"/>
      <c r="G251" s="765"/>
      <c r="H251" s="765"/>
      <c r="I251" s="746" t="str">
        <f t="shared" si="10"/>
        <v/>
      </c>
      <c r="J251" s="731"/>
      <c r="K251" s="731" t="str">
        <f t="shared" si="9"/>
        <v/>
      </c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32"/>
      <c r="AB251" s="732"/>
      <c r="AC251" s="732"/>
      <c r="AD251" s="732"/>
      <c r="AE251" s="733"/>
      <c r="AF251" s="734" t="str">
        <f t="shared" si="11"/>
        <v/>
      </c>
      <c r="AG251" s="773"/>
    </row>
    <row r="252" spans="1:33" ht="18.75" x14ac:dyDescent="0.25">
      <c r="A252" s="758"/>
      <c r="B252" s="737"/>
      <c r="C252" s="730"/>
      <c r="D252" s="739"/>
      <c r="E252" s="765"/>
      <c r="F252" s="765"/>
      <c r="G252" s="765"/>
      <c r="H252" s="765"/>
      <c r="I252" s="746" t="str">
        <f t="shared" si="10"/>
        <v/>
      </c>
      <c r="J252" s="731"/>
      <c r="K252" s="731" t="str">
        <f t="shared" si="9"/>
        <v/>
      </c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32"/>
      <c r="AB252" s="732"/>
      <c r="AC252" s="732"/>
      <c r="AD252" s="732"/>
      <c r="AE252" s="733"/>
      <c r="AF252" s="734" t="str">
        <f t="shared" si="11"/>
        <v/>
      </c>
      <c r="AG252" s="773"/>
    </row>
    <row r="253" spans="1:33" ht="18.75" x14ac:dyDescent="0.25">
      <c r="A253" s="758"/>
      <c r="B253" s="737"/>
      <c r="C253" s="730"/>
      <c r="D253" s="739"/>
      <c r="E253" s="765"/>
      <c r="F253" s="765"/>
      <c r="G253" s="765"/>
      <c r="H253" s="765"/>
      <c r="I253" s="746" t="str">
        <f t="shared" si="10"/>
        <v/>
      </c>
      <c r="J253" s="731"/>
      <c r="K253" s="731" t="str">
        <f t="shared" si="9"/>
        <v/>
      </c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32"/>
      <c r="AB253" s="732"/>
      <c r="AC253" s="732"/>
      <c r="AD253" s="732"/>
      <c r="AE253" s="733"/>
      <c r="AF253" s="734" t="str">
        <f t="shared" si="11"/>
        <v/>
      </c>
      <c r="AG253" s="773"/>
    </row>
    <row r="254" spans="1:33" ht="18.75" x14ac:dyDescent="0.25">
      <c r="A254" s="758"/>
      <c r="B254" s="737"/>
      <c r="C254" s="730"/>
      <c r="D254" s="739"/>
      <c r="E254" s="765"/>
      <c r="F254" s="765"/>
      <c r="G254" s="765"/>
      <c r="H254" s="765"/>
      <c r="I254" s="746" t="str">
        <f t="shared" si="10"/>
        <v/>
      </c>
      <c r="J254" s="731"/>
      <c r="K254" s="731" t="str">
        <f t="shared" si="9"/>
        <v/>
      </c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32"/>
      <c r="AB254" s="732"/>
      <c r="AC254" s="732"/>
      <c r="AD254" s="732"/>
      <c r="AE254" s="733"/>
      <c r="AF254" s="734" t="str">
        <f t="shared" si="11"/>
        <v/>
      </c>
      <c r="AG254" s="773"/>
    </row>
    <row r="255" spans="1:33" ht="18.75" x14ac:dyDescent="0.25">
      <c r="A255" s="758"/>
      <c r="B255" s="737"/>
      <c r="C255" s="730"/>
      <c r="D255" s="739"/>
      <c r="E255" s="765"/>
      <c r="F255" s="765"/>
      <c r="G255" s="765"/>
      <c r="H255" s="765"/>
      <c r="I255" s="746" t="str">
        <f t="shared" si="10"/>
        <v/>
      </c>
      <c r="J255" s="731"/>
      <c r="K255" s="731" t="str">
        <f t="shared" si="9"/>
        <v/>
      </c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32"/>
      <c r="AB255" s="732"/>
      <c r="AC255" s="732"/>
      <c r="AD255" s="732"/>
      <c r="AE255" s="733"/>
      <c r="AF255" s="734" t="str">
        <f t="shared" si="11"/>
        <v/>
      </c>
      <c r="AG255" s="773"/>
    </row>
    <row r="256" spans="1:33" ht="18.75" x14ac:dyDescent="0.25">
      <c r="A256" s="758"/>
      <c r="B256" s="737"/>
      <c r="C256" s="730"/>
      <c r="D256" s="739"/>
      <c r="E256" s="765"/>
      <c r="F256" s="765"/>
      <c r="G256" s="765"/>
      <c r="H256" s="765"/>
      <c r="I256" s="746" t="str">
        <f t="shared" si="10"/>
        <v/>
      </c>
      <c r="J256" s="731"/>
      <c r="K256" s="731" t="str">
        <f t="shared" si="9"/>
        <v/>
      </c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32"/>
      <c r="AB256" s="732"/>
      <c r="AC256" s="732"/>
      <c r="AD256" s="732"/>
      <c r="AE256" s="733"/>
      <c r="AF256" s="734" t="str">
        <f t="shared" si="11"/>
        <v/>
      </c>
      <c r="AG256" s="773"/>
    </row>
    <row r="257" spans="1:64" ht="18.75" x14ac:dyDescent="0.25">
      <c r="A257" s="758"/>
      <c r="B257" s="737"/>
      <c r="C257" s="730"/>
      <c r="D257" s="739"/>
      <c r="E257" s="765"/>
      <c r="F257" s="765"/>
      <c r="G257" s="765"/>
      <c r="H257" s="765"/>
      <c r="I257" s="746" t="str">
        <f t="shared" si="10"/>
        <v/>
      </c>
      <c r="J257" s="731"/>
      <c r="K257" s="731" t="str">
        <f t="shared" si="9"/>
        <v/>
      </c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32"/>
      <c r="AB257" s="732"/>
      <c r="AC257" s="732"/>
      <c r="AD257" s="732"/>
      <c r="AE257" s="733"/>
      <c r="AF257" s="734" t="str">
        <f t="shared" si="11"/>
        <v/>
      </c>
      <c r="AG257" s="773"/>
    </row>
    <row r="258" spans="1:64" ht="18.75" x14ac:dyDescent="0.25">
      <c r="A258" s="758"/>
      <c r="B258" s="737"/>
      <c r="C258" s="730"/>
      <c r="D258" s="739"/>
      <c r="E258" s="765"/>
      <c r="F258" s="765"/>
      <c r="G258" s="765"/>
      <c r="H258" s="765"/>
      <c r="I258" s="746" t="str">
        <f t="shared" si="10"/>
        <v/>
      </c>
      <c r="J258" s="731"/>
      <c r="K258" s="731" t="str">
        <f t="shared" si="9"/>
        <v/>
      </c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32"/>
      <c r="AB258" s="732"/>
      <c r="AC258" s="732"/>
      <c r="AD258" s="732"/>
      <c r="AE258" s="733"/>
      <c r="AF258" s="734" t="str">
        <f t="shared" si="11"/>
        <v/>
      </c>
      <c r="AG258" s="774"/>
      <c r="AH258" s="778"/>
      <c r="AI258" s="736"/>
      <c r="AJ258" s="736"/>
      <c r="AK258" s="736"/>
      <c r="AL258" s="736"/>
      <c r="AM258" s="736"/>
      <c r="AN258" s="736"/>
      <c r="AO258" s="736"/>
      <c r="AP258" s="736"/>
      <c r="AQ258" s="736"/>
      <c r="AR258" s="736"/>
      <c r="AS258" s="736"/>
      <c r="AT258" s="736"/>
      <c r="AU258" s="736"/>
      <c r="AV258" s="736"/>
      <c r="AW258" s="736"/>
      <c r="AX258" s="736"/>
      <c r="AY258" s="736"/>
      <c r="AZ258" s="736"/>
      <c r="BA258" s="736"/>
      <c r="BB258" s="736"/>
      <c r="BC258" s="736"/>
      <c r="BD258" s="736"/>
      <c r="BE258" s="736"/>
      <c r="BF258" s="736"/>
      <c r="BG258" s="736"/>
      <c r="BH258" s="736"/>
      <c r="BI258" s="736"/>
      <c r="BJ258" s="736"/>
      <c r="BK258" s="736"/>
      <c r="BL258" s="736"/>
    </row>
    <row r="259" spans="1:64" ht="18.75" x14ac:dyDescent="0.25">
      <c r="A259" s="758"/>
      <c r="B259" s="737"/>
      <c r="C259" s="730"/>
      <c r="D259" s="739"/>
      <c r="E259" s="765"/>
      <c r="F259" s="765"/>
      <c r="G259" s="765"/>
      <c r="H259" s="765"/>
      <c r="I259" s="746" t="str">
        <f t="shared" si="10"/>
        <v/>
      </c>
      <c r="J259" s="731"/>
      <c r="K259" s="731" t="str">
        <f t="shared" si="9"/>
        <v/>
      </c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32"/>
      <c r="AB259" s="732"/>
      <c r="AC259" s="732"/>
      <c r="AD259" s="732"/>
      <c r="AE259" s="733"/>
      <c r="AF259" s="734" t="str">
        <f t="shared" si="11"/>
        <v/>
      </c>
      <c r="AG259" s="774"/>
      <c r="AH259" s="778"/>
      <c r="AI259" s="736"/>
      <c r="AJ259" s="736"/>
      <c r="AK259" s="736"/>
      <c r="AL259" s="736"/>
      <c r="AM259" s="736"/>
      <c r="AN259" s="736"/>
      <c r="AO259" s="736"/>
      <c r="AP259" s="736"/>
      <c r="AQ259" s="736"/>
      <c r="AR259" s="736"/>
      <c r="AS259" s="736"/>
      <c r="AT259" s="736"/>
      <c r="AU259" s="736"/>
      <c r="AV259" s="736"/>
      <c r="AW259" s="736"/>
      <c r="AX259" s="736"/>
      <c r="AY259" s="736"/>
      <c r="AZ259" s="736"/>
      <c r="BA259" s="736"/>
      <c r="BB259" s="736"/>
      <c r="BC259" s="736"/>
      <c r="BD259" s="736"/>
      <c r="BE259" s="736"/>
      <c r="BF259" s="736"/>
      <c r="BG259" s="736"/>
      <c r="BH259" s="736"/>
      <c r="BI259" s="736"/>
      <c r="BJ259" s="736"/>
      <c r="BK259" s="736"/>
      <c r="BL259" s="736"/>
    </row>
    <row r="260" spans="1:64" ht="18.75" x14ac:dyDescent="0.25">
      <c r="A260" s="758"/>
      <c r="B260" s="737"/>
      <c r="C260" s="730"/>
      <c r="D260" s="739"/>
      <c r="E260" s="765"/>
      <c r="F260" s="765"/>
      <c r="G260" s="765"/>
      <c r="H260" s="765"/>
      <c r="I260" s="746" t="str">
        <f t="shared" si="10"/>
        <v/>
      </c>
      <c r="J260" s="731"/>
      <c r="K260" s="731" t="str">
        <f t="shared" ref="K260:K323" si="12">IF(AA260-AE260 = 0,"",AA260-AE260)</f>
        <v/>
      </c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32"/>
      <c r="AB260" s="732"/>
      <c r="AC260" s="732"/>
      <c r="AD260" s="732"/>
      <c r="AE260" s="733"/>
      <c r="AF260" s="734" t="str">
        <f t="shared" si="11"/>
        <v/>
      </c>
      <c r="AG260" s="773"/>
    </row>
    <row r="261" spans="1:64" ht="18.75" x14ac:dyDescent="0.25">
      <c r="A261" s="758"/>
      <c r="B261" s="737"/>
      <c r="C261" s="730"/>
      <c r="D261" s="739"/>
      <c r="E261" s="765"/>
      <c r="F261" s="765"/>
      <c r="G261" s="765"/>
      <c r="H261" s="765"/>
      <c r="I261" s="746" t="str">
        <f t="shared" ref="I261:I324" si="13">AF261</f>
        <v/>
      </c>
      <c r="J261" s="731"/>
      <c r="K261" s="731" t="str">
        <f t="shared" si="12"/>
        <v/>
      </c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32"/>
      <c r="AB261" s="732"/>
      <c r="AC261" s="732"/>
      <c r="AD261" s="732"/>
      <c r="AE261" s="733"/>
      <c r="AF261" s="734" t="str">
        <f t="shared" ref="AF261:AF324" si="14">IF(AE261 &lt;&gt;"", AE261/AA261,"")</f>
        <v/>
      </c>
      <c r="AG261" s="773"/>
    </row>
    <row r="262" spans="1:64" ht="18.75" x14ac:dyDescent="0.25">
      <c r="A262" s="758"/>
      <c r="B262" s="737"/>
      <c r="C262" s="730"/>
      <c r="D262" s="739"/>
      <c r="E262" s="765"/>
      <c r="F262" s="765"/>
      <c r="G262" s="765"/>
      <c r="H262" s="765"/>
      <c r="I262" s="746" t="str">
        <f t="shared" si="13"/>
        <v/>
      </c>
      <c r="J262" s="731"/>
      <c r="K262" s="731" t="str">
        <f t="shared" si="12"/>
        <v/>
      </c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32"/>
      <c r="AB262" s="732"/>
      <c r="AC262" s="732"/>
      <c r="AD262" s="732"/>
      <c r="AE262" s="733"/>
      <c r="AF262" s="734" t="str">
        <f t="shared" si="14"/>
        <v/>
      </c>
      <c r="AG262" s="774"/>
      <c r="AH262" s="778"/>
      <c r="AI262" s="736"/>
      <c r="AJ262" s="736"/>
      <c r="AK262" s="736"/>
      <c r="AL262" s="736"/>
      <c r="AM262" s="736"/>
      <c r="AN262" s="736"/>
      <c r="AO262" s="736"/>
      <c r="AP262" s="736"/>
      <c r="AQ262" s="736"/>
      <c r="AR262" s="736"/>
      <c r="AS262" s="736"/>
      <c r="AT262" s="736"/>
      <c r="AU262" s="736"/>
      <c r="AV262" s="736"/>
      <c r="AW262" s="736"/>
      <c r="AX262" s="736"/>
      <c r="AY262" s="736"/>
      <c r="AZ262" s="736"/>
      <c r="BA262" s="736"/>
      <c r="BB262" s="736"/>
      <c r="BC262" s="736"/>
      <c r="BD262" s="736"/>
      <c r="BE262" s="736"/>
      <c r="BF262" s="736"/>
      <c r="BG262" s="736"/>
      <c r="BH262" s="736"/>
      <c r="BI262" s="736"/>
      <c r="BJ262" s="736"/>
      <c r="BK262" s="736"/>
      <c r="BL262" s="736"/>
    </row>
    <row r="263" spans="1:64" ht="18.75" x14ac:dyDescent="0.25">
      <c r="A263" s="758"/>
      <c r="B263" s="737"/>
      <c r="C263" s="730"/>
      <c r="D263" s="739"/>
      <c r="E263" s="765"/>
      <c r="F263" s="765"/>
      <c r="G263" s="765"/>
      <c r="H263" s="765"/>
      <c r="I263" s="746" t="str">
        <f t="shared" si="13"/>
        <v/>
      </c>
      <c r="J263" s="731"/>
      <c r="K263" s="731" t="str">
        <f t="shared" si="12"/>
        <v/>
      </c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32"/>
      <c r="AB263" s="732"/>
      <c r="AC263" s="732"/>
      <c r="AD263" s="732"/>
      <c r="AE263" s="733"/>
      <c r="AF263" s="734" t="str">
        <f t="shared" si="14"/>
        <v/>
      </c>
      <c r="AG263" s="773"/>
    </row>
    <row r="264" spans="1:64" ht="18.75" x14ac:dyDescent="0.25">
      <c r="A264" s="758"/>
      <c r="B264" s="737"/>
      <c r="C264" s="730"/>
      <c r="D264" s="739"/>
      <c r="E264" s="765"/>
      <c r="F264" s="765"/>
      <c r="G264" s="765"/>
      <c r="H264" s="765"/>
      <c r="I264" s="746" t="str">
        <f t="shared" si="13"/>
        <v/>
      </c>
      <c r="J264" s="731"/>
      <c r="K264" s="731" t="str">
        <f t="shared" si="12"/>
        <v/>
      </c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32"/>
      <c r="AB264" s="732"/>
      <c r="AC264" s="732"/>
      <c r="AD264" s="732"/>
      <c r="AE264" s="733"/>
      <c r="AF264" s="734" t="str">
        <f t="shared" si="14"/>
        <v/>
      </c>
      <c r="AG264" s="773"/>
    </row>
    <row r="265" spans="1:64" ht="18.75" x14ac:dyDescent="0.25">
      <c r="A265" s="758"/>
      <c r="B265" s="737"/>
      <c r="C265" s="730"/>
      <c r="D265" s="739"/>
      <c r="E265" s="765"/>
      <c r="F265" s="765"/>
      <c r="G265" s="765"/>
      <c r="H265" s="765"/>
      <c r="I265" s="746" t="str">
        <f t="shared" si="13"/>
        <v/>
      </c>
      <c r="J265" s="731"/>
      <c r="K265" s="731" t="str">
        <f t="shared" si="12"/>
        <v/>
      </c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32"/>
      <c r="AB265" s="732"/>
      <c r="AC265" s="732"/>
      <c r="AD265" s="732"/>
      <c r="AE265" s="733"/>
      <c r="AF265" s="734" t="str">
        <f t="shared" si="14"/>
        <v/>
      </c>
      <c r="AG265" s="774"/>
      <c r="AH265" s="778"/>
      <c r="AI265" s="736"/>
      <c r="AJ265" s="736"/>
      <c r="AK265" s="736"/>
      <c r="AL265" s="736"/>
      <c r="AM265" s="736"/>
      <c r="AN265" s="736"/>
      <c r="AO265" s="736"/>
      <c r="AP265" s="736"/>
      <c r="AQ265" s="736"/>
      <c r="AR265" s="736"/>
      <c r="AS265" s="736"/>
      <c r="AT265" s="736"/>
      <c r="AU265" s="736"/>
      <c r="AV265" s="736"/>
      <c r="AW265" s="736"/>
      <c r="AX265" s="736"/>
      <c r="AY265" s="736"/>
      <c r="AZ265" s="736"/>
      <c r="BA265" s="736"/>
      <c r="BB265" s="736"/>
      <c r="BC265" s="736"/>
      <c r="BD265" s="736"/>
      <c r="BE265" s="736"/>
      <c r="BF265" s="736"/>
      <c r="BG265" s="736"/>
      <c r="BH265" s="736"/>
      <c r="BI265" s="736"/>
      <c r="BJ265" s="736"/>
      <c r="BK265" s="736"/>
      <c r="BL265" s="736"/>
    </row>
    <row r="266" spans="1:64" ht="18.75" x14ac:dyDescent="0.25">
      <c r="A266" s="758"/>
      <c r="B266" s="737"/>
      <c r="C266" s="730"/>
      <c r="D266" s="739"/>
      <c r="E266" s="765"/>
      <c r="F266" s="765"/>
      <c r="G266" s="765"/>
      <c r="H266" s="765"/>
      <c r="I266" s="746" t="str">
        <f t="shared" si="13"/>
        <v/>
      </c>
      <c r="J266" s="731"/>
      <c r="K266" s="731" t="str">
        <f t="shared" si="12"/>
        <v/>
      </c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32"/>
      <c r="AB266" s="732"/>
      <c r="AC266" s="732"/>
      <c r="AD266" s="732"/>
      <c r="AE266" s="733"/>
      <c r="AF266" s="734" t="str">
        <f t="shared" si="14"/>
        <v/>
      </c>
      <c r="AG266" s="773"/>
    </row>
    <row r="267" spans="1:64" ht="18.75" x14ac:dyDescent="0.25">
      <c r="A267" s="758"/>
      <c r="B267" s="737"/>
      <c r="C267" s="730"/>
      <c r="D267" s="739"/>
      <c r="E267" s="765"/>
      <c r="F267" s="765"/>
      <c r="G267" s="765"/>
      <c r="H267" s="765"/>
      <c r="I267" s="746" t="str">
        <f t="shared" si="13"/>
        <v/>
      </c>
      <c r="J267" s="731"/>
      <c r="K267" s="731" t="str">
        <f t="shared" si="12"/>
        <v/>
      </c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32"/>
      <c r="AB267" s="732"/>
      <c r="AC267" s="732"/>
      <c r="AD267" s="732"/>
      <c r="AE267" s="733"/>
      <c r="AF267" s="734" t="str">
        <f t="shared" si="14"/>
        <v/>
      </c>
      <c r="AG267" s="774"/>
      <c r="AH267" s="778"/>
      <c r="AI267" s="736"/>
      <c r="AJ267" s="736"/>
      <c r="AK267" s="736"/>
      <c r="AL267" s="736"/>
      <c r="AM267" s="736"/>
      <c r="AN267" s="736"/>
      <c r="AO267" s="736"/>
      <c r="AP267" s="736"/>
      <c r="AQ267" s="736"/>
      <c r="AR267" s="736"/>
      <c r="AS267" s="736"/>
      <c r="AT267" s="736"/>
      <c r="AU267" s="736"/>
      <c r="AV267" s="736"/>
      <c r="AW267" s="736"/>
      <c r="AX267" s="736"/>
      <c r="AY267" s="736"/>
      <c r="AZ267" s="736"/>
      <c r="BA267" s="736"/>
      <c r="BB267" s="736"/>
      <c r="BC267" s="736"/>
      <c r="BD267" s="736"/>
      <c r="BE267" s="736"/>
      <c r="BF267" s="736"/>
      <c r="BG267" s="736"/>
      <c r="BH267" s="736"/>
      <c r="BI267" s="736"/>
      <c r="BJ267" s="736"/>
      <c r="BK267" s="736"/>
      <c r="BL267" s="736"/>
    </row>
    <row r="268" spans="1:64" ht="18.75" x14ac:dyDescent="0.25">
      <c r="A268" s="758"/>
      <c r="B268" s="737"/>
      <c r="C268" s="730"/>
      <c r="D268" s="739"/>
      <c r="E268" s="765"/>
      <c r="F268" s="765"/>
      <c r="G268" s="765"/>
      <c r="H268" s="765"/>
      <c r="I268" s="746" t="str">
        <f t="shared" si="13"/>
        <v/>
      </c>
      <c r="J268" s="731"/>
      <c r="K268" s="731" t="str">
        <f t="shared" si="12"/>
        <v/>
      </c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32"/>
      <c r="AB268" s="732"/>
      <c r="AC268" s="732"/>
      <c r="AD268" s="732"/>
      <c r="AE268" s="733"/>
      <c r="AF268" s="734" t="str">
        <f t="shared" si="14"/>
        <v/>
      </c>
      <c r="AG268" s="774"/>
      <c r="AH268" s="778"/>
      <c r="AI268" s="736"/>
      <c r="AJ268" s="736"/>
      <c r="AK268" s="736"/>
      <c r="AL268" s="736"/>
      <c r="AM268" s="736"/>
      <c r="AN268" s="736"/>
      <c r="AO268" s="736"/>
      <c r="AP268" s="736"/>
      <c r="AQ268" s="736"/>
      <c r="AR268" s="736"/>
      <c r="AS268" s="736"/>
      <c r="AT268" s="736"/>
      <c r="AU268" s="736"/>
      <c r="AV268" s="736"/>
      <c r="AW268" s="736"/>
      <c r="AX268" s="736"/>
      <c r="AY268" s="736"/>
      <c r="AZ268" s="736"/>
      <c r="BA268" s="736"/>
      <c r="BB268" s="736"/>
      <c r="BC268" s="736"/>
      <c r="BD268" s="736"/>
      <c r="BE268" s="736"/>
      <c r="BF268" s="736"/>
      <c r="BG268" s="736"/>
      <c r="BH268" s="736"/>
      <c r="BI268" s="736"/>
      <c r="BJ268" s="736"/>
      <c r="BK268" s="736"/>
      <c r="BL268" s="736"/>
    </row>
    <row r="269" spans="1:64" ht="18.75" x14ac:dyDescent="0.25">
      <c r="A269" s="758"/>
      <c r="B269" s="737"/>
      <c r="C269" s="730"/>
      <c r="D269" s="739"/>
      <c r="E269" s="765"/>
      <c r="F269" s="765"/>
      <c r="G269" s="765"/>
      <c r="H269" s="765"/>
      <c r="I269" s="746" t="str">
        <f t="shared" si="13"/>
        <v/>
      </c>
      <c r="J269" s="731"/>
      <c r="K269" s="731" t="str">
        <f t="shared" si="12"/>
        <v/>
      </c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32"/>
      <c r="AB269" s="732"/>
      <c r="AC269" s="732"/>
      <c r="AD269" s="732"/>
      <c r="AE269" s="733"/>
      <c r="AF269" s="734" t="str">
        <f t="shared" si="14"/>
        <v/>
      </c>
      <c r="AG269" s="773"/>
    </row>
    <row r="270" spans="1:64" ht="18.75" x14ac:dyDescent="0.25">
      <c r="A270" s="758"/>
      <c r="B270" s="737"/>
      <c r="C270" s="730"/>
      <c r="D270" s="739"/>
      <c r="E270" s="765"/>
      <c r="F270" s="765"/>
      <c r="G270" s="765"/>
      <c r="H270" s="765"/>
      <c r="I270" s="746" t="str">
        <f t="shared" si="13"/>
        <v/>
      </c>
      <c r="J270" s="731"/>
      <c r="K270" s="731" t="str">
        <f t="shared" si="12"/>
        <v/>
      </c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32"/>
      <c r="AB270" s="732"/>
      <c r="AC270" s="732"/>
      <c r="AD270" s="732"/>
      <c r="AE270" s="733"/>
      <c r="AF270" s="734" t="str">
        <f t="shared" si="14"/>
        <v/>
      </c>
      <c r="AG270" s="774"/>
      <c r="AH270" s="778"/>
      <c r="AI270" s="736"/>
      <c r="AJ270" s="736"/>
      <c r="AK270" s="736"/>
      <c r="AL270" s="736"/>
      <c r="AM270" s="736"/>
      <c r="AN270" s="736"/>
      <c r="AO270" s="736"/>
      <c r="AP270" s="736"/>
      <c r="AQ270" s="736"/>
      <c r="AR270" s="736"/>
      <c r="AS270" s="736"/>
      <c r="AT270" s="736"/>
      <c r="AU270" s="736"/>
      <c r="AV270" s="736"/>
      <c r="AW270" s="736"/>
      <c r="AX270" s="736"/>
      <c r="AY270" s="736"/>
      <c r="AZ270" s="736"/>
      <c r="BA270" s="736"/>
      <c r="BB270" s="736"/>
      <c r="BC270" s="736"/>
      <c r="BD270" s="736"/>
      <c r="BE270" s="736"/>
      <c r="BF270" s="736"/>
      <c r="BG270" s="736"/>
      <c r="BH270" s="736"/>
      <c r="BI270" s="736"/>
      <c r="BJ270" s="736"/>
      <c r="BK270" s="736"/>
      <c r="BL270" s="736"/>
    </row>
    <row r="271" spans="1:64" ht="18.75" x14ac:dyDescent="0.25">
      <c r="A271" s="758"/>
      <c r="B271" s="737"/>
      <c r="C271" s="730"/>
      <c r="D271" s="739"/>
      <c r="E271" s="765"/>
      <c r="F271" s="765"/>
      <c r="G271" s="765"/>
      <c r="H271" s="765"/>
      <c r="I271" s="746" t="str">
        <f t="shared" si="13"/>
        <v/>
      </c>
      <c r="J271" s="731"/>
      <c r="K271" s="731" t="str">
        <f t="shared" si="12"/>
        <v/>
      </c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32"/>
      <c r="AB271" s="732"/>
      <c r="AC271" s="732"/>
      <c r="AD271" s="732"/>
      <c r="AE271" s="733"/>
      <c r="AF271" s="734" t="str">
        <f t="shared" si="14"/>
        <v/>
      </c>
      <c r="AG271" s="773"/>
    </row>
    <row r="272" spans="1:64" ht="18.75" x14ac:dyDescent="0.25">
      <c r="A272" s="758"/>
      <c r="B272" s="737"/>
      <c r="C272" s="730"/>
      <c r="D272" s="739"/>
      <c r="E272" s="765"/>
      <c r="F272" s="765"/>
      <c r="G272" s="765"/>
      <c r="H272" s="765"/>
      <c r="I272" s="746" t="str">
        <f t="shared" si="13"/>
        <v/>
      </c>
      <c r="J272" s="731"/>
      <c r="K272" s="731" t="str">
        <f t="shared" si="12"/>
        <v/>
      </c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32"/>
      <c r="AB272" s="732"/>
      <c r="AC272" s="732"/>
      <c r="AD272" s="732"/>
      <c r="AE272" s="733"/>
      <c r="AF272" s="734" t="str">
        <f t="shared" si="14"/>
        <v/>
      </c>
      <c r="AG272" s="774"/>
      <c r="AH272" s="778"/>
      <c r="AI272" s="736"/>
      <c r="AJ272" s="736"/>
      <c r="AK272" s="736"/>
      <c r="AL272" s="736"/>
      <c r="AM272" s="736"/>
      <c r="AN272" s="736"/>
      <c r="AO272" s="736"/>
      <c r="AP272" s="736"/>
      <c r="AQ272" s="736"/>
      <c r="AR272" s="736"/>
      <c r="AS272" s="736"/>
      <c r="AT272" s="736"/>
      <c r="AU272" s="736"/>
      <c r="AV272" s="736"/>
      <c r="AW272" s="736"/>
      <c r="AX272" s="736"/>
      <c r="AY272" s="736"/>
      <c r="AZ272" s="736"/>
      <c r="BA272" s="736"/>
      <c r="BB272" s="736"/>
      <c r="BC272" s="736"/>
      <c r="BD272" s="736"/>
      <c r="BE272" s="736"/>
      <c r="BF272" s="736"/>
      <c r="BG272" s="736"/>
      <c r="BH272" s="736"/>
      <c r="BI272" s="736"/>
      <c r="BJ272" s="736"/>
      <c r="BK272" s="736"/>
      <c r="BL272" s="736"/>
    </row>
    <row r="273" spans="1:64" ht="18.75" x14ac:dyDescent="0.25">
      <c r="A273" s="758"/>
      <c r="B273" s="737"/>
      <c r="C273" s="730"/>
      <c r="D273" s="739"/>
      <c r="E273" s="765"/>
      <c r="F273" s="765"/>
      <c r="G273" s="765"/>
      <c r="H273" s="765"/>
      <c r="I273" s="746" t="str">
        <f t="shared" si="13"/>
        <v/>
      </c>
      <c r="J273" s="731"/>
      <c r="K273" s="731" t="str">
        <f t="shared" si="12"/>
        <v/>
      </c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32"/>
      <c r="AB273" s="732"/>
      <c r="AC273" s="732"/>
      <c r="AD273" s="732"/>
      <c r="AE273" s="733"/>
      <c r="AF273" s="734" t="str">
        <f t="shared" si="14"/>
        <v/>
      </c>
      <c r="AG273" s="774"/>
      <c r="AH273" s="778"/>
      <c r="AI273" s="736"/>
      <c r="AJ273" s="736"/>
      <c r="AK273" s="736"/>
      <c r="AL273" s="736"/>
      <c r="AM273" s="736"/>
      <c r="AN273" s="736"/>
      <c r="AO273" s="736"/>
      <c r="AP273" s="736"/>
      <c r="AQ273" s="736"/>
      <c r="AR273" s="736"/>
      <c r="AS273" s="736"/>
      <c r="AT273" s="736"/>
      <c r="AU273" s="736"/>
      <c r="AV273" s="736"/>
      <c r="AW273" s="736"/>
      <c r="AX273" s="736"/>
      <c r="AY273" s="736"/>
      <c r="AZ273" s="736"/>
      <c r="BA273" s="736"/>
      <c r="BB273" s="736"/>
      <c r="BC273" s="736"/>
      <c r="BD273" s="736"/>
      <c r="BE273" s="736"/>
      <c r="BF273" s="736"/>
      <c r="BG273" s="736"/>
      <c r="BH273" s="736"/>
      <c r="BI273" s="736"/>
      <c r="BJ273" s="736"/>
      <c r="BK273" s="736"/>
      <c r="BL273" s="736"/>
    </row>
    <row r="274" spans="1:64" ht="18.75" x14ac:dyDescent="0.25">
      <c r="A274" s="758"/>
      <c r="B274" s="737"/>
      <c r="C274" s="730"/>
      <c r="D274" s="739"/>
      <c r="E274" s="765"/>
      <c r="F274" s="765"/>
      <c r="G274" s="765"/>
      <c r="H274" s="765"/>
      <c r="I274" s="746" t="str">
        <f t="shared" si="13"/>
        <v/>
      </c>
      <c r="J274" s="731"/>
      <c r="K274" s="731" t="str">
        <f t="shared" si="12"/>
        <v/>
      </c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32"/>
      <c r="AB274" s="732"/>
      <c r="AC274" s="732"/>
      <c r="AD274" s="732"/>
      <c r="AE274" s="733"/>
      <c r="AF274" s="734" t="str">
        <f t="shared" si="14"/>
        <v/>
      </c>
      <c r="AG274" s="774"/>
      <c r="AH274" s="778"/>
      <c r="AI274" s="736"/>
      <c r="AJ274" s="736"/>
      <c r="AK274" s="736"/>
      <c r="AL274" s="736"/>
      <c r="AM274" s="736"/>
      <c r="AN274" s="736"/>
      <c r="AO274" s="736"/>
      <c r="AP274" s="736"/>
      <c r="AQ274" s="736"/>
      <c r="AR274" s="736"/>
      <c r="AS274" s="736"/>
      <c r="AT274" s="736"/>
      <c r="AU274" s="736"/>
      <c r="AV274" s="736"/>
      <c r="AW274" s="736"/>
      <c r="AX274" s="736"/>
      <c r="AY274" s="736"/>
      <c r="AZ274" s="736"/>
      <c r="BA274" s="736"/>
      <c r="BB274" s="736"/>
      <c r="BC274" s="736"/>
      <c r="BD274" s="736"/>
      <c r="BE274" s="736"/>
      <c r="BF274" s="736"/>
      <c r="BG274" s="736"/>
      <c r="BH274" s="736"/>
      <c r="BI274" s="736"/>
      <c r="BJ274" s="736"/>
      <c r="BK274" s="736"/>
      <c r="BL274" s="736"/>
    </row>
    <row r="275" spans="1:64" ht="18.75" x14ac:dyDescent="0.25">
      <c r="A275" s="758"/>
      <c r="B275" s="737"/>
      <c r="C275" s="730"/>
      <c r="D275" s="739"/>
      <c r="E275" s="765"/>
      <c r="F275" s="765"/>
      <c r="G275" s="765"/>
      <c r="H275" s="765"/>
      <c r="I275" s="746" t="str">
        <f t="shared" si="13"/>
        <v/>
      </c>
      <c r="J275" s="731"/>
      <c r="K275" s="731" t="str">
        <f t="shared" si="12"/>
        <v/>
      </c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32"/>
      <c r="AB275" s="732"/>
      <c r="AC275" s="732"/>
      <c r="AD275" s="732"/>
      <c r="AE275" s="733"/>
      <c r="AF275" s="734" t="str">
        <f t="shared" si="14"/>
        <v/>
      </c>
      <c r="AG275" s="774"/>
      <c r="AH275" s="778"/>
      <c r="AI275" s="736"/>
      <c r="AJ275" s="736"/>
      <c r="AK275" s="736"/>
      <c r="AL275" s="736"/>
      <c r="AM275" s="736"/>
      <c r="AN275" s="736"/>
      <c r="AO275" s="736"/>
      <c r="AP275" s="736"/>
      <c r="AQ275" s="736"/>
      <c r="AR275" s="736"/>
      <c r="AS275" s="736"/>
      <c r="AT275" s="736"/>
      <c r="AU275" s="736"/>
      <c r="AV275" s="736"/>
      <c r="AW275" s="736"/>
      <c r="AX275" s="736"/>
      <c r="AY275" s="736"/>
      <c r="AZ275" s="736"/>
      <c r="BA275" s="736"/>
      <c r="BB275" s="736"/>
      <c r="BC275" s="736"/>
      <c r="BD275" s="736"/>
      <c r="BE275" s="736"/>
      <c r="BF275" s="736"/>
      <c r="BG275" s="736"/>
      <c r="BH275" s="736"/>
      <c r="BI275" s="736"/>
      <c r="BJ275" s="736"/>
      <c r="BK275" s="736"/>
      <c r="BL275" s="736"/>
    </row>
    <row r="276" spans="1:64" ht="18.75" x14ac:dyDescent="0.25">
      <c r="A276" s="758"/>
      <c r="B276" s="737"/>
      <c r="C276" s="730"/>
      <c r="D276" s="739"/>
      <c r="E276" s="765"/>
      <c r="F276" s="765"/>
      <c r="G276" s="765"/>
      <c r="H276" s="765"/>
      <c r="I276" s="746" t="str">
        <f t="shared" si="13"/>
        <v/>
      </c>
      <c r="J276" s="731"/>
      <c r="K276" s="731" t="str">
        <f t="shared" si="12"/>
        <v/>
      </c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32"/>
      <c r="AB276" s="732"/>
      <c r="AC276" s="732"/>
      <c r="AD276" s="732"/>
      <c r="AE276" s="733"/>
      <c r="AF276" s="734" t="str">
        <f t="shared" si="14"/>
        <v/>
      </c>
      <c r="AG276" s="774"/>
      <c r="AH276" s="778"/>
      <c r="AI276" s="736"/>
      <c r="AJ276" s="736"/>
      <c r="AK276" s="736"/>
      <c r="AL276" s="736"/>
      <c r="AM276" s="736"/>
      <c r="AN276" s="736"/>
      <c r="AO276" s="736"/>
      <c r="AP276" s="736"/>
      <c r="AQ276" s="736"/>
      <c r="AR276" s="736"/>
      <c r="AS276" s="736"/>
      <c r="AT276" s="736"/>
      <c r="AU276" s="736"/>
      <c r="AV276" s="736"/>
      <c r="AW276" s="736"/>
      <c r="AX276" s="736"/>
      <c r="AY276" s="736"/>
      <c r="AZ276" s="736"/>
      <c r="BA276" s="736"/>
      <c r="BB276" s="736"/>
      <c r="BC276" s="736"/>
      <c r="BD276" s="736"/>
      <c r="BE276" s="736"/>
      <c r="BF276" s="736"/>
      <c r="BG276" s="736"/>
      <c r="BH276" s="736"/>
      <c r="BI276" s="736"/>
      <c r="BJ276" s="736"/>
      <c r="BK276" s="736"/>
      <c r="BL276" s="736"/>
    </row>
    <row r="277" spans="1:64" ht="18.75" x14ac:dyDescent="0.25">
      <c r="A277" s="758"/>
      <c r="B277" s="737"/>
      <c r="C277" s="730"/>
      <c r="D277" s="739"/>
      <c r="E277" s="765"/>
      <c r="F277" s="765"/>
      <c r="G277" s="765"/>
      <c r="H277" s="765"/>
      <c r="I277" s="746" t="str">
        <f t="shared" si="13"/>
        <v/>
      </c>
      <c r="J277" s="731"/>
      <c r="K277" s="731" t="str">
        <f t="shared" si="12"/>
        <v/>
      </c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32"/>
      <c r="AB277" s="732"/>
      <c r="AC277" s="732"/>
      <c r="AD277" s="732"/>
      <c r="AE277" s="733"/>
      <c r="AF277" s="734" t="str">
        <f t="shared" si="14"/>
        <v/>
      </c>
      <c r="AG277" s="774"/>
      <c r="AH277" s="778"/>
      <c r="AI277" s="736"/>
      <c r="AJ277" s="736"/>
      <c r="AK277" s="736"/>
      <c r="AL277" s="736"/>
      <c r="AM277" s="736"/>
      <c r="AN277" s="736"/>
      <c r="AO277" s="736"/>
      <c r="AP277" s="736"/>
      <c r="AQ277" s="736"/>
      <c r="AR277" s="736"/>
      <c r="AS277" s="736"/>
      <c r="AT277" s="736"/>
      <c r="AU277" s="736"/>
      <c r="AV277" s="736"/>
      <c r="AW277" s="736"/>
      <c r="AX277" s="736"/>
      <c r="AY277" s="736"/>
      <c r="AZ277" s="736"/>
      <c r="BA277" s="736"/>
      <c r="BB277" s="736"/>
      <c r="BC277" s="736"/>
      <c r="BD277" s="736"/>
      <c r="BE277" s="736"/>
      <c r="BF277" s="736"/>
      <c r="BG277" s="736"/>
      <c r="BH277" s="736"/>
      <c r="BI277" s="736"/>
      <c r="BJ277" s="736"/>
      <c r="BK277" s="736"/>
      <c r="BL277" s="736"/>
    </row>
    <row r="278" spans="1:64" ht="18.75" x14ac:dyDescent="0.25">
      <c r="A278" s="758"/>
      <c r="B278" s="737"/>
      <c r="C278" s="730"/>
      <c r="D278" s="739"/>
      <c r="E278" s="765"/>
      <c r="F278" s="765"/>
      <c r="G278" s="765"/>
      <c r="H278" s="765"/>
      <c r="I278" s="746" t="str">
        <f t="shared" si="13"/>
        <v/>
      </c>
      <c r="J278" s="731"/>
      <c r="K278" s="731" t="str">
        <f t="shared" si="12"/>
        <v/>
      </c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32"/>
      <c r="AB278" s="732"/>
      <c r="AC278" s="732"/>
      <c r="AD278" s="732"/>
      <c r="AE278" s="733"/>
      <c r="AF278" s="734" t="str">
        <f t="shared" si="14"/>
        <v/>
      </c>
      <c r="AG278" s="774"/>
      <c r="AH278" s="778"/>
      <c r="AI278" s="736"/>
      <c r="AJ278" s="736"/>
      <c r="AK278" s="736"/>
      <c r="AL278" s="736"/>
      <c r="AM278" s="736"/>
      <c r="AN278" s="736"/>
      <c r="AO278" s="736"/>
      <c r="AP278" s="736"/>
      <c r="AQ278" s="736"/>
      <c r="AR278" s="736"/>
      <c r="AS278" s="736"/>
      <c r="AT278" s="736"/>
      <c r="AU278" s="736"/>
      <c r="AV278" s="736"/>
      <c r="AW278" s="736"/>
      <c r="AX278" s="736"/>
      <c r="AY278" s="736"/>
      <c r="AZ278" s="736"/>
      <c r="BA278" s="736"/>
      <c r="BB278" s="736"/>
      <c r="BC278" s="736"/>
      <c r="BD278" s="736"/>
      <c r="BE278" s="736"/>
      <c r="BF278" s="736"/>
      <c r="BG278" s="736"/>
      <c r="BH278" s="736"/>
      <c r="BI278" s="736"/>
      <c r="BJ278" s="736"/>
      <c r="BK278" s="736"/>
      <c r="BL278" s="736"/>
    </row>
    <row r="279" spans="1:64" ht="18.75" x14ac:dyDescent="0.25">
      <c r="A279" s="758"/>
      <c r="B279" s="737"/>
      <c r="C279" s="730"/>
      <c r="D279" s="739"/>
      <c r="E279" s="765"/>
      <c r="F279" s="765"/>
      <c r="G279" s="765"/>
      <c r="H279" s="765"/>
      <c r="I279" s="746" t="str">
        <f t="shared" si="13"/>
        <v/>
      </c>
      <c r="J279" s="731"/>
      <c r="K279" s="731" t="str">
        <f t="shared" si="12"/>
        <v/>
      </c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32"/>
      <c r="AB279" s="732"/>
      <c r="AC279" s="732"/>
      <c r="AD279" s="732"/>
      <c r="AE279" s="733"/>
      <c r="AF279" s="734" t="str">
        <f t="shared" si="14"/>
        <v/>
      </c>
      <c r="AG279" s="773"/>
    </row>
    <row r="280" spans="1:64" ht="18.75" x14ac:dyDescent="0.25">
      <c r="A280" s="758"/>
      <c r="B280" s="737"/>
      <c r="C280" s="730"/>
      <c r="D280" s="739"/>
      <c r="E280" s="765"/>
      <c r="F280" s="765"/>
      <c r="G280" s="765"/>
      <c r="H280" s="765"/>
      <c r="I280" s="746" t="str">
        <f t="shared" si="13"/>
        <v/>
      </c>
      <c r="J280" s="731"/>
      <c r="K280" s="731" t="str">
        <f t="shared" si="12"/>
        <v/>
      </c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32"/>
      <c r="AB280" s="732"/>
      <c r="AC280" s="732"/>
      <c r="AD280" s="732"/>
      <c r="AE280" s="733"/>
      <c r="AF280" s="734" t="str">
        <f t="shared" si="14"/>
        <v/>
      </c>
      <c r="AG280" s="774"/>
      <c r="AH280" s="778"/>
      <c r="AI280" s="736"/>
      <c r="AJ280" s="736"/>
      <c r="AK280" s="736"/>
      <c r="AL280" s="736"/>
      <c r="AM280" s="736"/>
      <c r="AN280" s="736"/>
      <c r="AO280" s="736"/>
      <c r="AP280" s="736"/>
      <c r="AQ280" s="736"/>
      <c r="AR280" s="736"/>
      <c r="AS280" s="736"/>
      <c r="AT280" s="736"/>
      <c r="AU280" s="736"/>
      <c r="AV280" s="736"/>
      <c r="AW280" s="736"/>
      <c r="AX280" s="736"/>
      <c r="AY280" s="736"/>
      <c r="AZ280" s="736"/>
      <c r="BA280" s="736"/>
      <c r="BB280" s="736"/>
      <c r="BC280" s="736"/>
      <c r="BD280" s="736"/>
      <c r="BE280" s="736"/>
      <c r="BF280" s="736"/>
      <c r="BG280" s="736"/>
      <c r="BH280" s="736"/>
      <c r="BI280" s="736"/>
      <c r="BJ280" s="736"/>
      <c r="BK280" s="736"/>
      <c r="BL280" s="736"/>
    </row>
    <row r="281" spans="1:64" ht="18.75" x14ac:dyDescent="0.25">
      <c r="A281" s="758"/>
      <c r="B281" s="737"/>
      <c r="C281" s="730"/>
      <c r="D281" s="739"/>
      <c r="E281" s="765"/>
      <c r="F281" s="765"/>
      <c r="G281" s="765"/>
      <c r="H281" s="765"/>
      <c r="I281" s="746" t="str">
        <f t="shared" si="13"/>
        <v/>
      </c>
      <c r="J281" s="731"/>
      <c r="K281" s="731" t="str">
        <f t="shared" si="12"/>
        <v/>
      </c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32"/>
      <c r="AB281" s="732"/>
      <c r="AC281" s="732"/>
      <c r="AD281" s="732"/>
      <c r="AE281" s="733"/>
      <c r="AF281" s="734" t="str">
        <f t="shared" si="14"/>
        <v/>
      </c>
      <c r="AG281" s="774"/>
      <c r="AH281" s="778"/>
      <c r="AI281" s="736"/>
      <c r="AJ281" s="736"/>
      <c r="AK281" s="736"/>
      <c r="AL281" s="736"/>
      <c r="AM281" s="736"/>
      <c r="AN281" s="736"/>
      <c r="AO281" s="736"/>
      <c r="AP281" s="736"/>
      <c r="AQ281" s="736"/>
      <c r="AR281" s="736"/>
      <c r="AS281" s="736"/>
      <c r="AT281" s="736"/>
      <c r="AU281" s="736"/>
      <c r="AV281" s="736"/>
      <c r="AW281" s="736"/>
      <c r="AX281" s="736"/>
      <c r="AY281" s="736"/>
      <c r="AZ281" s="736"/>
      <c r="BA281" s="736"/>
      <c r="BB281" s="736"/>
      <c r="BC281" s="736"/>
      <c r="BD281" s="736"/>
      <c r="BE281" s="736"/>
      <c r="BF281" s="736"/>
      <c r="BG281" s="736"/>
      <c r="BH281" s="736"/>
      <c r="BI281" s="736"/>
      <c r="BJ281" s="736"/>
      <c r="BK281" s="736"/>
      <c r="BL281" s="736"/>
    </row>
    <row r="282" spans="1:64" ht="18.75" x14ac:dyDescent="0.25">
      <c r="A282" s="758"/>
      <c r="B282" s="737"/>
      <c r="C282" s="730"/>
      <c r="D282" s="739"/>
      <c r="E282" s="765"/>
      <c r="F282" s="765"/>
      <c r="G282" s="765"/>
      <c r="H282" s="765"/>
      <c r="I282" s="746" t="str">
        <f t="shared" si="13"/>
        <v/>
      </c>
      <c r="J282" s="731"/>
      <c r="K282" s="731" t="str">
        <f t="shared" si="12"/>
        <v/>
      </c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32"/>
      <c r="AB282" s="732"/>
      <c r="AC282" s="732"/>
      <c r="AD282" s="732"/>
      <c r="AE282" s="733"/>
      <c r="AF282" s="734" t="str">
        <f t="shared" si="14"/>
        <v/>
      </c>
      <c r="AG282" s="774"/>
      <c r="AH282" s="778"/>
      <c r="AI282" s="736"/>
      <c r="AJ282" s="736"/>
      <c r="AK282" s="736"/>
      <c r="AL282" s="736"/>
      <c r="AM282" s="736"/>
      <c r="AN282" s="736"/>
      <c r="AO282" s="736"/>
      <c r="AP282" s="736"/>
      <c r="AQ282" s="736"/>
      <c r="AR282" s="736"/>
      <c r="AS282" s="736"/>
      <c r="AT282" s="736"/>
      <c r="AU282" s="736"/>
      <c r="AV282" s="736"/>
      <c r="AW282" s="736"/>
      <c r="AX282" s="736"/>
      <c r="AY282" s="736"/>
      <c r="AZ282" s="736"/>
      <c r="BA282" s="736"/>
      <c r="BB282" s="736"/>
      <c r="BC282" s="736"/>
      <c r="BD282" s="736"/>
      <c r="BE282" s="736"/>
      <c r="BF282" s="736"/>
      <c r="BG282" s="736"/>
      <c r="BH282" s="736"/>
      <c r="BI282" s="736"/>
      <c r="BJ282" s="736"/>
      <c r="BK282" s="736"/>
      <c r="BL282" s="736"/>
    </row>
    <row r="283" spans="1:64" ht="18.75" x14ac:dyDescent="0.25">
      <c r="A283" s="758"/>
      <c r="B283" s="737"/>
      <c r="C283" s="730"/>
      <c r="D283" s="739"/>
      <c r="E283" s="765"/>
      <c r="F283" s="765"/>
      <c r="G283" s="765"/>
      <c r="H283" s="765"/>
      <c r="I283" s="746" t="str">
        <f t="shared" si="13"/>
        <v/>
      </c>
      <c r="J283" s="731"/>
      <c r="K283" s="731" t="str">
        <f t="shared" si="12"/>
        <v/>
      </c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32"/>
      <c r="AB283" s="732"/>
      <c r="AC283" s="732"/>
      <c r="AD283" s="732"/>
      <c r="AE283" s="733"/>
      <c r="AF283" s="734" t="str">
        <f t="shared" si="14"/>
        <v/>
      </c>
      <c r="AG283" s="774"/>
      <c r="AH283" s="778"/>
      <c r="AI283" s="736"/>
      <c r="AJ283" s="736"/>
      <c r="AK283" s="736"/>
      <c r="AL283" s="736"/>
      <c r="AM283" s="736"/>
      <c r="AN283" s="736"/>
      <c r="AO283" s="736"/>
      <c r="AP283" s="736"/>
      <c r="AQ283" s="736"/>
      <c r="AR283" s="736"/>
      <c r="AS283" s="736"/>
      <c r="AT283" s="736"/>
      <c r="AU283" s="736"/>
      <c r="AV283" s="736"/>
      <c r="AW283" s="736"/>
      <c r="AX283" s="736"/>
      <c r="AY283" s="736"/>
      <c r="AZ283" s="736"/>
      <c r="BA283" s="736"/>
      <c r="BB283" s="736"/>
      <c r="BC283" s="736"/>
      <c r="BD283" s="736"/>
      <c r="BE283" s="736"/>
      <c r="BF283" s="736"/>
      <c r="BG283" s="736"/>
      <c r="BH283" s="736"/>
      <c r="BI283" s="736"/>
      <c r="BJ283" s="736"/>
      <c r="BK283" s="736"/>
      <c r="BL283" s="736"/>
    </row>
    <row r="284" spans="1:64" ht="18.75" x14ac:dyDescent="0.25">
      <c r="A284" s="758"/>
      <c r="B284" s="737"/>
      <c r="C284" s="730"/>
      <c r="D284" s="739"/>
      <c r="E284" s="765"/>
      <c r="F284" s="765"/>
      <c r="G284" s="765"/>
      <c r="H284" s="765"/>
      <c r="I284" s="746" t="str">
        <f t="shared" si="13"/>
        <v/>
      </c>
      <c r="J284" s="731"/>
      <c r="K284" s="731" t="str">
        <f t="shared" si="12"/>
        <v/>
      </c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32"/>
      <c r="AB284" s="732"/>
      <c r="AC284" s="732"/>
      <c r="AD284" s="732"/>
      <c r="AE284" s="733"/>
      <c r="AF284" s="734" t="str">
        <f t="shared" si="14"/>
        <v/>
      </c>
      <c r="AG284" s="774"/>
      <c r="AH284" s="778"/>
      <c r="AI284" s="736"/>
      <c r="AJ284" s="736"/>
      <c r="AK284" s="736"/>
      <c r="AL284" s="736"/>
      <c r="AM284" s="736"/>
      <c r="AN284" s="736"/>
      <c r="AO284" s="736"/>
      <c r="AP284" s="736"/>
      <c r="AQ284" s="736"/>
      <c r="AR284" s="736"/>
      <c r="AS284" s="736"/>
      <c r="AT284" s="736"/>
      <c r="AU284" s="736"/>
      <c r="AV284" s="736"/>
      <c r="AW284" s="736"/>
      <c r="AX284" s="736"/>
      <c r="AY284" s="736"/>
      <c r="AZ284" s="736"/>
      <c r="BA284" s="736"/>
      <c r="BB284" s="736"/>
      <c r="BC284" s="736"/>
      <c r="BD284" s="736"/>
      <c r="BE284" s="736"/>
      <c r="BF284" s="736"/>
      <c r="BG284" s="736"/>
      <c r="BH284" s="736"/>
      <c r="BI284" s="736"/>
      <c r="BJ284" s="736"/>
      <c r="BK284" s="736"/>
      <c r="BL284" s="736"/>
    </row>
    <row r="285" spans="1:64" ht="18.75" x14ac:dyDescent="0.25">
      <c r="A285" s="758"/>
      <c r="B285" s="737"/>
      <c r="C285" s="730"/>
      <c r="D285" s="739"/>
      <c r="E285" s="765"/>
      <c r="F285" s="765"/>
      <c r="G285" s="765"/>
      <c r="H285" s="765"/>
      <c r="I285" s="746" t="str">
        <f t="shared" si="13"/>
        <v/>
      </c>
      <c r="J285" s="731"/>
      <c r="K285" s="731" t="str">
        <f t="shared" si="12"/>
        <v/>
      </c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32"/>
      <c r="AB285" s="732"/>
      <c r="AC285" s="732"/>
      <c r="AD285" s="732"/>
      <c r="AE285" s="733"/>
      <c r="AF285" s="734" t="str">
        <f t="shared" si="14"/>
        <v/>
      </c>
      <c r="AG285" s="774"/>
      <c r="AH285" s="778"/>
      <c r="AI285" s="736"/>
      <c r="AJ285" s="736"/>
      <c r="AK285" s="736"/>
      <c r="AL285" s="736"/>
      <c r="AM285" s="736"/>
      <c r="AN285" s="736"/>
      <c r="AO285" s="736"/>
      <c r="AP285" s="736"/>
      <c r="AQ285" s="736"/>
      <c r="AR285" s="736"/>
      <c r="AS285" s="736"/>
      <c r="AT285" s="736"/>
      <c r="AU285" s="736"/>
      <c r="AV285" s="736"/>
      <c r="AW285" s="736"/>
      <c r="AX285" s="736"/>
      <c r="AY285" s="736"/>
      <c r="AZ285" s="736"/>
      <c r="BA285" s="736"/>
      <c r="BB285" s="736"/>
      <c r="BC285" s="736"/>
      <c r="BD285" s="736"/>
      <c r="BE285" s="736"/>
      <c r="BF285" s="736"/>
      <c r="BG285" s="736"/>
      <c r="BH285" s="736"/>
      <c r="BI285" s="736"/>
      <c r="BJ285" s="736"/>
      <c r="BK285" s="736"/>
      <c r="BL285" s="736"/>
    </row>
    <row r="286" spans="1:64" ht="18.75" x14ac:dyDescent="0.25">
      <c r="A286" s="758"/>
      <c r="B286" s="737"/>
      <c r="C286" s="730"/>
      <c r="D286" s="739"/>
      <c r="E286" s="765"/>
      <c r="F286" s="765"/>
      <c r="G286" s="765"/>
      <c r="H286" s="765"/>
      <c r="I286" s="746" t="str">
        <f t="shared" si="13"/>
        <v/>
      </c>
      <c r="J286" s="731"/>
      <c r="K286" s="731" t="str">
        <f t="shared" si="12"/>
        <v/>
      </c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32"/>
      <c r="AB286" s="732"/>
      <c r="AC286" s="732"/>
      <c r="AD286" s="732"/>
      <c r="AE286" s="733"/>
      <c r="AF286" s="734" t="str">
        <f t="shared" si="14"/>
        <v/>
      </c>
      <c r="AG286" s="773"/>
    </row>
    <row r="287" spans="1:64" ht="18.75" x14ac:dyDescent="0.25">
      <c r="A287" s="758"/>
      <c r="B287" s="737"/>
      <c r="C287" s="730"/>
      <c r="D287" s="739"/>
      <c r="E287" s="765"/>
      <c r="F287" s="765"/>
      <c r="G287" s="765"/>
      <c r="H287" s="765"/>
      <c r="I287" s="746" t="str">
        <f t="shared" si="13"/>
        <v/>
      </c>
      <c r="J287" s="731"/>
      <c r="K287" s="731" t="str">
        <f t="shared" si="12"/>
        <v/>
      </c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32"/>
      <c r="AB287" s="732"/>
      <c r="AC287" s="732"/>
      <c r="AD287" s="732"/>
      <c r="AE287" s="733"/>
      <c r="AF287" s="734" t="str">
        <f t="shared" si="14"/>
        <v/>
      </c>
      <c r="AG287" s="774"/>
      <c r="AH287" s="778"/>
      <c r="AI287" s="736"/>
      <c r="AJ287" s="736"/>
      <c r="AK287" s="736"/>
      <c r="AL287" s="736"/>
      <c r="AM287" s="736"/>
      <c r="AN287" s="736"/>
      <c r="AO287" s="736"/>
      <c r="AP287" s="736"/>
      <c r="AQ287" s="736"/>
      <c r="AR287" s="736"/>
      <c r="AS287" s="736"/>
      <c r="AT287" s="736"/>
      <c r="AU287" s="736"/>
      <c r="AV287" s="736"/>
      <c r="AW287" s="736"/>
      <c r="AX287" s="736"/>
      <c r="AY287" s="736"/>
      <c r="AZ287" s="736"/>
      <c r="BA287" s="736"/>
      <c r="BB287" s="736"/>
      <c r="BC287" s="736"/>
      <c r="BD287" s="736"/>
      <c r="BE287" s="736"/>
      <c r="BF287" s="736"/>
      <c r="BG287" s="736"/>
      <c r="BH287" s="736"/>
      <c r="BI287" s="736"/>
      <c r="BJ287" s="736"/>
      <c r="BK287" s="736"/>
      <c r="BL287" s="736"/>
    </row>
    <row r="288" spans="1:64" ht="18.75" x14ac:dyDescent="0.25">
      <c r="A288" s="758"/>
      <c r="B288" s="737"/>
      <c r="C288" s="730"/>
      <c r="D288" s="739"/>
      <c r="E288" s="765"/>
      <c r="F288" s="765"/>
      <c r="G288" s="765"/>
      <c r="H288" s="765"/>
      <c r="I288" s="746" t="str">
        <f t="shared" si="13"/>
        <v/>
      </c>
      <c r="J288" s="731"/>
      <c r="K288" s="731" t="str">
        <f t="shared" si="12"/>
        <v/>
      </c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32"/>
      <c r="AB288" s="732"/>
      <c r="AC288" s="732"/>
      <c r="AD288" s="732"/>
      <c r="AE288" s="733"/>
      <c r="AF288" s="734" t="str">
        <f t="shared" si="14"/>
        <v/>
      </c>
      <c r="AG288" s="773"/>
    </row>
    <row r="289" spans="1:64" ht="18.75" x14ac:dyDescent="0.25">
      <c r="A289" s="758"/>
      <c r="B289" s="737"/>
      <c r="C289" s="730"/>
      <c r="D289" s="739"/>
      <c r="E289" s="765"/>
      <c r="F289" s="765"/>
      <c r="G289" s="765"/>
      <c r="H289" s="765"/>
      <c r="I289" s="746" t="str">
        <f t="shared" si="13"/>
        <v/>
      </c>
      <c r="J289" s="731"/>
      <c r="K289" s="731" t="str">
        <f t="shared" si="12"/>
        <v/>
      </c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32"/>
      <c r="AB289" s="732"/>
      <c r="AC289" s="732"/>
      <c r="AD289" s="732"/>
      <c r="AE289" s="733"/>
      <c r="AF289" s="734" t="str">
        <f t="shared" si="14"/>
        <v/>
      </c>
      <c r="AG289" s="773"/>
    </row>
    <row r="290" spans="1:64" ht="18.75" x14ac:dyDescent="0.25">
      <c r="A290" s="758"/>
      <c r="B290" s="737"/>
      <c r="C290" s="730"/>
      <c r="D290" s="739"/>
      <c r="E290" s="765"/>
      <c r="F290" s="765"/>
      <c r="G290" s="765"/>
      <c r="H290" s="765"/>
      <c r="I290" s="746" t="str">
        <f t="shared" si="13"/>
        <v/>
      </c>
      <c r="J290" s="731"/>
      <c r="K290" s="731" t="str">
        <f t="shared" si="12"/>
        <v/>
      </c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32"/>
      <c r="AB290" s="732"/>
      <c r="AC290" s="732"/>
      <c r="AD290" s="732"/>
      <c r="AE290" s="733"/>
      <c r="AF290" s="734" t="str">
        <f t="shared" si="14"/>
        <v/>
      </c>
      <c r="AG290" s="774"/>
      <c r="AH290" s="778"/>
      <c r="AI290" s="736"/>
      <c r="AJ290" s="736"/>
      <c r="AK290" s="736"/>
      <c r="AL290" s="736"/>
      <c r="AM290" s="736"/>
      <c r="AN290" s="736"/>
      <c r="AO290" s="736"/>
      <c r="AP290" s="736"/>
      <c r="AQ290" s="736"/>
      <c r="AR290" s="736"/>
      <c r="AS290" s="736"/>
      <c r="AT290" s="736"/>
      <c r="AU290" s="736"/>
      <c r="AV290" s="736"/>
      <c r="AW290" s="736"/>
      <c r="AX290" s="736"/>
      <c r="AY290" s="736"/>
      <c r="AZ290" s="736"/>
      <c r="BA290" s="736"/>
      <c r="BB290" s="736"/>
      <c r="BC290" s="736"/>
      <c r="BD290" s="736"/>
      <c r="BE290" s="736"/>
      <c r="BF290" s="736"/>
      <c r="BG290" s="736"/>
      <c r="BH290" s="736"/>
      <c r="BI290" s="736"/>
      <c r="BJ290" s="736"/>
      <c r="BK290" s="736"/>
      <c r="BL290" s="736"/>
    </row>
    <row r="291" spans="1:64" ht="18.75" x14ac:dyDescent="0.25">
      <c r="A291" s="758"/>
      <c r="B291" s="737"/>
      <c r="C291" s="730"/>
      <c r="D291" s="739"/>
      <c r="E291" s="765"/>
      <c r="F291" s="765"/>
      <c r="G291" s="765"/>
      <c r="H291" s="765"/>
      <c r="I291" s="746" t="str">
        <f t="shared" si="13"/>
        <v/>
      </c>
      <c r="J291" s="731"/>
      <c r="K291" s="731" t="str">
        <f t="shared" si="12"/>
        <v/>
      </c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32"/>
      <c r="AB291" s="732"/>
      <c r="AC291" s="732"/>
      <c r="AD291" s="732"/>
      <c r="AE291" s="733"/>
      <c r="AF291" s="734" t="str">
        <f t="shared" si="14"/>
        <v/>
      </c>
      <c r="AG291" s="774"/>
      <c r="AH291" s="778"/>
      <c r="AI291" s="736"/>
      <c r="AJ291" s="736"/>
      <c r="AK291" s="736"/>
      <c r="AL291" s="736"/>
      <c r="AM291" s="736"/>
      <c r="AN291" s="736"/>
      <c r="AO291" s="736"/>
      <c r="AP291" s="736"/>
      <c r="AQ291" s="736"/>
      <c r="AR291" s="736"/>
      <c r="AS291" s="736"/>
      <c r="AT291" s="736"/>
      <c r="AU291" s="736"/>
      <c r="AV291" s="736"/>
      <c r="AW291" s="736"/>
      <c r="AX291" s="736"/>
      <c r="AY291" s="736"/>
      <c r="AZ291" s="736"/>
      <c r="BA291" s="736"/>
      <c r="BB291" s="736"/>
      <c r="BC291" s="736"/>
      <c r="BD291" s="736"/>
      <c r="BE291" s="736"/>
      <c r="BF291" s="736"/>
      <c r="BG291" s="736"/>
      <c r="BH291" s="736"/>
      <c r="BI291" s="736"/>
      <c r="BJ291" s="736"/>
      <c r="BK291" s="736"/>
      <c r="BL291" s="736"/>
    </row>
    <row r="292" spans="1:64" ht="18.75" x14ac:dyDescent="0.25">
      <c r="A292" s="758"/>
      <c r="B292" s="737"/>
      <c r="C292" s="730"/>
      <c r="D292" s="739"/>
      <c r="E292" s="765"/>
      <c r="F292" s="765"/>
      <c r="G292" s="765"/>
      <c r="H292" s="765"/>
      <c r="I292" s="746" t="str">
        <f t="shared" si="13"/>
        <v/>
      </c>
      <c r="J292" s="731"/>
      <c r="K292" s="731" t="str">
        <f t="shared" si="12"/>
        <v/>
      </c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32"/>
      <c r="AB292" s="732"/>
      <c r="AC292" s="732"/>
      <c r="AD292" s="732"/>
      <c r="AE292" s="733"/>
      <c r="AF292" s="734" t="str">
        <f t="shared" si="14"/>
        <v/>
      </c>
      <c r="AG292" s="774"/>
      <c r="AH292" s="778"/>
      <c r="AI292" s="736"/>
      <c r="AJ292" s="736"/>
      <c r="AK292" s="736"/>
      <c r="AL292" s="736"/>
      <c r="AM292" s="736"/>
      <c r="AN292" s="736"/>
      <c r="AO292" s="736"/>
      <c r="AP292" s="736"/>
      <c r="AQ292" s="736"/>
      <c r="AR292" s="736"/>
      <c r="AS292" s="736"/>
      <c r="AT292" s="736"/>
      <c r="AU292" s="736"/>
      <c r="AV292" s="736"/>
      <c r="AW292" s="736"/>
      <c r="AX292" s="736"/>
      <c r="AY292" s="736"/>
      <c r="AZ292" s="736"/>
      <c r="BA292" s="736"/>
      <c r="BB292" s="736"/>
      <c r="BC292" s="736"/>
      <c r="BD292" s="736"/>
      <c r="BE292" s="736"/>
      <c r="BF292" s="736"/>
      <c r="BG292" s="736"/>
      <c r="BH292" s="736"/>
      <c r="BI292" s="736"/>
      <c r="BJ292" s="736"/>
      <c r="BK292" s="736"/>
      <c r="BL292" s="736"/>
    </row>
    <row r="293" spans="1:64" ht="18.75" x14ac:dyDescent="0.25">
      <c r="A293" s="758"/>
      <c r="B293" s="737"/>
      <c r="C293" s="730"/>
      <c r="D293" s="739"/>
      <c r="E293" s="765"/>
      <c r="F293" s="765"/>
      <c r="G293" s="765"/>
      <c r="H293" s="765"/>
      <c r="I293" s="746" t="str">
        <f t="shared" si="13"/>
        <v/>
      </c>
      <c r="J293" s="731"/>
      <c r="K293" s="731" t="str">
        <f t="shared" si="12"/>
        <v/>
      </c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32"/>
      <c r="AB293" s="732"/>
      <c r="AC293" s="732"/>
      <c r="AD293" s="732"/>
      <c r="AE293" s="733"/>
      <c r="AF293" s="734" t="str">
        <f t="shared" si="14"/>
        <v/>
      </c>
      <c r="AG293" s="773"/>
    </row>
    <row r="294" spans="1:64" ht="18.75" x14ac:dyDescent="0.25">
      <c r="A294" s="758"/>
      <c r="B294" s="737"/>
      <c r="C294" s="730"/>
      <c r="D294" s="739"/>
      <c r="E294" s="765"/>
      <c r="F294" s="765"/>
      <c r="G294" s="765"/>
      <c r="H294" s="765"/>
      <c r="I294" s="746" t="str">
        <f t="shared" si="13"/>
        <v/>
      </c>
      <c r="J294" s="731"/>
      <c r="K294" s="731" t="str">
        <f t="shared" si="12"/>
        <v/>
      </c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32"/>
      <c r="AB294" s="732"/>
      <c r="AC294" s="732"/>
      <c r="AD294" s="732"/>
      <c r="AE294" s="733"/>
      <c r="AF294" s="734" t="str">
        <f t="shared" si="14"/>
        <v/>
      </c>
      <c r="AG294" s="773"/>
    </row>
    <row r="295" spans="1:64" ht="18.75" x14ac:dyDescent="0.25">
      <c r="A295" s="758"/>
      <c r="B295" s="737"/>
      <c r="C295" s="730"/>
      <c r="D295" s="739"/>
      <c r="E295" s="765"/>
      <c r="F295" s="765"/>
      <c r="G295" s="765"/>
      <c r="H295" s="765"/>
      <c r="I295" s="746" t="str">
        <f t="shared" si="13"/>
        <v/>
      </c>
      <c r="J295" s="731"/>
      <c r="K295" s="731" t="str">
        <f t="shared" si="12"/>
        <v/>
      </c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32"/>
      <c r="AB295" s="732"/>
      <c r="AC295" s="732"/>
      <c r="AD295" s="732"/>
      <c r="AE295" s="733"/>
      <c r="AF295" s="734" t="str">
        <f t="shared" si="14"/>
        <v/>
      </c>
      <c r="AG295" s="773"/>
    </row>
    <row r="296" spans="1:64" ht="18.75" x14ac:dyDescent="0.25">
      <c r="A296" s="758"/>
      <c r="B296" s="737"/>
      <c r="C296" s="730"/>
      <c r="D296" s="739"/>
      <c r="E296" s="765"/>
      <c r="F296" s="765"/>
      <c r="G296" s="765"/>
      <c r="H296" s="765"/>
      <c r="I296" s="746" t="str">
        <f t="shared" si="13"/>
        <v/>
      </c>
      <c r="J296" s="731"/>
      <c r="K296" s="731" t="str">
        <f t="shared" si="12"/>
        <v/>
      </c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32"/>
      <c r="AB296" s="732"/>
      <c r="AC296" s="732"/>
      <c r="AD296" s="732"/>
      <c r="AE296" s="733"/>
      <c r="AF296" s="734" t="str">
        <f t="shared" si="14"/>
        <v/>
      </c>
      <c r="AG296" s="774"/>
      <c r="AH296" s="778"/>
      <c r="AI296" s="736"/>
      <c r="AJ296" s="736"/>
      <c r="AK296" s="736"/>
      <c r="AL296" s="736"/>
      <c r="AM296" s="736"/>
      <c r="AN296" s="736"/>
      <c r="AO296" s="736"/>
      <c r="AP296" s="736"/>
      <c r="AQ296" s="736"/>
      <c r="AR296" s="736"/>
      <c r="AS296" s="736"/>
      <c r="AT296" s="736"/>
      <c r="AU296" s="736"/>
      <c r="AV296" s="736"/>
      <c r="AW296" s="736"/>
      <c r="AX296" s="736"/>
      <c r="AY296" s="736"/>
      <c r="AZ296" s="736"/>
      <c r="BA296" s="736"/>
      <c r="BB296" s="736"/>
      <c r="BC296" s="736"/>
      <c r="BD296" s="736"/>
      <c r="BE296" s="736"/>
      <c r="BF296" s="736"/>
      <c r="BG296" s="736"/>
      <c r="BH296" s="736"/>
      <c r="BI296" s="736"/>
      <c r="BJ296" s="736"/>
      <c r="BK296" s="736"/>
      <c r="BL296" s="736"/>
    </row>
    <row r="297" spans="1:64" ht="18.75" x14ac:dyDescent="0.25">
      <c r="A297" s="758"/>
      <c r="B297" s="737"/>
      <c r="C297" s="730"/>
      <c r="D297" s="739"/>
      <c r="E297" s="765"/>
      <c r="F297" s="765"/>
      <c r="G297" s="765"/>
      <c r="H297" s="765"/>
      <c r="I297" s="746" t="str">
        <f t="shared" si="13"/>
        <v/>
      </c>
      <c r="J297" s="731"/>
      <c r="K297" s="731" t="str">
        <f t="shared" si="12"/>
        <v/>
      </c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32"/>
      <c r="AB297" s="732"/>
      <c r="AC297" s="732"/>
      <c r="AD297" s="732"/>
      <c r="AE297" s="733"/>
      <c r="AF297" s="734" t="str">
        <f t="shared" si="14"/>
        <v/>
      </c>
      <c r="AG297" s="773"/>
    </row>
    <row r="298" spans="1:64" ht="18.75" x14ac:dyDescent="0.25">
      <c r="A298" s="758"/>
      <c r="B298" s="737"/>
      <c r="C298" s="730"/>
      <c r="D298" s="739"/>
      <c r="E298" s="765"/>
      <c r="F298" s="765"/>
      <c r="G298" s="765"/>
      <c r="H298" s="765"/>
      <c r="I298" s="746" t="str">
        <f t="shared" si="13"/>
        <v/>
      </c>
      <c r="J298" s="731"/>
      <c r="K298" s="731" t="str">
        <f t="shared" si="12"/>
        <v/>
      </c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32"/>
      <c r="AB298" s="732"/>
      <c r="AC298" s="732"/>
      <c r="AD298" s="732"/>
      <c r="AE298" s="733"/>
      <c r="AF298" s="734" t="str">
        <f t="shared" si="14"/>
        <v/>
      </c>
      <c r="AG298" s="773"/>
    </row>
    <row r="299" spans="1:64" ht="18.75" x14ac:dyDescent="0.25">
      <c r="A299" s="758"/>
      <c r="B299" s="737"/>
      <c r="C299" s="730"/>
      <c r="D299" s="739"/>
      <c r="E299" s="765"/>
      <c r="F299" s="765"/>
      <c r="G299" s="765"/>
      <c r="H299" s="765"/>
      <c r="I299" s="746" t="str">
        <f t="shared" si="13"/>
        <v/>
      </c>
      <c r="J299" s="731"/>
      <c r="K299" s="731" t="str">
        <f t="shared" si="12"/>
        <v/>
      </c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32"/>
      <c r="AB299" s="732"/>
      <c r="AC299" s="732"/>
      <c r="AD299" s="732"/>
      <c r="AE299" s="733"/>
      <c r="AF299" s="734" t="str">
        <f t="shared" si="14"/>
        <v/>
      </c>
      <c r="AG299" s="773"/>
    </row>
    <row r="300" spans="1:64" ht="18.75" x14ac:dyDescent="0.25">
      <c r="A300" s="758"/>
      <c r="B300" s="737"/>
      <c r="C300" s="730"/>
      <c r="D300" s="739"/>
      <c r="E300" s="765"/>
      <c r="F300" s="765"/>
      <c r="G300" s="765"/>
      <c r="H300" s="765"/>
      <c r="I300" s="746" t="str">
        <f t="shared" si="13"/>
        <v/>
      </c>
      <c r="J300" s="731"/>
      <c r="K300" s="731" t="str">
        <f t="shared" si="12"/>
        <v/>
      </c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32"/>
      <c r="AB300" s="732"/>
      <c r="AC300" s="732"/>
      <c r="AD300" s="732"/>
      <c r="AE300" s="733"/>
      <c r="AF300" s="734" t="str">
        <f t="shared" si="14"/>
        <v/>
      </c>
      <c r="AG300" s="773"/>
    </row>
    <row r="301" spans="1:64" ht="18.75" x14ac:dyDescent="0.25">
      <c r="A301" s="758"/>
      <c r="B301" s="737"/>
      <c r="C301" s="730"/>
      <c r="D301" s="739"/>
      <c r="E301" s="765"/>
      <c r="F301" s="765"/>
      <c r="G301" s="765"/>
      <c r="H301" s="765"/>
      <c r="I301" s="746" t="str">
        <f t="shared" si="13"/>
        <v/>
      </c>
      <c r="J301" s="731"/>
      <c r="K301" s="731" t="str">
        <f t="shared" si="12"/>
        <v/>
      </c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32"/>
      <c r="AB301" s="732"/>
      <c r="AC301" s="732"/>
      <c r="AD301" s="732"/>
      <c r="AE301" s="733"/>
      <c r="AF301" s="734" t="str">
        <f t="shared" si="14"/>
        <v/>
      </c>
      <c r="AG301" s="773"/>
    </row>
    <row r="302" spans="1:64" ht="18.75" x14ac:dyDescent="0.25">
      <c r="A302" s="758"/>
      <c r="B302" s="737"/>
      <c r="C302" s="730"/>
      <c r="D302" s="739"/>
      <c r="E302" s="765"/>
      <c r="F302" s="765"/>
      <c r="G302" s="765"/>
      <c r="H302" s="765"/>
      <c r="I302" s="746" t="str">
        <f t="shared" si="13"/>
        <v/>
      </c>
      <c r="J302" s="731"/>
      <c r="K302" s="731" t="str">
        <f t="shared" si="12"/>
        <v/>
      </c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32"/>
      <c r="AB302" s="732"/>
      <c r="AC302" s="732"/>
      <c r="AD302" s="732"/>
      <c r="AE302" s="733"/>
      <c r="AF302" s="734" t="str">
        <f t="shared" si="14"/>
        <v/>
      </c>
      <c r="AG302" s="773"/>
    </row>
    <row r="303" spans="1:64" ht="18.75" x14ac:dyDescent="0.25">
      <c r="A303" s="758"/>
      <c r="B303" s="737"/>
      <c r="C303" s="730"/>
      <c r="D303" s="739"/>
      <c r="E303" s="765"/>
      <c r="F303" s="765"/>
      <c r="G303" s="765"/>
      <c r="H303" s="765"/>
      <c r="I303" s="746" t="str">
        <f t="shared" si="13"/>
        <v/>
      </c>
      <c r="J303" s="731"/>
      <c r="K303" s="731" t="str">
        <f t="shared" si="12"/>
        <v/>
      </c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32"/>
      <c r="AB303" s="732"/>
      <c r="AC303" s="732"/>
      <c r="AD303" s="732"/>
      <c r="AE303" s="733"/>
      <c r="AF303" s="734" t="str">
        <f t="shared" si="14"/>
        <v/>
      </c>
      <c r="AG303" s="773"/>
    </row>
    <row r="304" spans="1:64" ht="18.75" x14ac:dyDescent="0.25">
      <c r="A304" s="758"/>
      <c r="B304" s="737"/>
      <c r="C304" s="730"/>
      <c r="D304" s="739"/>
      <c r="E304" s="765"/>
      <c r="F304" s="765"/>
      <c r="G304" s="765"/>
      <c r="H304" s="765"/>
      <c r="I304" s="746" t="str">
        <f t="shared" si="13"/>
        <v/>
      </c>
      <c r="J304" s="731"/>
      <c r="K304" s="731" t="str">
        <f t="shared" si="12"/>
        <v/>
      </c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32"/>
      <c r="AB304" s="732"/>
      <c r="AC304" s="732"/>
      <c r="AD304" s="732"/>
      <c r="AE304" s="733"/>
      <c r="AF304" s="734" t="str">
        <f t="shared" si="14"/>
        <v/>
      </c>
      <c r="AG304" s="773"/>
    </row>
    <row r="305" spans="1:64" ht="18.75" x14ac:dyDescent="0.25">
      <c r="A305" s="758"/>
      <c r="B305" s="737"/>
      <c r="C305" s="730"/>
      <c r="D305" s="739"/>
      <c r="E305" s="765"/>
      <c r="F305" s="765"/>
      <c r="G305" s="765"/>
      <c r="H305" s="765"/>
      <c r="I305" s="746" t="str">
        <f t="shared" si="13"/>
        <v/>
      </c>
      <c r="J305" s="731"/>
      <c r="K305" s="731" t="str">
        <f t="shared" si="12"/>
        <v/>
      </c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32"/>
      <c r="AB305" s="732"/>
      <c r="AC305" s="732"/>
      <c r="AD305" s="732"/>
      <c r="AE305" s="733"/>
      <c r="AF305" s="734" t="str">
        <f t="shared" si="14"/>
        <v/>
      </c>
      <c r="AG305" s="773"/>
    </row>
    <row r="306" spans="1:64" ht="18.75" x14ac:dyDescent="0.25">
      <c r="A306" s="758"/>
      <c r="B306" s="737"/>
      <c r="C306" s="730"/>
      <c r="D306" s="739"/>
      <c r="E306" s="765"/>
      <c r="F306" s="765"/>
      <c r="G306" s="765"/>
      <c r="H306" s="765"/>
      <c r="I306" s="746" t="str">
        <f t="shared" si="13"/>
        <v/>
      </c>
      <c r="J306" s="731"/>
      <c r="K306" s="731" t="str">
        <f t="shared" si="12"/>
        <v/>
      </c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32"/>
      <c r="AB306" s="732"/>
      <c r="AC306" s="732"/>
      <c r="AD306" s="732"/>
      <c r="AE306" s="733"/>
      <c r="AF306" s="734" t="str">
        <f t="shared" si="14"/>
        <v/>
      </c>
      <c r="AG306" s="773"/>
    </row>
    <row r="307" spans="1:64" ht="18.75" x14ac:dyDescent="0.25">
      <c r="A307" s="758"/>
      <c r="B307" s="737"/>
      <c r="C307" s="730"/>
      <c r="D307" s="739"/>
      <c r="E307" s="765"/>
      <c r="F307" s="765"/>
      <c r="G307" s="765"/>
      <c r="H307" s="765"/>
      <c r="I307" s="746" t="str">
        <f t="shared" si="13"/>
        <v/>
      </c>
      <c r="J307" s="731"/>
      <c r="K307" s="731" t="str">
        <f t="shared" si="12"/>
        <v/>
      </c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32"/>
      <c r="AB307" s="732"/>
      <c r="AC307" s="732"/>
      <c r="AD307" s="732"/>
      <c r="AE307" s="733"/>
      <c r="AF307" s="734" t="str">
        <f t="shared" si="14"/>
        <v/>
      </c>
      <c r="AG307" s="773"/>
    </row>
    <row r="308" spans="1:64" ht="19.5" customHeight="1" x14ac:dyDescent="0.25">
      <c r="A308" s="758"/>
      <c r="B308" s="737"/>
      <c r="C308" s="730"/>
      <c r="D308" s="739"/>
      <c r="E308" s="765"/>
      <c r="F308" s="765"/>
      <c r="G308" s="765"/>
      <c r="H308" s="765"/>
      <c r="I308" s="746" t="str">
        <f t="shared" si="13"/>
        <v/>
      </c>
      <c r="J308" s="731"/>
      <c r="K308" s="731" t="str">
        <f t="shared" si="12"/>
        <v/>
      </c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32"/>
      <c r="AB308" s="732"/>
      <c r="AC308" s="732"/>
      <c r="AD308" s="732"/>
      <c r="AE308" s="733"/>
      <c r="AF308" s="734" t="str">
        <f t="shared" si="14"/>
        <v/>
      </c>
      <c r="AG308" s="773"/>
    </row>
    <row r="309" spans="1:64" ht="18.75" x14ac:dyDescent="0.25">
      <c r="A309" s="758"/>
      <c r="B309" s="737"/>
      <c r="C309" s="730"/>
      <c r="D309" s="739"/>
      <c r="E309" s="765"/>
      <c r="F309" s="765"/>
      <c r="G309" s="765"/>
      <c r="H309" s="765"/>
      <c r="I309" s="746" t="str">
        <f t="shared" si="13"/>
        <v/>
      </c>
      <c r="J309" s="731"/>
      <c r="K309" s="731" t="str">
        <f t="shared" si="12"/>
        <v/>
      </c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32"/>
      <c r="AB309" s="732"/>
      <c r="AC309" s="732"/>
      <c r="AD309" s="732"/>
      <c r="AE309" s="733"/>
      <c r="AF309" s="734" t="str">
        <f t="shared" si="14"/>
        <v/>
      </c>
      <c r="AG309" s="773"/>
    </row>
    <row r="310" spans="1:64" ht="18.75" x14ac:dyDescent="0.25">
      <c r="A310" s="758"/>
      <c r="B310" s="737"/>
      <c r="C310" s="730"/>
      <c r="D310" s="739"/>
      <c r="E310" s="765"/>
      <c r="F310" s="765"/>
      <c r="G310" s="765"/>
      <c r="H310" s="765"/>
      <c r="I310" s="746" t="str">
        <f t="shared" si="13"/>
        <v/>
      </c>
      <c r="J310" s="731"/>
      <c r="K310" s="731" t="str">
        <f t="shared" si="12"/>
        <v/>
      </c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32"/>
      <c r="AB310" s="732"/>
      <c r="AC310" s="732"/>
      <c r="AD310" s="732"/>
      <c r="AE310" s="733"/>
      <c r="AF310" s="734" t="str">
        <f t="shared" si="14"/>
        <v/>
      </c>
      <c r="AG310" s="773"/>
    </row>
    <row r="311" spans="1:64" ht="19.5" customHeight="1" x14ac:dyDescent="0.25">
      <c r="A311" s="758"/>
      <c r="B311" s="737"/>
      <c r="C311" s="730"/>
      <c r="D311" s="739"/>
      <c r="E311" s="765"/>
      <c r="F311" s="765"/>
      <c r="G311" s="765"/>
      <c r="H311" s="765"/>
      <c r="I311" s="746" t="str">
        <f t="shared" si="13"/>
        <v/>
      </c>
      <c r="J311" s="731"/>
      <c r="K311" s="731" t="str">
        <f t="shared" si="12"/>
        <v/>
      </c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32"/>
      <c r="AB311" s="732"/>
      <c r="AC311" s="732"/>
      <c r="AD311" s="732"/>
      <c r="AE311" s="733"/>
      <c r="AF311" s="734" t="str">
        <f t="shared" si="14"/>
        <v/>
      </c>
      <c r="AG311" s="775"/>
      <c r="AH311" s="779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</row>
    <row r="312" spans="1:64" ht="19.5" customHeight="1" x14ac:dyDescent="0.25">
      <c r="A312" s="758"/>
      <c r="B312" s="737"/>
      <c r="C312" s="730"/>
      <c r="D312" s="739"/>
      <c r="E312" s="765"/>
      <c r="F312" s="765"/>
      <c r="G312" s="765"/>
      <c r="H312" s="765"/>
      <c r="I312" s="746" t="str">
        <f t="shared" si="13"/>
        <v/>
      </c>
      <c r="J312" s="731"/>
      <c r="K312" s="731" t="str">
        <f t="shared" si="12"/>
        <v/>
      </c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32"/>
      <c r="AB312" s="732"/>
      <c r="AC312" s="732"/>
      <c r="AD312" s="732"/>
      <c r="AE312" s="733"/>
      <c r="AF312" s="734" t="str">
        <f t="shared" si="14"/>
        <v/>
      </c>
      <c r="AG312" s="775"/>
      <c r="AH312" s="779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</row>
    <row r="313" spans="1:64" ht="18.75" x14ac:dyDescent="0.25">
      <c r="A313" s="758"/>
      <c r="B313" s="737"/>
      <c r="C313" s="730"/>
      <c r="D313" s="739"/>
      <c r="E313" s="765"/>
      <c r="F313" s="765"/>
      <c r="G313" s="765"/>
      <c r="H313" s="765"/>
      <c r="I313" s="746" t="str">
        <f t="shared" si="13"/>
        <v/>
      </c>
      <c r="J313" s="731"/>
      <c r="K313" s="731" t="str">
        <f t="shared" si="12"/>
        <v/>
      </c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32"/>
      <c r="AB313" s="732"/>
      <c r="AC313" s="732"/>
      <c r="AD313" s="732"/>
      <c r="AE313" s="733"/>
      <c r="AF313" s="734" t="str">
        <f t="shared" si="14"/>
        <v/>
      </c>
      <c r="AG313" s="773"/>
    </row>
    <row r="314" spans="1:64" ht="18.75" x14ac:dyDescent="0.25">
      <c r="A314" s="758"/>
      <c r="B314" s="737"/>
      <c r="C314" s="730"/>
      <c r="D314" s="739"/>
      <c r="E314" s="765"/>
      <c r="F314" s="765"/>
      <c r="G314" s="765"/>
      <c r="H314" s="765"/>
      <c r="I314" s="746" t="str">
        <f t="shared" si="13"/>
        <v/>
      </c>
      <c r="J314" s="731"/>
      <c r="K314" s="731" t="str">
        <f t="shared" si="12"/>
        <v/>
      </c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32"/>
      <c r="AB314" s="732"/>
      <c r="AC314" s="732"/>
      <c r="AD314" s="732"/>
      <c r="AE314" s="733"/>
      <c r="AF314" s="734" t="str">
        <f t="shared" si="14"/>
        <v/>
      </c>
      <c r="AG314" s="773"/>
    </row>
    <row r="315" spans="1:64" ht="18.75" x14ac:dyDescent="0.25">
      <c r="A315" s="758"/>
      <c r="B315" s="737"/>
      <c r="C315" s="730"/>
      <c r="D315" s="739"/>
      <c r="E315" s="765"/>
      <c r="F315" s="765"/>
      <c r="G315" s="765"/>
      <c r="H315" s="765"/>
      <c r="I315" s="746" t="str">
        <f t="shared" si="13"/>
        <v/>
      </c>
      <c r="J315" s="731"/>
      <c r="K315" s="731" t="str">
        <f t="shared" si="12"/>
        <v/>
      </c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32"/>
      <c r="AB315" s="732"/>
      <c r="AC315" s="732"/>
      <c r="AD315" s="732"/>
      <c r="AE315" s="733"/>
      <c r="AF315" s="734" t="str">
        <f t="shared" si="14"/>
        <v/>
      </c>
      <c r="AG315" s="773"/>
    </row>
    <row r="316" spans="1:64" ht="18.75" x14ac:dyDescent="0.25">
      <c r="A316" s="758"/>
      <c r="B316" s="737"/>
      <c r="C316" s="730"/>
      <c r="D316" s="739"/>
      <c r="E316" s="765"/>
      <c r="F316" s="765"/>
      <c r="G316" s="765"/>
      <c r="H316" s="765"/>
      <c r="I316" s="746" t="str">
        <f t="shared" si="13"/>
        <v/>
      </c>
      <c r="J316" s="731"/>
      <c r="K316" s="731" t="str">
        <f t="shared" si="12"/>
        <v/>
      </c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32"/>
      <c r="AB316" s="732"/>
      <c r="AC316" s="732"/>
      <c r="AD316" s="732"/>
      <c r="AE316" s="733"/>
      <c r="AF316" s="734" t="str">
        <f t="shared" si="14"/>
        <v/>
      </c>
      <c r="AG316" s="773"/>
    </row>
    <row r="317" spans="1:64" ht="18.75" x14ac:dyDescent="0.25">
      <c r="A317" s="758"/>
      <c r="B317" s="737"/>
      <c r="C317" s="730"/>
      <c r="D317" s="739"/>
      <c r="E317" s="765"/>
      <c r="F317" s="765"/>
      <c r="G317" s="765"/>
      <c r="H317" s="765"/>
      <c r="I317" s="746" t="str">
        <f t="shared" si="13"/>
        <v/>
      </c>
      <c r="J317" s="731"/>
      <c r="K317" s="731" t="str">
        <f t="shared" si="12"/>
        <v/>
      </c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32"/>
      <c r="AB317" s="732"/>
      <c r="AC317" s="732"/>
      <c r="AD317" s="732"/>
      <c r="AE317" s="733"/>
      <c r="AF317" s="734" t="str">
        <f t="shared" si="14"/>
        <v/>
      </c>
      <c r="AG317" s="773"/>
    </row>
    <row r="318" spans="1:64" ht="18.75" x14ac:dyDescent="0.25">
      <c r="A318" s="758"/>
      <c r="B318" s="737"/>
      <c r="C318" s="730"/>
      <c r="D318" s="739"/>
      <c r="E318" s="765"/>
      <c r="F318" s="765"/>
      <c r="G318" s="765"/>
      <c r="H318" s="765"/>
      <c r="I318" s="746" t="str">
        <f t="shared" si="13"/>
        <v/>
      </c>
      <c r="J318" s="731"/>
      <c r="K318" s="731" t="str">
        <f t="shared" si="12"/>
        <v/>
      </c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32"/>
      <c r="AB318" s="732"/>
      <c r="AC318" s="732"/>
      <c r="AD318" s="732"/>
      <c r="AE318" s="733"/>
      <c r="AF318" s="734" t="str">
        <f t="shared" si="14"/>
        <v/>
      </c>
      <c r="AG318" s="773"/>
    </row>
    <row r="319" spans="1:64" ht="18.75" x14ac:dyDescent="0.25">
      <c r="A319" s="758"/>
      <c r="B319" s="737"/>
      <c r="C319" s="730"/>
      <c r="D319" s="739"/>
      <c r="E319" s="765"/>
      <c r="F319" s="765"/>
      <c r="G319" s="765"/>
      <c r="H319" s="765"/>
      <c r="I319" s="746" t="str">
        <f t="shared" si="13"/>
        <v/>
      </c>
      <c r="J319" s="731"/>
      <c r="K319" s="731" t="str">
        <f t="shared" si="12"/>
        <v/>
      </c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32"/>
      <c r="AB319" s="732"/>
      <c r="AC319" s="732"/>
      <c r="AD319" s="732"/>
      <c r="AE319" s="733"/>
      <c r="AF319" s="734" t="str">
        <f t="shared" si="14"/>
        <v/>
      </c>
      <c r="AG319" s="775"/>
      <c r="AH319" s="779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</row>
    <row r="320" spans="1:64" ht="18.75" x14ac:dyDescent="0.25">
      <c r="A320" s="758"/>
      <c r="B320" s="737"/>
      <c r="C320" s="730"/>
      <c r="D320" s="739"/>
      <c r="E320" s="765"/>
      <c r="F320" s="765"/>
      <c r="G320" s="765"/>
      <c r="H320" s="765"/>
      <c r="I320" s="746" t="str">
        <f t="shared" si="13"/>
        <v/>
      </c>
      <c r="J320" s="731"/>
      <c r="K320" s="731" t="str">
        <f t="shared" si="12"/>
        <v/>
      </c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32"/>
      <c r="AB320" s="732"/>
      <c r="AC320" s="732"/>
      <c r="AD320" s="732"/>
      <c r="AE320" s="733"/>
      <c r="AF320" s="734" t="str">
        <f t="shared" si="14"/>
        <v/>
      </c>
      <c r="AG320" s="773"/>
    </row>
    <row r="321" spans="1:64" ht="18.75" x14ac:dyDescent="0.25">
      <c r="A321" s="758"/>
      <c r="B321" s="737"/>
      <c r="C321" s="730"/>
      <c r="D321" s="739"/>
      <c r="E321" s="765"/>
      <c r="F321" s="765"/>
      <c r="G321" s="765"/>
      <c r="H321" s="765"/>
      <c r="I321" s="746" t="str">
        <f t="shared" si="13"/>
        <v/>
      </c>
      <c r="J321" s="731"/>
      <c r="K321" s="731" t="str">
        <f t="shared" si="12"/>
        <v/>
      </c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32"/>
      <c r="AB321" s="732"/>
      <c r="AC321" s="732"/>
      <c r="AD321" s="732"/>
      <c r="AE321" s="733"/>
      <c r="AF321" s="734" t="str">
        <f t="shared" si="14"/>
        <v/>
      </c>
      <c r="AG321" s="773"/>
    </row>
    <row r="322" spans="1:64" ht="18.75" x14ac:dyDescent="0.25">
      <c r="A322" s="758"/>
      <c r="B322" s="737"/>
      <c r="C322" s="730"/>
      <c r="D322" s="739"/>
      <c r="E322" s="765"/>
      <c r="F322" s="765"/>
      <c r="G322" s="765"/>
      <c r="H322" s="765"/>
      <c r="I322" s="746" t="str">
        <f t="shared" si="13"/>
        <v/>
      </c>
      <c r="J322" s="731"/>
      <c r="K322" s="731" t="str">
        <f t="shared" si="12"/>
        <v/>
      </c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32"/>
      <c r="AB322" s="732"/>
      <c r="AC322" s="732"/>
      <c r="AD322" s="732"/>
      <c r="AE322" s="733"/>
      <c r="AF322" s="734" t="str">
        <f t="shared" si="14"/>
        <v/>
      </c>
      <c r="AG322" s="773"/>
    </row>
    <row r="323" spans="1:64" ht="18.75" x14ac:dyDescent="0.25">
      <c r="A323" s="758"/>
      <c r="B323" s="737"/>
      <c r="C323" s="730"/>
      <c r="D323" s="739"/>
      <c r="E323" s="765"/>
      <c r="F323" s="765"/>
      <c r="G323" s="765"/>
      <c r="H323" s="765"/>
      <c r="I323" s="746" t="str">
        <f t="shared" si="13"/>
        <v/>
      </c>
      <c r="J323" s="731"/>
      <c r="K323" s="731" t="str">
        <f t="shared" si="12"/>
        <v/>
      </c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32"/>
      <c r="AB323" s="732"/>
      <c r="AC323" s="732"/>
      <c r="AD323" s="732"/>
      <c r="AE323" s="733"/>
      <c r="AF323" s="734" t="str">
        <f t="shared" si="14"/>
        <v/>
      </c>
      <c r="AG323" s="773"/>
    </row>
    <row r="324" spans="1:64" ht="18.75" x14ac:dyDescent="0.25">
      <c r="A324" s="758"/>
      <c r="B324" s="737"/>
      <c r="C324" s="730"/>
      <c r="D324" s="739"/>
      <c r="E324" s="765"/>
      <c r="F324" s="765"/>
      <c r="G324" s="765"/>
      <c r="H324" s="765"/>
      <c r="I324" s="746" t="str">
        <f t="shared" si="13"/>
        <v/>
      </c>
      <c r="J324" s="731"/>
      <c r="K324" s="731" t="str">
        <f t="shared" ref="K324:K387" si="15">IF(AA324-AE324 = 0,"",AA324-AE324)</f>
        <v/>
      </c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32"/>
      <c r="AB324" s="732"/>
      <c r="AC324" s="732"/>
      <c r="AD324" s="732"/>
      <c r="AE324" s="733"/>
      <c r="AF324" s="734" t="str">
        <f t="shared" si="14"/>
        <v/>
      </c>
      <c r="AG324" s="773"/>
    </row>
    <row r="325" spans="1:64" ht="19.5" customHeight="1" x14ac:dyDescent="0.25">
      <c r="A325" s="758"/>
      <c r="B325" s="737"/>
      <c r="C325" s="730"/>
      <c r="D325" s="739"/>
      <c r="E325" s="765"/>
      <c r="F325" s="765"/>
      <c r="G325" s="765"/>
      <c r="H325" s="765"/>
      <c r="I325" s="746" t="str">
        <f t="shared" ref="I325:I388" si="16">AF325</f>
        <v/>
      </c>
      <c r="J325" s="731"/>
      <c r="K325" s="731" t="str">
        <f t="shared" si="15"/>
        <v/>
      </c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32"/>
      <c r="AB325" s="732"/>
      <c r="AC325" s="732"/>
      <c r="AD325" s="732"/>
      <c r="AE325" s="733"/>
      <c r="AF325" s="734" t="str">
        <f t="shared" ref="AF325:AF388" si="17">IF(AE325 &lt;&gt;"", AE325/AA325,"")</f>
        <v/>
      </c>
      <c r="AG325" s="775"/>
      <c r="AH325" s="779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</row>
    <row r="326" spans="1:64" ht="19.5" customHeight="1" x14ac:dyDescent="0.25">
      <c r="A326" s="758"/>
      <c r="B326" s="737"/>
      <c r="C326" s="730"/>
      <c r="D326" s="739"/>
      <c r="E326" s="765"/>
      <c r="F326" s="765"/>
      <c r="G326" s="765"/>
      <c r="H326" s="765"/>
      <c r="I326" s="746" t="str">
        <f t="shared" si="16"/>
        <v/>
      </c>
      <c r="J326" s="731"/>
      <c r="K326" s="731" t="str">
        <f t="shared" si="15"/>
        <v/>
      </c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32"/>
      <c r="AB326" s="732"/>
      <c r="AC326" s="732"/>
      <c r="AD326" s="732"/>
      <c r="AE326" s="733"/>
      <c r="AF326" s="734" t="str">
        <f t="shared" si="17"/>
        <v/>
      </c>
      <c r="AG326" s="775"/>
      <c r="AH326" s="779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</row>
    <row r="327" spans="1:64" ht="18.75" x14ac:dyDescent="0.25">
      <c r="A327" s="758"/>
      <c r="B327" s="737"/>
      <c r="C327" s="730"/>
      <c r="D327" s="739"/>
      <c r="E327" s="765"/>
      <c r="F327" s="765"/>
      <c r="G327" s="765"/>
      <c r="H327" s="765"/>
      <c r="I327" s="746" t="str">
        <f t="shared" si="16"/>
        <v/>
      </c>
      <c r="J327" s="731"/>
      <c r="K327" s="731" t="str">
        <f t="shared" si="15"/>
        <v/>
      </c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32"/>
      <c r="AB327" s="732"/>
      <c r="AC327" s="732"/>
      <c r="AD327" s="732"/>
      <c r="AE327" s="733"/>
      <c r="AF327" s="734" t="str">
        <f t="shared" si="17"/>
        <v/>
      </c>
      <c r="AG327" s="773"/>
    </row>
    <row r="328" spans="1:64" ht="18.75" x14ac:dyDescent="0.25">
      <c r="A328" s="758"/>
      <c r="B328" s="737"/>
      <c r="C328" s="730"/>
      <c r="D328" s="739"/>
      <c r="E328" s="765"/>
      <c r="F328" s="765"/>
      <c r="G328" s="765"/>
      <c r="H328" s="765"/>
      <c r="I328" s="746" t="str">
        <f t="shared" si="16"/>
        <v/>
      </c>
      <c r="J328" s="731"/>
      <c r="K328" s="731" t="str">
        <f t="shared" si="15"/>
        <v/>
      </c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32"/>
      <c r="AB328" s="732"/>
      <c r="AC328" s="732"/>
      <c r="AD328" s="732"/>
      <c r="AE328" s="733"/>
      <c r="AF328" s="734" t="str">
        <f t="shared" si="17"/>
        <v/>
      </c>
      <c r="AG328" s="773"/>
    </row>
    <row r="329" spans="1:64" ht="18.75" x14ac:dyDescent="0.25">
      <c r="A329" s="758"/>
      <c r="B329" s="737"/>
      <c r="C329" s="730"/>
      <c r="D329" s="739"/>
      <c r="E329" s="765"/>
      <c r="F329" s="765"/>
      <c r="G329" s="765"/>
      <c r="H329" s="765"/>
      <c r="I329" s="746" t="str">
        <f t="shared" si="16"/>
        <v/>
      </c>
      <c r="J329" s="731"/>
      <c r="K329" s="731" t="str">
        <f t="shared" si="15"/>
        <v/>
      </c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32"/>
      <c r="AB329" s="732"/>
      <c r="AC329" s="732"/>
      <c r="AD329" s="732"/>
      <c r="AE329" s="733"/>
      <c r="AF329" s="734" t="str">
        <f t="shared" si="17"/>
        <v/>
      </c>
      <c r="AG329" s="773"/>
    </row>
    <row r="330" spans="1:64" ht="18.75" x14ac:dyDescent="0.25">
      <c r="A330" s="758"/>
      <c r="B330" s="737"/>
      <c r="C330" s="730"/>
      <c r="D330" s="739"/>
      <c r="E330" s="765"/>
      <c r="F330" s="765"/>
      <c r="G330" s="765"/>
      <c r="H330" s="765"/>
      <c r="I330" s="746" t="str">
        <f t="shared" si="16"/>
        <v/>
      </c>
      <c r="J330" s="731"/>
      <c r="K330" s="731" t="str">
        <f t="shared" si="15"/>
        <v/>
      </c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32"/>
      <c r="AB330" s="732"/>
      <c r="AC330" s="732"/>
      <c r="AD330" s="732"/>
      <c r="AE330" s="733"/>
      <c r="AF330" s="734" t="str">
        <f t="shared" si="17"/>
        <v/>
      </c>
      <c r="AG330" s="773"/>
    </row>
    <row r="331" spans="1:64" ht="18.75" x14ac:dyDescent="0.25">
      <c r="A331" s="758"/>
      <c r="B331" s="737"/>
      <c r="C331" s="730"/>
      <c r="D331" s="739"/>
      <c r="E331" s="765"/>
      <c r="F331" s="765"/>
      <c r="G331" s="765"/>
      <c r="H331" s="765"/>
      <c r="I331" s="746" t="str">
        <f t="shared" si="16"/>
        <v/>
      </c>
      <c r="J331" s="731"/>
      <c r="K331" s="731" t="str">
        <f t="shared" si="15"/>
        <v/>
      </c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32"/>
      <c r="AB331" s="732"/>
      <c r="AC331" s="732"/>
      <c r="AD331" s="732"/>
      <c r="AE331" s="733"/>
      <c r="AF331" s="734" t="str">
        <f t="shared" si="17"/>
        <v/>
      </c>
      <c r="AG331" s="773"/>
    </row>
    <row r="332" spans="1:64" ht="18.75" x14ac:dyDescent="0.25">
      <c r="A332" s="758"/>
      <c r="B332" s="737"/>
      <c r="C332" s="730"/>
      <c r="D332" s="739"/>
      <c r="E332" s="765"/>
      <c r="F332" s="765"/>
      <c r="G332" s="765"/>
      <c r="H332" s="765"/>
      <c r="I332" s="746" t="str">
        <f t="shared" si="16"/>
        <v/>
      </c>
      <c r="J332" s="731"/>
      <c r="K332" s="731" t="str">
        <f t="shared" si="15"/>
        <v/>
      </c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32"/>
      <c r="AB332" s="732"/>
      <c r="AC332" s="732"/>
      <c r="AD332" s="732"/>
      <c r="AE332" s="733"/>
      <c r="AF332" s="734" t="str">
        <f t="shared" si="17"/>
        <v/>
      </c>
      <c r="AG332" s="773"/>
    </row>
    <row r="333" spans="1:64" ht="18.75" x14ac:dyDescent="0.25">
      <c r="A333" s="758"/>
      <c r="B333" s="737"/>
      <c r="C333" s="730"/>
      <c r="D333" s="739"/>
      <c r="E333" s="765"/>
      <c r="F333" s="765"/>
      <c r="G333" s="765"/>
      <c r="H333" s="765"/>
      <c r="I333" s="746" t="str">
        <f t="shared" si="16"/>
        <v/>
      </c>
      <c r="J333" s="731"/>
      <c r="K333" s="731" t="str">
        <f t="shared" si="15"/>
        <v/>
      </c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32"/>
      <c r="AB333" s="732"/>
      <c r="AC333" s="732"/>
      <c r="AD333" s="732"/>
      <c r="AE333" s="733"/>
      <c r="AF333" s="734" t="str">
        <f t="shared" si="17"/>
        <v/>
      </c>
      <c r="AG333" s="775"/>
      <c r="AH333" s="779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</row>
    <row r="334" spans="1:64" ht="18.75" x14ac:dyDescent="0.25">
      <c r="A334" s="758"/>
      <c r="B334" s="737"/>
      <c r="C334" s="730"/>
      <c r="D334" s="739"/>
      <c r="E334" s="765"/>
      <c r="F334" s="765"/>
      <c r="G334" s="765"/>
      <c r="H334" s="765"/>
      <c r="I334" s="746" t="str">
        <f t="shared" si="16"/>
        <v/>
      </c>
      <c r="J334" s="731"/>
      <c r="K334" s="731" t="str">
        <f t="shared" si="15"/>
        <v/>
      </c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32"/>
      <c r="AB334" s="732"/>
      <c r="AC334" s="732"/>
      <c r="AD334" s="732"/>
      <c r="AE334" s="733"/>
      <c r="AF334" s="734" t="str">
        <f t="shared" si="17"/>
        <v/>
      </c>
      <c r="AG334" s="773"/>
    </row>
    <row r="335" spans="1:64" ht="18.75" x14ac:dyDescent="0.25">
      <c r="A335" s="758"/>
      <c r="B335" s="737"/>
      <c r="C335" s="730"/>
      <c r="D335" s="739"/>
      <c r="E335" s="765"/>
      <c r="F335" s="765"/>
      <c r="G335" s="765"/>
      <c r="H335" s="765"/>
      <c r="I335" s="746" t="str">
        <f t="shared" si="16"/>
        <v/>
      </c>
      <c r="J335" s="731"/>
      <c r="K335" s="731" t="str">
        <f t="shared" si="15"/>
        <v/>
      </c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32"/>
      <c r="AB335" s="732"/>
      <c r="AC335" s="732"/>
      <c r="AD335" s="732"/>
      <c r="AE335" s="733"/>
      <c r="AF335" s="734" t="str">
        <f t="shared" si="17"/>
        <v/>
      </c>
      <c r="AG335" s="773"/>
    </row>
    <row r="336" spans="1:64" ht="18.75" x14ac:dyDescent="0.25">
      <c r="A336" s="758"/>
      <c r="B336" s="737"/>
      <c r="C336" s="730"/>
      <c r="D336" s="739"/>
      <c r="E336" s="765"/>
      <c r="F336" s="765"/>
      <c r="G336" s="765"/>
      <c r="H336" s="765"/>
      <c r="I336" s="746" t="str">
        <f t="shared" si="16"/>
        <v/>
      </c>
      <c r="J336" s="731"/>
      <c r="K336" s="731" t="str">
        <f t="shared" si="15"/>
        <v/>
      </c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32"/>
      <c r="AB336" s="732"/>
      <c r="AC336" s="732"/>
      <c r="AD336" s="732"/>
      <c r="AE336" s="733"/>
      <c r="AF336" s="734" t="str">
        <f t="shared" si="17"/>
        <v/>
      </c>
      <c r="AG336" s="773"/>
    </row>
    <row r="337" spans="1:64" ht="18.75" x14ac:dyDescent="0.25">
      <c r="A337" s="758"/>
      <c r="B337" s="737"/>
      <c r="C337" s="730"/>
      <c r="D337" s="739"/>
      <c r="E337" s="765"/>
      <c r="F337" s="765"/>
      <c r="G337" s="765"/>
      <c r="H337" s="765"/>
      <c r="I337" s="746" t="str">
        <f t="shared" si="16"/>
        <v/>
      </c>
      <c r="J337" s="731"/>
      <c r="K337" s="731" t="str">
        <f t="shared" si="15"/>
        <v/>
      </c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32"/>
      <c r="AB337" s="732"/>
      <c r="AC337" s="732"/>
      <c r="AD337" s="732"/>
      <c r="AE337" s="733"/>
      <c r="AF337" s="734" t="str">
        <f t="shared" si="17"/>
        <v/>
      </c>
      <c r="AG337" s="773"/>
    </row>
    <row r="338" spans="1:64" ht="18.75" x14ac:dyDescent="0.25">
      <c r="A338" s="758"/>
      <c r="B338" s="737"/>
      <c r="C338" s="730"/>
      <c r="D338" s="739"/>
      <c r="E338" s="765"/>
      <c r="F338" s="765"/>
      <c r="G338" s="765"/>
      <c r="H338" s="765"/>
      <c r="I338" s="746" t="str">
        <f t="shared" si="16"/>
        <v/>
      </c>
      <c r="J338" s="731"/>
      <c r="K338" s="731" t="str">
        <f t="shared" si="15"/>
        <v/>
      </c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32"/>
      <c r="AB338" s="732"/>
      <c r="AC338" s="732"/>
      <c r="AD338" s="732"/>
      <c r="AE338" s="733"/>
      <c r="AF338" s="734" t="str">
        <f t="shared" si="17"/>
        <v/>
      </c>
      <c r="AG338" s="773"/>
    </row>
    <row r="339" spans="1:64" ht="18.75" x14ac:dyDescent="0.25">
      <c r="A339" s="758"/>
      <c r="B339" s="737"/>
      <c r="C339" s="730"/>
      <c r="D339" s="739"/>
      <c r="E339" s="765"/>
      <c r="F339" s="765"/>
      <c r="G339" s="765"/>
      <c r="H339" s="765"/>
      <c r="I339" s="746" t="str">
        <f t="shared" si="16"/>
        <v/>
      </c>
      <c r="J339" s="731"/>
      <c r="K339" s="731" t="str">
        <f t="shared" si="15"/>
        <v/>
      </c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32"/>
      <c r="AB339" s="732"/>
      <c r="AC339" s="732"/>
      <c r="AD339" s="732"/>
      <c r="AE339" s="733"/>
      <c r="AF339" s="734" t="str">
        <f t="shared" si="17"/>
        <v/>
      </c>
      <c r="AG339" s="773"/>
    </row>
    <row r="340" spans="1:64" ht="19.5" customHeight="1" x14ac:dyDescent="0.25">
      <c r="A340" s="758"/>
      <c r="B340" s="737"/>
      <c r="C340" s="730"/>
      <c r="D340" s="739"/>
      <c r="E340" s="765"/>
      <c r="F340" s="765"/>
      <c r="G340" s="765"/>
      <c r="H340" s="765"/>
      <c r="I340" s="746" t="str">
        <f t="shared" si="16"/>
        <v/>
      </c>
      <c r="J340" s="731"/>
      <c r="K340" s="731" t="str">
        <f t="shared" si="15"/>
        <v/>
      </c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32"/>
      <c r="AB340" s="732"/>
      <c r="AC340" s="732"/>
      <c r="AD340" s="732"/>
      <c r="AE340" s="733"/>
      <c r="AF340" s="734" t="str">
        <f t="shared" si="17"/>
        <v/>
      </c>
      <c r="AG340" s="775"/>
      <c r="AH340" s="779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</row>
    <row r="341" spans="1:64" ht="19.5" customHeight="1" x14ac:dyDescent="0.25">
      <c r="A341" s="758"/>
      <c r="B341" s="737"/>
      <c r="C341" s="730"/>
      <c r="D341" s="739"/>
      <c r="E341" s="765"/>
      <c r="F341" s="765"/>
      <c r="G341" s="765"/>
      <c r="H341" s="765"/>
      <c r="I341" s="746" t="str">
        <f t="shared" si="16"/>
        <v/>
      </c>
      <c r="J341" s="731"/>
      <c r="K341" s="731" t="str">
        <f t="shared" si="15"/>
        <v/>
      </c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32"/>
      <c r="AB341" s="732"/>
      <c r="AC341" s="732"/>
      <c r="AD341" s="732"/>
      <c r="AE341" s="733"/>
      <c r="AF341" s="734" t="str">
        <f t="shared" si="17"/>
        <v/>
      </c>
      <c r="AG341" s="775"/>
      <c r="AH341" s="779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</row>
    <row r="342" spans="1:64" ht="18.75" x14ac:dyDescent="0.25">
      <c r="A342" s="758"/>
      <c r="B342" s="737"/>
      <c r="C342" s="730"/>
      <c r="D342" s="739"/>
      <c r="E342" s="765"/>
      <c r="F342" s="765"/>
      <c r="G342" s="765"/>
      <c r="H342" s="765"/>
      <c r="I342" s="746" t="str">
        <f t="shared" si="16"/>
        <v/>
      </c>
      <c r="J342" s="731"/>
      <c r="K342" s="731" t="str">
        <f t="shared" si="15"/>
        <v/>
      </c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32"/>
      <c r="AB342" s="732"/>
      <c r="AC342" s="732"/>
      <c r="AD342" s="732"/>
      <c r="AE342" s="733"/>
      <c r="AF342" s="734" t="str">
        <f t="shared" si="17"/>
        <v/>
      </c>
      <c r="AG342" s="773"/>
    </row>
    <row r="343" spans="1:64" ht="18.75" x14ac:dyDescent="0.25">
      <c r="A343" s="758"/>
      <c r="B343" s="737"/>
      <c r="C343" s="730"/>
      <c r="D343" s="739"/>
      <c r="E343" s="765"/>
      <c r="F343" s="765"/>
      <c r="G343" s="765"/>
      <c r="H343" s="765"/>
      <c r="I343" s="746" t="str">
        <f t="shared" si="16"/>
        <v/>
      </c>
      <c r="J343" s="731"/>
      <c r="K343" s="731" t="str">
        <f t="shared" si="15"/>
        <v/>
      </c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32"/>
      <c r="AB343" s="732"/>
      <c r="AC343" s="732"/>
      <c r="AD343" s="732"/>
      <c r="AE343" s="733"/>
      <c r="AF343" s="734" t="str">
        <f t="shared" si="17"/>
        <v/>
      </c>
      <c r="AG343" s="773"/>
    </row>
    <row r="344" spans="1:64" ht="18.75" x14ac:dyDescent="0.25">
      <c r="A344" s="758"/>
      <c r="B344" s="737"/>
      <c r="C344" s="730"/>
      <c r="D344" s="739"/>
      <c r="E344" s="765"/>
      <c r="F344" s="765"/>
      <c r="G344" s="765"/>
      <c r="H344" s="765"/>
      <c r="I344" s="746" t="str">
        <f t="shared" si="16"/>
        <v/>
      </c>
      <c r="J344" s="731"/>
      <c r="K344" s="731" t="str">
        <f t="shared" si="15"/>
        <v/>
      </c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32"/>
      <c r="AB344" s="732"/>
      <c r="AC344" s="732"/>
      <c r="AD344" s="732"/>
      <c r="AE344" s="733"/>
      <c r="AF344" s="734" t="str">
        <f t="shared" si="17"/>
        <v/>
      </c>
      <c r="AG344" s="773"/>
    </row>
    <row r="345" spans="1:64" ht="18.75" x14ac:dyDescent="0.25">
      <c r="A345" s="758"/>
      <c r="B345" s="737"/>
      <c r="C345" s="730"/>
      <c r="D345" s="739"/>
      <c r="E345" s="765"/>
      <c r="F345" s="765"/>
      <c r="G345" s="765"/>
      <c r="H345" s="765"/>
      <c r="I345" s="746" t="str">
        <f t="shared" si="16"/>
        <v/>
      </c>
      <c r="J345" s="731"/>
      <c r="K345" s="731" t="str">
        <f t="shared" si="15"/>
        <v/>
      </c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32"/>
      <c r="AB345" s="732"/>
      <c r="AC345" s="732"/>
      <c r="AD345" s="732"/>
      <c r="AE345" s="733"/>
      <c r="AF345" s="734" t="str">
        <f t="shared" si="17"/>
        <v/>
      </c>
      <c r="AG345" s="773"/>
    </row>
    <row r="346" spans="1:64" ht="18.75" x14ac:dyDescent="0.25">
      <c r="A346" s="758"/>
      <c r="B346" s="737"/>
      <c r="C346" s="730"/>
      <c r="D346" s="739"/>
      <c r="E346" s="765"/>
      <c r="F346" s="765"/>
      <c r="G346" s="765"/>
      <c r="H346" s="765"/>
      <c r="I346" s="746" t="str">
        <f t="shared" si="16"/>
        <v/>
      </c>
      <c r="J346" s="731"/>
      <c r="K346" s="731" t="str">
        <f t="shared" si="15"/>
        <v/>
      </c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32"/>
      <c r="AB346" s="732"/>
      <c r="AC346" s="732"/>
      <c r="AD346" s="732"/>
      <c r="AE346" s="733"/>
      <c r="AF346" s="734" t="str">
        <f t="shared" si="17"/>
        <v/>
      </c>
      <c r="AG346" s="773"/>
    </row>
    <row r="347" spans="1:64" ht="18.75" x14ac:dyDescent="0.25">
      <c r="A347" s="758"/>
      <c r="B347" s="737"/>
      <c r="C347" s="730"/>
      <c r="D347" s="739"/>
      <c r="E347" s="765"/>
      <c r="F347" s="765"/>
      <c r="G347" s="765"/>
      <c r="H347" s="765"/>
      <c r="I347" s="746" t="str">
        <f t="shared" si="16"/>
        <v/>
      </c>
      <c r="J347" s="731"/>
      <c r="K347" s="731" t="str">
        <f t="shared" si="15"/>
        <v/>
      </c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32"/>
      <c r="AB347" s="732"/>
      <c r="AC347" s="732"/>
      <c r="AD347" s="732"/>
      <c r="AE347" s="733"/>
      <c r="AF347" s="734" t="str">
        <f t="shared" si="17"/>
        <v/>
      </c>
      <c r="AG347" s="773"/>
    </row>
    <row r="348" spans="1:64" ht="18.75" x14ac:dyDescent="0.25">
      <c r="A348" s="758"/>
      <c r="B348" s="737"/>
      <c r="C348" s="730"/>
      <c r="D348" s="739"/>
      <c r="E348" s="765"/>
      <c r="F348" s="765"/>
      <c r="G348" s="765"/>
      <c r="H348" s="765"/>
      <c r="I348" s="746" t="str">
        <f t="shared" si="16"/>
        <v/>
      </c>
      <c r="J348" s="731"/>
      <c r="K348" s="731" t="str">
        <f t="shared" si="15"/>
        <v/>
      </c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32"/>
      <c r="AB348" s="732"/>
      <c r="AC348" s="732"/>
      <c r="AD348" s="732"/>
      <c r="AE348" s="733"/>
      <c r="AF348" s="734" t="str">
        <f t="shared" si="17"/>
        <v/>
      </c>
      <c r="AG348" s="775"/>
      <c r="AH348" s="779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</row>
    <row r="349" spans="1:64" ht="18.75" x14ac:dyDescent="0.25">
      <c r="A349" s="758"/>
      <c r="B349" s="737"/>
      <c r="C349" s="730"/>
      <c r="D349" s="739"/>
      <c r="E349" s="765"/>
      <c r="F349" s="765"/>
      <c r="G349" s="765"/>
      <c r="H349" s="765"/>
      <c r="I349" s="746" t="str">
        <f t="shared" si="16"/>
        <v/>
      </c>
      <c r="J349" s="731"/>
      <c r="K349" s="731" t="str">
        <f t="shared" si="15"/>
        <v/>
      </c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32"/>
      <c r="AB349" s="732"/>
      <c r="AC349" s="732"/>
      <c r="AD349" s="732"/>
      <c r="AE349" s="733"/>
      <c r="AF349" s="734" t="str">
        <f t="shared" si="17"/>
        <v/>
      </c>
      <c r="AG349" s="773"/>
    </row>
    <row r="350" spans="1:64" ht="18.75" x14ac:dyDescent="0.25">
      <c r="A350" s="758"/>
      <c r="B350" s="737"/>
      <c r="C350" s="730"/>
      <c r="D350" s="739"/>
      <c r="E350" s="765"/>
      <c r="F350" s="765"/>
      <c r="G350" s="765"/>
      <c r="H350" s="765"/>
      <c r="I350" s="746" t="str">
        <f t="shared" si="16"/>
        <v/>
      </c>
      <c r="J350" s="731"/>
      <c r="K350" s="731" t="str">
        <f t="shared" si="15"/>
        <v/>
      </c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32"/>
      <c r="AB350" s="732"/>
      <c r="AC350" s="732"/>
      <c r="AD350" s="732"/>
      <c r="AE350" s="733"/>
      <c r="AF350" s="734" t="str">
        <f t="shared" si="17"/>
        <v/>
      </c>
      <c r="AG350" s="773"/>
    </row>
    <row r="351" spans="1:64" ht="18.75" x14ac:dyDescent="0.25">
      <c r="A351" s="758"/>
      <c r="B351" s="737"/>
      <c r="C351" s="730"/>
      <c r="D351" s="739"/>
      <c r="E351" s="765"/>
      <c r="F351" s="765"/>
      <c r="G351" s="765"/>
      <c r="H351" s="765"/>
      <c r="I351" s="746" t="str">
        <f t="shared" si="16"/>
        <v/>
      </c>
      <c r="J351" s="731"/>
      <c r="K351" s="731" t="str">
        <f t="shared" si="15"/>
        <v/>
      </c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32"/>
      <c r="AB351" s="732"/>
      <c r="AC351" s="732"/>
      <c r="AD351" s="732"/>
      <c r="AE351" s="733"/>
      <c r="AF351" s="734" t="str">
        <f t="shared" si="17"/>
        <v/>
      </c>
      <c r="AG351" s="773"/>
    </row>
    <row r="352" spans="1:64" ht="18.75" x14ac:dyDescent="0.25">
      <c r="A352" s="758"/>
      <c r="B352" s="737"/>
      <c r="C352" s="730"/>
      <c r="D352" s="739"/>
      <c r="E352" s="765"/>
      <c r="F352" s="765"/>
      <c r="G352" s="765"/>
      <c r="H352" s="765"/>
      <c r="I352" s="746" t="str">
        <f t="shared" si="16"/>
        <v/>
      </c>
      <c r="J352" s="731"/>
      <c r="K352" s="731" t="str">
        <f t="shared" si="15"/>
        <v/>
      </c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32"/>
      <c r="AB352" s="732"/>
      <c r="AC352" s="732"/>
      <c r="AD352" s="732"/>
      <c r="AE352" s="733"/>
      <c r="AF352" s="734" t="str">
        <f t="shared" si="17"/>
        <v/>
      </c>
      <c r="AG352" s="773"/>
    </row>
    <row r="353" spans="1:64" ht="18.75" x14ac:dyDescent="0.25">
      <c r="A353" s="758"/>
      <c r="B353" s="737"/>
      <c r="C353" s="730"/>
      <c r="D353" s="739"/>
      <c r="E353" s="765"/>
      <c r="F353" s="765"/>
      <c r="G353" s="765"/>
      <c r="H353" s="765"/>
      <c r="I353" s="746" t="str">
        <f t="shared" si="16"/>
        <v/>
      </c>
      <c r="J353" s="731"/>
      <c r="K353" s="731" t="str">
        <f t="shared" si="15"/>
        <v/>
      </c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32"/>
      <c r="AB353" s="732"/>
      <c r="AC353" s="732"/>
      <c r="AD353" s="732"/>
      <c r="AE353" s="733"/>
      <c r="AF353" s="734" t="str">
        <f t="shared" si="17"/>
        <v/>
      </c>
      <c r="AG353" s="773"/>
    </row>
    <row r="354" spans="1:64" ht="18.75" customHeight="1" x14ac:dyDescent="0.25">
      <c r="A354" s="758"/>
      <c r="B354" s="737"/>
      <c r="C354" s="730"/>
      <c r="D354" s="739"/>
      <c r="E354" s="765"/>
      <c r="F354" s="765"/>
      <c r="G354" s="765"/>
      <c r="H354" s="765"/>
      <c r="I354" s="746" t="str">
        <f t="shared" si="16"/>
        <v/>
      </c>
      <c r="J354" s="731"/>
      <c r="K354" s="731" t="str">
        <f t="shared" si="15"/>
        <v/>
      </c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32"/>
      <c r="AB354" s="732"/>
      <c r="AC354" s="732"/>
      <c r="AD354" s="732"/>
      <c r="AE354" s="733"/>
      <c r="AF354" s="734" t="str">
        <f t="shared" si="17"/>
        <v/>
      </c>
      <c r="AG354" s="772"/>
      <c r="AH354" s="777"/>
      <c r="AI354" s="735"/>
      <c r="AJ354" s="735"/>
      <c r="AK354" s="735"/>
      <c r="AL354" s="735"/>
      <c r="AM354" s="735"/>
      <c r="AN354" s="735"/>
      <c r="AO354" s="735"/>
      <c r="AP354" s="735"/>
      <c r="AQ354" s="735"/>
      <c r="AR354" s="735"/>
      <c r="AS354" s="735"/>
      <c r="AT354" s="735"/>
      <c r="AU354" s="735"/>
      <c r="AV354" s="735"/>
      <c r="AW354" s="735"/>
      <c r="AX354" s="735"/>
      <c r="AY354" s="735"/>
      <c r="AZ354" s="735"/>
      <c r="BA354" s="735"/>
      <c r="BB354" s="735"/>
      <c r="BC354" s="735"/>
      <c r="BD354" s="735"/>
      <c r="BE354" s="735"/>
      <c r="BF354" s="735"/>
      <c r="BG354" s="735"/>
      <c r="BH354" s="735"/>
      <c r="BI354" s="735"/>
      <c r="BJ354" s="735"/>
      <c r="BK354" s="735"/>
      <c r="BL354" s="735"/>
    </row>
    <row r="355" spans="1:64" ht="19.5" customHeight="1" x14ac:dyDescent="0.25">
      <c r="A355" s="758"/>
      <c r="B355" s="737"/>
      <c r="C355" s="730"/>
      <c r="D355" s="739"/>
      <c r="E355" s="765"/>
      <c r="F355" s="765"/>
      <c r="G355" s="765"/>
      <c r="H355" s="765"/>
      <c r="I355" s="746" t="str">
        <f t="shared" si="16"/>
        <v/>
      </c>
      <c r="J355" s="731"/>
      <c r="K355" s="731" t="str">
        <f t="shared" si="15"/>
        <v/>
      </c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32"/>
      <c r="AB355" s="732"/>
      <c r="AC355" s="732"/>
      <c r="AD355" s="732"/>
      <c r="AE355" s="733"/>
      <c r="AF355" s="734" t="str">
        <f t="shared" si="17"/>
        <v/>
      </c>
      <c r="AG355" s="772"/>
      <c r="AH355" s="777"/>
      <c r="AI355" s="735"/>
      <c r="AJ355" s="735"/>
      <c r="AK355" s="735"/>
      <c r="AL355" s="735"/>
      <c r="AM355" s="735"/>
      <c r="AN355" s="735"/>
      <c r="AO355" s="735"/>
      <c r="AP355" s="735"/>
      <c r="AQ355" s="735"/>
      <c r="AR355" s="735"/>
      <c r="AS355" s="735"/>
      <c r="AT355" s="735"/>
      <c r="AU355" s="735"/>
      <c r="AV355" s="735"/>
      <c r="AW355" s="735"/>
      <c r="AX355" s="735"/>
      <c r="AY355" s="735"/>
      <c r="AZ355" s="735"/>
      <c r="BA355" s="735"/>
      <c r="BB355" s="735"/>
      <c r="BC355" s="735"/>
      <c r="BD355" s="735"/>
      <c r="BE355" s="735"/>
      <c r="BF355" s="735"/>
      <c r="BG355" s="735"/>
      <c r="BH355" s="735"/>
      <c r="BI355" s="735"/>
      <c r="BJ355" s="735"/>
      <c r="BK355" s="735"/>
      <c r="BL355" s="735"/>
    </row>
    <row r="356" spans="1:64" ht="19.5" customHeight="1" x14ac:dyDescent="0.25">
      <c r="A356" s="758"/>
      <c r="B356" s="737"/>
      <c r="C356" s="730"/>
      <c r="D356" s="739"/>
      <c r="E356" s="765"/>
      <c r="F356" s="765"/>
      <c r="G356" s="765"/>
      <c r="H356" s="765"/>
      <c r="I356" s="746" t="str">
        <f t="shared" si="16"/>
        <v/>
      </c>
      <c r="J356" s="731"/>
      <c r="K356" s="731" t="str">
        <f t="shared" si="15"/>
        <v/>
      </c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32"/>
      <c r="AB356" s="732"/>
      <c r="AC356" s="732"/>
      <c r="AD356" s="732"/>
      <c r="AE356" s="733"/>
      <c r="AF356" s="734" t="str">
        <f t="shared" si="17"/>
        <v/>
      </c>
      <c r="AG356" s="772"/>
      <c r="AH356" s="777"/>
      <c r="AI356" s="735"/>
      <c r="AJ356" s="735"/>
      <c r="AK356" s="735"/>
      <c r="AL356" s="735"/>
      <c r="AM356" s="735"/>
      <c r="AN356" s="735"/>
      <c r="AO356" s="735"/>
      <c r="AP356" s="735"/>
      <c r="AQ356" s="735"/>
      <c r="AR356" s="735"/>
      <c r="AS356" s="735"/>
      <c r="AT356" s="735"/>
      <c r="AU356" s="735"/>
      <c r="AV356" s="735"/>
      <c r="AW356" s="735"/>
      <c r="AX356" s="735"/>
      <c r="AY356" s="735"/>
      <c r="AZ356" s="735"/>
      <c r="BA356" s="735"/>
      <c r="BB356" s="735"/>
      <c r="BC356" s="735"/>
      <c r="BD356" s="735"/>
      <c r="BE356" s="735"/>
      <c r="BF356" s="735"/>
      <c r="BG356" s="735"/>
      <c r="BH356" s="735"/>
      <c r="BI356" s="735"/>
      <c r="BJ356" s="735"/>
      <c r="BK356" s="735"/>
      <c r="BL356" s="735"/>
    </row>
    <row r="357" spans="1:64" ht="19.5" customHeight="1" x14ac:dyDescent="0.25">
      <c r="A357" s="758"/>
      <c r="B357" s="737"/>
      <c r="C357" s="730"/>
      <c r="D357" s="739"/>
      <c r="E357" s="765"/>
      <c r="F357" s="765"/>
      <c r="G357" s="765"/>
      <c r="H357" s="765"/>
      <c r="I357" s="746" t="str">
        <f t="shared" si="16"/>
        <v/>
      </c>
      <c r="J357" s="731"/>
      <c r="K357" s="731" t="str">
        <f t="shared" si="15"/>
        <v/>
      </c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32"/>
      <c r="AB357" s="732"/>
      <c r="AC357" s="732"/>
      <c r="AD357" s="732"/>
      <c r="AE357" s="733"/>
      <c r="AF357" s="734" t="str">
        <f t="shared" si="17"/>
        <v/>
      </c>
      <c r="AG357" s="772"/>
      <c r="AH357" s="777"/>
      <c r="AI357" s="735"/>
      <c r="AJ357" s="735"/>
      <c r="AK357" s="735"/>
      <c r="AL357" s="735"/>
      <c r="AM357" s="735"/>
      <c r="AN357" s="735"/>
      <c r="AO357" s="735"/>
      <c r="AP357" s="735"/>
      <c r="AQ357" s="735"/>
      <c r="AR357" s="735"/>
      <c r="AS357" s="735"/>
      <c r="AT357" s="735"/>
      <c r="AU357" s="735"/>
      <c r="AV357" s="735"/>
      <c r="AW357" s="735"/>
      <c r="AX357" s="735"/>
      <c r="AY357" s="735"/>
      <c r="AZ357" s="735"/>
      <c r="BA357" s="735"/>
      <c r="BB357" s="735"/>
      <c r="BC357" s="735"/>
      <c r="BD357" s="735"/>
      <c r="BE357" s="735"/>
      <c r="BF357" s="735"/>
      <c r="BG357" s="735"/>
      <c r="BH357" s="735"/>
      <c r="BI357" s="735"/>
      <c r="BJ357" s="735"/>
      <c r="BK357" s="735"/>
      <c r="BL357" s="735"/>
    </row>
    <row r="358" spans="1:64" ht="18.75" x14ac:dyDescent="0.25">
      <c r="A358" s="758"/>
      <c r="B358" s="737"/>
      <c r="C358" s="730"/>
      <c r="D358" s="739"/>
      <c r="E358" s="765"/>
      <c r="F358" s="765"/>
      <c r="G358" s="765"/>
      <c r="H358" s="765"/>
      <c r="I358" s="746" t="str">
        <f t="shared" si="16"/>
        <v/>
      </c>
      <c r="J358" s="731"/>
      <c r="K358" s="731" t="str">
        <f t="shared" si="15"/>
        <v/>
      </c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32"/>
      <c r="AB358" s="732"/>
      <c r="AC358" s="732"/>
      <c r="AD358" s="732"/>
      <c r="AE358" s="733"/>
      <c r="AF358" s="734" t="str">
        <f t="shared" si="17"/>
        <v/>
      </c>
      <c r="AG358" s="773"/>
    </row>
    <row r="359" spans="1:64" ht="18.75" x14ac:dyDescent="0.25">
      <c r="A359" s="758"/>
      <c r="B359" s="737"/>
      <c r="C359" s="730"/>
      <c r="D359" s="739"/>
      <c r="E359" s="765"/>
      <c r="F359" s="765"/>
      <c r="G359" s="765"/>
      <c r="H359" s="765"/>
      <c r="I359" s="746" t="str">
        <f t="shared" si="16"/>
        <v/>
      </c>
      <c r="J359" s="731"/>
      <c r="K359" s="731" t="str">
        <f t="shared" si="15"/>
        <v/>
      </c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32"/>
      <c r="AB359" s="732"/>
      <c r="AC359" s="732"/>
      <c r="AD359" s="732"/>
      <c r="AE359" s="733"/>
      <c r="AF359" s="734" t="str">
        <f t="shared" si="17"/>
        <v/>
      </c>
      <c r="AG359" s="773"/>
    </row>
    <row r="360" spans="1:64" ht="18.75" x14ac:dyDescent="0.25">
      <c r="A360" s="758"/>
      <c r="B360" s="737"/>
      <c r="C360" s="730"/>
      <c r="D360" s="739"/>
      <c r="E360" s="765"/>
      <c r="F360" s="765"/>
      <c r="G360" s="765"/>
      <c r="H360" s="765"/>
      <c r="I360" s="746" t="str">
        <f t="shared" si="16"/>
        <v/>
      </c>
      <c r="J360" s="731"/>
      <c r="K360" s="731" t="str">
        <f t="shared" si="15"/>
        <v/>
      </c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32"/>
      <c r="AB360" s="732"/>
      <c r="AC360" s="732"/>
      <c r="AD360" s="732"/>
      <c r="AE360" s="733"/>
      <c r="AF360" s="734" t="str">
        <f t="shared" si="17"/>
        <v/>
      </c>
      <c r="AG360" s="773"/>
    </row>
    <row r="361" spans="1:64" ht="18.75" x14ac:dyDescent="0.25">
      <c r="A361" s="758"/>
      <c r="B361" s="737"/>
      <c r="C361" s="730"/>
      <c r="D361" s="739"/>
      <c r="E361" s="765"/>
      <c r="F361" s="765"/>
      <c r="G361" s="765"/>
      <c r="H361" s="765"/>
      <c r="I361" s="746" t="str">
        <f t="shared" si="16"/>
        <v/>
      </c>
      <c r="J361" s="731"/>
      <c r="K361" s="731" t="str">
        <f t="shared" si="15"/>
        <v/>
      </c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32"/>
      <c r="AB361" s="732"/>
      <c r="AC361" s="732"/>
      <c r="AD361" s="732"/>
      <c r="AE361" s="733"/>
      <c r="AF361" s="734" t="str">
        <f t="shared" si="17"/>
        <v/>
      </c>
      <c r="AG361" s="773"/>
    </row>
    <row r="362" spans="1:64" ht="18.75" x14ac:dyDescent="0.25">
      <c r="A362" s="758"/>
      <c r="B362" s="737"/>
      <c r="C362" s="730"/>
      <c r="D362" s="739"/>
      <c r="E362" s="765"/>
      <c r="F362" s="765"/>
      <c r="G362" s="765"/>
      <c r="H362" s="765"/>
      <c r="I362" s="746" t="str">
        <f t="shared" si="16"/>
        <v/>
      </c>
      <c r="J362" s="731"/>
      <c r="K362" s="731" t="str">
        <f t="shared" si="15"/>
        <v/>
      </c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32"/>
      <c r="AB362" s="732"/>
      <c r="AC362" s="732"/>
      <c r="AD362" s="732"/>
      <c r="AE362" s="733"/>
      <c r="AF362" s="734" t="str">
        <f t="shared" si="17"/>
        <v/>
      </c>
      <c r="AG362" s="773"/>
    </row>
    <row r="363" spans="1:64" ht="18.75" x14ac:dyDescent="0.25">
      <c r="A363" s="758"/>
      <c r="B363" s="737"/>
      <c r="C363" s="730"/>
      <c r="D363" s="739"/>
      <c r="E363" s="765"/>
      <c r="F363" s="765"/>
      <c r="G363" s="765"/>
      <c r="H363" s="765"/>
      <c r="I363" s="746" t="str">
        <f t="shared" si="16"/>
        <v/>
      </c>
      <c r="J363" s="731"/>
      <c r="K363" s="731" t="str">
        <f t="shared" si="15"/>
        <v/>
      </c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32"/>
      <c r="AB363" s="732"/>
      <c r="AC363" s="732"/>
      <c r="AD363" s="732"/>
      <c r="AE363" s="733"/>
      <c r="AF363" s="734" t="str">
        <f t="shared" si="17"/>
        <v/>
      </c>
      <c r="AG363" s="773"/>
    </row>
    <row r="364" spans="1:64" ht="18.75" x14ac:dyDescent="0.25">
      <c r="A364" s="758"/>
      <c r="B364" s="737"/>
      <c r="C364" s="730"/>
      <c r="D364" s="739"/>
      <c r="E364" s="765"/>
      <c r="F364" s="765"/>
      <c r="G364" s="765"/>
      <c r="H364" s="765"/>
      <c r="I364" s="746" t="str">
        <f t="shared" si="16"/>
        <v/>
      </c>
      <c r="J364" s="731"/>
      <c r="K364" s="731" t="str">
        <f t="shared" si="15"/>
        <v/>
      </c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32"/>
      <c r="AB364" s="732"/>
      <c r="AC364" s="732"/>
      <c r="AD364" s="732"/>
      <c r="AE364" s="733"/>
      <c r="AF364" s="734" t="str">
        <f t="shared" si="17"/>
        <v/>
      </c>
      <c r="AG364" s="773"/>
    </row>
    <row r="365" spans="1:64" ht="18.75" x14ac:dyDescent="0.25">
      <c r="A365" s="758"/>
      <c r="B365" s="737"/>
      <c r="C365" s="730"/>
      <c r="D365" s="739"/>
      <c r="E365" s="765"/>
      <c r="F365" s="765"/>
      <c r="G365" s="765"/>
      <c r="H365" s="765"/>
      <c r="I365" s="746" t="str">
        <f t="shared" si="16"/>
        <v/>
      </c>
      <c r="J365" s="731"/>
      <c r="K365" s="731" t="str">
        <f t="shared" si="15"/>
        <v/>
      </c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32"/>
      <c r="AB365" s="732"/>
      <c r="AC365" s="732"/>
      <c r="AD365" s="732"/>
      <c r="AE365" s="733"/>
      <c r="AF365" s="734" t="str">
        <f t="shared" si="17"/>
        <v/>
      </c>
      <c r="AG365" s="773"/>
    </row>
    <row r="366" spans="1:64" ht="18.75" x14ac:dyDescent="0.25">
      <c r="A366" s="758"/>
      <c r="B366" s="737"/>
      <c r="C366" s="730"/>
      <c r="D366" s="739"/>
      <c r="E366" s="765"/>
      <c r="F366" s="765"/>
      <c r="G366" s="765"/>
      <c r="H366" s="765"/>
      <c r="I366" s="746" t="str">
        <f t="shared" si="16"/>
        <v/>
      </c>
      <c r="J366" s="731"/>
      <c r="K366" s="731" t="str">
        <f t="shared" si="15"/>
        <v/>
      </c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32"/>
      <c r="AB366" s="732"/>
      <c r="AC366" s="732"/>
      <c r="AD366" s="732"/>
      <c r="AE366" s="733"/>
      <c r="AF366" s="734" t="str">
        <f t="shared" si="17"/>
        <v/>
      </c>
      <c r="AG366" s="773"/>
    </row>
    <row r="367" spans="1:64" ht="18.75" x14ac:dyDescent="0.25">
      <c r="A367" s="758"/>
      <c r="B367" s="737"/>
      <c r="C367" s="730"/>
      <c r="D367" s="739"/>
      <c r="E367" s="765"/>
      <c r="F367" s="765"/>
      <c r="G367" s="765"/>
      <c r="H367" s="765"/>
      <c r="I367" s="746" t="str">
        <f t="shared" si="16"/>
        <v/>
      </c>
      <c r="J367" s="731"/>
      <c r="K367" s="731" t="str">
        <f t="shared" si="15"/>
        <v/>
      </c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32"/>
      <c r="AB367" s="732"/>
      <c r="AC367" s="732"/>
      <c r="AD367" s="732"/>
      <c r="AE367" s="733"/>
      <c r="AF367" s="734" t="str">
        <f t="shared" si="17"/>
        <v/>
      </c>
      <c r="AG367" s="773"/>
    </row>
    <row r="368" spans="1:64" ht="18.75" x14ac:dyDescent="0.25">
      <c r="A368" s="758"/>
      <c r="B368" s="737"/>
      <c r="C368" s="730"/>
      <c r="D368" s="739"/>
      <c r="E368" s="765"/>
      <c r="F368" s="765"/>
      <c r="G368" s="765"/>
      <c r="H368" s="765"/>
      <c r="I368" s="746" t="str">
        <f t="shared" si="16"/>
        <v/>
      </c>
      <c r="J368" s="731"/>
      <c r="K368" s="731" t="str">
        <f t="shared" si="15"/>
        <v/>
      </c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32"/>
      <c r="AB368" s="732"/>
      <c r="AC368" s="732"/>
      <c r="AD368" s="732"/>
      <c r="AE368" s="733"/>
      <c r="AF368" s="734" t="str">
        <f t="shared" si="17"/>
        <v/>
      </c>
      <c r="AG368" s="773"/>
    </row>
    <row r="369" spans="1:64" ht="18.75" x14ac:dyDescent="0.25">
      <c r="A369" s="758"/>
      <c r="B369" s="737"/>
      <c r="C369" s="730"/>
      <c r="D369" s="739"/>
      <c r="E369" s="765"/>
      <c r="F369" s="765"/>
      <c r="G369" s="765"/>
      <c r="H369" s="765"/>
      <c r="I369" s="746" t="str">
        <f t="shared" si="16"/>
        <v/>
      </c>
      <c r="J369" s="731"/>
      <c r="K369" s="731" t="str">
        <f t="shared" si="15"/>
        <v/>
      </c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32"/>
      <c r="AB369" s="732"/>
      <c r="AC369" s="732"/>
      <c r="AD369" s="732"/>
      <c r="AE369" s="733"/>
      <c r="AF369" s="734" t="str">
        <f t="shared" si="17"/>
        <v/>
      </c>
      <c r="AG369" s="773"/>
    </row>
    <row r="370" spans="1:64" ht="18.75" x14ac:dyDescent="0.25">
      <c r="A370" s="758"/>
      <c r="B370" s="737"/>
      <c r="C370" s="730"/>
      <c r="D370" s="739"/>
      <c r="E370" s="765"/>
      <c r="F370" s="765"/>
      <c r="G370" s="765"/>
      <c r="H370" s="765"/>
      <c r="I370" s="746" t="str">
        <f t="shared" si="16"/>
        <v/>
      </c>
      <c r="J370" s="731"/>
      <c r="K370" s="731" t="str">
        <f t="shared" si="15"/>
        <v/>
      </c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32"/>
      <c r="AB370" s="732"/>
      <c r="AC370" s="732"/>
      <c r="AD370" s="732"/>
      <c r="AE370" s="733"/>
      <c r="AF370" s="734" t="str">
        <f t="shared" si="17"/>
        <v/>
      </c>
      <c r="AG370" s="773"/>
    </row>
    <row r="371" spans="1:64" ht="18.75" x14ac:dyDescent="0.25">
      <c r="A371" s="758"/>
      <c r="B371" s="737"/>
      <c r="C371" s="730"/>
      <c r="D371" s="739"/>
      <c r="E371" s="765"/>
      <c r="F371" s="765"/>
      <c r="G371" s="765"/>
      <c r="H371" s="765"/>
      <c r="I371" s="746" t="str">
        <f t="shared" si="16"/>
        <v/>
      </c>
      <c r="J371" s="731"/>
      <c r="K371" s="731" t="str">
        <f t="shared" si="15"/>
        <v/>
      </c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32"/>
      <c r="AB371" s="732"/>
      <c r="AC371" s="732"/>
      <c r="AD371" s="732"/>
      <c r="AE371" s="733"/>
      <c r="AF371" s="734" t="str">
        <f t="shared" si="17"/>
        <v/>
      </c>
      <c r="AG371" s="773"/>
    </row>
    <row r="372" spans="1:64" ht="18.75" x14ac:dyDescent="0.25">
      <c r="A372" s="758"/>
      <c r="B372" s="737"/>
      <c r="C372" s="730"/>
      <c r="D372" s="739"/>
      <c r="E372" s="765"/>
      <c r="F372" s="765"/>
      <c r="G372" s="765"/>
      <c r="H372" s="765"/>
      <c r="I372" s="746" t="str">
        <f t="shared" si="16"/>
        <v/>
      </c>
      <c r="J372" s="731"/>
      <c r="K372" s="731" t="str">
        <f t="shared" si="15"/>
        <v/>
      </c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32"/>
      <c r="AB372" s="732"/>
      <c r="AC372" s="732"/>
      <c r="AD372" s="732"/>
      <c r="AE372" s="733"/>
      <c r="AF372" s="734" t="str">
        <f t="shared" si="17"/>
        <v/>
      </c>
      <c r="AG372" s="773"/>
    </row>
    <row r="373" spans="1:64" ht="18.75" x14ac:dyDescent="0.25">
      <c r="A373" s="758"/>
      <c r="B373" s="737"/>
      <c r="C373" s="730"/>
      <c r="D373" s="739"/>
      <c r="E373" s="765"/>
      <c r="F373" s="765"/>
      <c r="G373" s="765"/>
      <c r="H373" s="765"/>
      <c r="I373" s="746" t="str">
        <f t="shared" si="16"/>
        <v/>
      </c>
      <c r="J373" s="731"/>
      <c r="K373" s="731" t="str">
        <f t="shared" si="15"/>
        <v/>
      </c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32"/>
      <c r="AB373" s="732"/>
      <c r="AC373" s="732"/>
      <c r="AD373" s="732"/>
      <c r="AE373" s="733"/>
      <c r="AF373" s="734" t="str">
        <f t="shared" si="17"/>
        <v/>
      </c>
      <c r="AG373" s="773"/>
    </row>
    <row r="374" spans="1:64" ht="18.75" x14ac:dyDescent="0.25">
      <c r="A374" s="758"/>
      <c r="B374" s="737"/>
      <c r="C374" s="730"/>
      <c r="D374" s="739"/>
      <c r="E374" s="765"/>
      <c r="F374" s="765"/>
      <c r="G374" s="765"/>
      <c r="H374" s="765"/>
      <c r="I374" s="746" t="str">
        <f t="shared" si="16"/>
        <v/>
      </c>
      <c r="J374" s="731"/>
      <c r="K374" s="731" t="str">
        <f t="shared" si="15"/>
        <v/>
      </c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32"/>
      <c r="AB374" s="732"/>
      <c r="AC374" s="732"/>
      <c r="AD374" s="732"/>
      <c r="AE374" s="733"/>
      <c r="AF374" s="734" t="str">
        <f t="shared" si="17"/>
        <v/>
      </c>
      <c r="AG374" s="773"/>
    </row>
    <row r="375" spans="1:64" ht="18.75" x14ac:dyDescent="0.25">
      <c r="A375" s="758"/>
      <c r="B375" s="737"/>
      <c r="C375" s="730"/>
      <c r="D375" s="739"/>
      <c r="E375" s="765"/>
      <c r="F375" s="765"/>
      <c r="G375" s="765"/>
      <c r="H375" s="765"/>
      <c r="I375" s="746" t="str">
        <f t="shared" si="16"/>
        <v/>
      </c>
      <c r="J375" s="731"/>
      <c r="K375" s="731" t="str">
        <f t="shared" si="15"/>
        <v/>
      </c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32"/>
      <c r="AB375" s="732"/>
      <c r="AC375" s="732"/>
      <c r="AD375" s="732"/>
      <c r="AE375" s="733"/>
      <c r="AF375" s="734" t="str">
        <f t="shared" si="17"/>
        <v/>
      </c>
      <c r="AG375" s="774"/>
      <c r="AH375" s="778"/>
      <c r="AI375" s="736"/>
      <c r="AJ375" s="736"/>
      <c r="AK375" s="736"/>
      <c r="AL375" s="736"/>
      <c r="AM375" s="736"/>
      <c r="AN375" s="736"/>
      <c r="AO375" s="736"/>
      <c r="AP375" s="736"/>
      <c r="AQ375" s="736"/>
      <c r="AR375" s="736"/>
      <c r="AS375" s="736"/>
      <c r="AT375" s="736"/>
      <c r="AU375" s="736"/>
      <c r="AV375" s="736"/>
      <c r="AW375" s="736"/>
      <c r="AX375" s="736"/>
      <c r="AY375" s="736"/>
      <c r="AZ375" s="736"/>
      <c r="BA375" s="736"/>
      <c r="BB375" s="736"/>
      <c r="BC375" s="736"/>
      <c r="BD375" s="736"/>
      <c r="BE375" s="736"/>
      <c r="BF375" s="736"/>
      <c r="BG375" s="736"/>
      <c r="BH375" s="736"/>
      <c r="BI375" s="736"/>
      <c r="BJ375" s="736"/>
      <c r="BK375" s="736"/>
      <c r="BL375" s="736"/>
    </row>
    <row r="376" spans="1:64" ht="18.75" x14ac:dyDescent="0.25">
      <c r="A376" s="758"/>
      <c r="B376" s="737"/>
      <c r="C376" s="730"/>
      <c r="D376" s="739"/>
      <c r="E376" s="765"/>
      <c r="F376" s="765"/>
      <c r="G376" s="765"/>
      <c r="H376" s="765"/>
      <c r="I376" s="746" t="str">
        <f t="shared" si="16"/>
        <v/>
      </c>
      <c r="J376" s="731"/>
      <c r="K376" s="731" t="str">
        <f t="shared" si="15"/>
        <v/>
      </c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32"/>
      <c r="AB376" s="732"/>
      <c r="AC376" s="732"/>
      <c r="AD376" s="732"/>
      <c r="AE376" s="733"/>
      <c r="AF376" s="734" t="str">
        <f t="shared" si="17"/>
        <v/>
      </c>
      <c r="AG376" s="774"/>
      <c r="AH376" s="778"/>
      <c r="AI376" s="736"/>
      <c r="AJ376" s="736"/>
      <c r="AK376" s="736"/>
      <c r="AL376" s="736"/>
      <c r="AM376" s="736"/>
      <c r="AN376" s="736"/>
      <c r="AO376" s="736"/>
      <c r="AP376" s="736"/>
      <c r="AQ376" s="736"/>
      <c r="AR376" s="736"/>
      <c r="AS376" s="736"/>
      <c r="AT376" s="736"/>
      <c r="AU376" s="736"/>
      <c r="AV376" s="736"/>
      <c r="AW376" s="736"/>
      <c r="AX376" s="736"/>
      <c r="AY376" s="736"/>
      <c r="AZ376" s="736"/>
      <c r="BA376" s="736"/>
      <c r="BB376" s="736"/>
      <c r="BC376" s="736"/>
      <c r="BD376" s="736"/>
      <c r="BE376" s="736"/>
      <c r="BF376" s="736"/>
      <c r="BG376" s="736"/>
      <c r="BH376" s="736"/>
      <c r="BI376" s="736"/>
      <c r="BJ376" s="736"/>
      <c r="BK376" s="736"/>
      <c r="BL376" s="736"/>
    </row>
    <row r="377" spans="1:64" ht="18.75" x14ac:dyDescent="0.25">
      <c r="A377" s="758"/>
      <c r="B377" s="737"/>
      <c r="C377" s="730"/>
      <c r="D377" s="739"/>
      <c r="E377" s="765"/>
      <c r="F377" s="765"/>
      <c r="G377" s="765"/>
      <c r="H377" s="765"/>
      <c r="I377" s="746" t="str">
        <f t="shared" si="16"/>
        <v/>
      </c>
      <c r="J377" s="731"/>
      <c r="K377" s="731" t="str">
        <f t="shared" si="15"/>
        <v/>
      </c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32"/>
      <c r="AB377" s="732"/>
      <c r="AC377" s="732"/>
      <c r="AD377" s="732"/>
      <c r="AE377" s="733"/>
      <c r="AF377" s="734" t="str">
        <f t="shared" si="17"/>
        <v/>
      </c>
      <c r="AG377" s="773"/>
    </row>
    <row r="378" spans="1:64" ht="18.75" x14ac:dyDescent="0.25">
      <c r="A378" s="758"/>
      <c r="B378" s="737"/>
      <c r="C378" s="730"/>
      <c r="D378" s="739"/>
      <c r="E378" s="765"/>
      <c r="F378" s="765"/>
      <c r="G378" s="765"/>
      <c r="H378" s="765"/>
      <c r="I378" s="746" t="str">
        <f t="shared" si="16"/>
        <v/>
      </c>
      <c r="J378" s="731"/>
      <c r="K378" s="731" t="str">
        <f t="shared" si="15"/>
        <v/>
      </c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32"/>
      <c r="AB378" s="732"/>
      <c r="AC378" s="732"/>
      <c r="AD378" s="732"/>
      <c r="AE378" s="733"/>
      <c r="AF378" s="734" t="str">
        <f t="shared" si="17"/>
        <v/>
      </c>
      <c r="AG378" s="773"/>
    </row>
    <row r="379" spans="1:64" ht="18.75" x14ac:dyDescent="0.25">
      <c r="A379" s="758"/>
      <c r="B379" s="737"/>
      <c r="C379" s="730"/>
      <c r="D379" s="739"/>
      <c r="E379" s="765"/>
      <c r="F379" s="765"/>
      <c r="G379" s="765"/>
      <c r="H379" s="765"/>
      <c r="I379" s="746" t="str">
        <f t="shared" si="16"/>
        <v/>
      </c>
      <c r="J379" s="731"/>
      <c r="K379" s="731" t="str">
        <f t="shared" si="15"/>
        <v/>
      </c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32"/>
      <c r="AB379" s="732"/>
      <c r="AC379" s="732"/>
      <c r="AD379" s="732"/>
      <c r="AE379" s="733"/>
      <c r="AF379" s="734" t="str">
        <f t="shared" si="17"/>
        <v/>
      </c>
      <c r="AG379" s="774"/>
      <c r="AH379" s="778"/>
      <c r="AI379" s="736"/>
      <c r="AJ379" s="736"/>
      <c r="AK379" s="736"/>
      <c r="AL379" s="736"/>
      <c r="AM379" s="736"/>
      <c r="AN379" s="736"/>
      <c r="AO379" s="736"/>
      <c r="AP379" s="736"/>
      <c r="AQ379" s="736"/>
      <c r="AR379" s="736"/>
      <c r="AS379" s="736"/>
      <c r="AT379" s="736"/>
      <c r="AU379" s="736"/>
      <c r="AV379" s="736"/>
      <c r="AW379" s="736"/>
      <c r="AX379" s="736"/>
      <c r="AY379" s="736"/>
      <c r="AZ379" s="736"/>
      <c r="BA379" s="736"/>
      <c r="BB379" s="736"/>
      <c r="BC379" s="736"/>
      <c r="BD379" s="736"/>
      <c r="BE379" s="736"/>
      <c r="BF379" s="736"/>
      <c r="BG379" s="736"/>
      <c r="BH379" s="736"/>
      <c r="BI379" s="736"/>
      <c r="BJ379" s="736"/>
      <c r="BK379" s="736"/>
      <c r="BL379" s="736"/>
    </row>
    <row r="380" spans="1:64" ht="18.75" x14ac:dyDescent="0.25">
      <c r="A380" s="758"/>
      <c r="B380" s="737"/>
      <c r="C380" s="730"/>
      <c r="D380" s="739"/>
      <c r="E380" s="765"/>
      <c r="F380" s="765"/>
      <c r="G380" s="765"/>
      <c r="H380" s="765"/>
      <c r="I380" s="746" t="str">
        <f t="shared" si="16"/>
        <v/>
      </c>
      <c r="J380" s="731"/>
      <c r="K380" s="731" t="str">
        <f t="shared" si="15"/>
        <v/>
      </c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32"/>
      <c r="AB380" s="732"/>
      <c r="AC380" s="732"/>
      <c r="AD380" s="732"/>
      <c r="AE380" s="733"/>
      <c r="AF380" s="734" t="str">
        <f t="shared" si="17"/>
        <v/>
      </c>
      <c r="AG380" s="773"/>
    </row>
    <row r="381" spans="1:64" ht="18.75" x14ac:dyDescent="0.25">
      <c r="A381" s="758"/>
      <c r="B381" s="737"/>
      <c r="C381" s="730"/>
      <c r="D381" s="739"/>
      <c r="E381" s="765"/>
      <c r="F381" s="765"/>
      <c r="G381" s="765"/>
      <c r="H381" s="765"/>
      <c r="I381" s="746" t="str">
        <f t="shared" si="16"/>
        <v/>
      </c>
      <c r="J381" s="731"/>
      <c r="K381" s="731" t="str">
        <f t="shared" si="15"/>
        <v/>
      </c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32"/>
      <c r="AB381" s="732"/>
      <c r="AC381" s="732"/>
      <c r="AD381" s="732"/>
      <c r="AE381" s="733"/>
      <c r="AF381" s="734" t="str">
        <f t="shared" si="17"/>
        <v/>
      </c>
      <c r="AG381" s="773"/>
    </row>
    <row r="382" spans="1:64" ht="18.75" x14ac:dyDescent="0.25">
      <c r="A382" s="758"/>
      <c r="B382" s="737"/>
      <c r="C382" s="730"/>
      <c r="D382" s="739"/>
      <c r="E382" s="765"/>
      <c r="F382" s="765"/>
      <c r="G382" s="765"/>
      <c r="H382" s="765"/>
      <c r="I382" s="746" t="str">
        <f t="shared" si="16"/>
        <v/>
      </c>
      <c r="J382" s="731"/>
      <c r="K382" s="731" t="str">
        <f t="shared" si="15"/>
        <v/>
      </c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32"/>
      <c r="AB382" s="732"/>
      <c r="AC382" s="732"/>
      <c r="AD382" s="732"/>
      <c r="AE382" s="733"/>
      <c r="AF382" s="734" t="str">
        <f t="shared" si="17"/>
        <v/>
      </c>
      <c r="AG382" s="774"/>
      <c r="AH382" s="778"/>
      <c r="AI382" s="736"/>
      <c r="AJ382" s="736"/>
      <c r="AK382" s="736"/>
      <c r="AL382" s="736"/>
      <c r="AM382" s="736"/>
      <c r="AN382" s="736"/>
      <c r="AO382" s="736"/>
      <c r="AP382" s="736"/>
      <c r="AQ382" s="736"/>
      <c r="AR382" s="736"/>
      <c r="AS382" s="736"/>
      <c r="AT382" s="736"/>
      <c r="AU382" s="736"/>
      <c r="AV382" s="736"/>
      <c r="AW382" s="736"/>
      <c r="AX382" s="736"/>
      <c r="AY382" s="736"/>
      <c r="AZ382" s="736"/>
      <c r="BA382" s="736"/>
      <c r="BB382" s="736"/>
      <c r="BC382" s="736"/>
      <c r="BD382" s="736"/>
      <c r="BE382" s="736"/>
      <c r="BF382" s="736"/>
      <c r="BG382" s="736"/>
      <c r="BH382" s="736"/>
      <c r="BI382" s="736"/>
      <c r="BJ382" s="736"/>
      <c r="BK382" s="736"/>
      <c r="BL382" s="736"/>
    </row>
    <row r="383" spans="1:64" ht="18.75" x14ac:dyDescent="0.25">
      <c r="A383" s="758"/>
      <c r="B383" s="737"/>
      <c r="C383" s="730"/>
      <c r="D383" s="739"/>
      <c r="E383" s="765"/>
      <c r="F383" s="765"/>
      <c r="G383" s="765"/>
      <c r="H383" s="765"/>
      <c r="I383" s="746" t="str">
        <f t="shared" si="16"/>
        <v/>
      </c>
      <c r="J383" s="731"/>
      <c r="K383" s="731" t="str">
        <f t="shared" si="15"/>
        <v/>
      </c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32"/>
      <c r="AB383" s="732"/>
      <c r="AC383" s="732"/>
      <c r="AD383" s="732"/>
      <c r="AE383" s="733"/>
      <c r="AF383" s="734" t="str">
        <f t="shared" si="17"/>
        <v/>
      </c>
      <c r="AG383" s="773"/>
    </row>
    <row r="384" spans="1:64" ht="18.75" x14ac:dyDescent="0.25">
      <c r="A384" s="758"/>
      <c r="B384" s="737"/>
      <c r="C384" s="730"/>
      <c r="D384" s="739"/>
      <c r="E384" s="765"/>
      <c r="F384" s="765"/>
      <c r="G384" s="765"/>
      <c r="H384" s="765"/>
      <c r="I384" s="746" t="str">
        <f t="shared" si="16"/>
        <v/>
      </c>
      <c r="J384" s="731"/>
      <c r="K384" s="731" t="str">
        <f t="shared" si="15"/>
        <v/>
      </c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32"/>
      <c r="AB384" s="732"/>
      <c r="AC384" s="732"/>
      <c r="AD384" s="732"/>
      <c r="AE384" s="733"/>
      <c r="AF384" s="734" t="str">
        <f t="shared" si="17"/>
        <v/>
      </c>
      <c r="AG384" s="774"/>
      <c r="AH384" s="778"/>
      <c r="AI384" s="736"/>
      <c r="AJ384" s="736"/>
      <c r="AK384" s="736"/>
      <c r="AL384" s="736"/>
      <c r="AM384" s="736"/>
      <c r="AN384" s="736"/>
      <c r="AO384" s="736"/>
      <c r="AP384" s="736"/>
      <c r="AQ384" s="736"/>
      <c r="AR384" s="736"/>
      <c r="AS384" s="736"/>
      <c r="AT384" s="736"/>
      <c r="AU384" s="736"/>
      <c r="AV384" s="736"/>
      <c r="AW384" s="736"/>
      <c r="AX384" s="736"/>
      <c r="AY384" s="736"/>
      <c r="AZ384" s="736"/>
      <c r="BA384" s="736"/>
      <c r="BB384" s="736"/>
      <c r="BC384" s="736"/>
      <c r="BD384" s="736"/>
      <c r="BE384" s="736"/>
      <c r="BF384" s="736"/>
      <c r="BG384" s="736"/>
      <c r="BH384" s="736"/>
      <c r="BI384" s="736"/>
      <c r="BJ384" s="736"/>
      <c r="BK384" s="736"/>
      <c r="BL384" s="736"/>
    </row>
    <row r="385" spans="1:64" ht="18.75" x14ac:dyDescent="0.25">
      <c r="A385" s="758"/>
      <c r="B385" s="737"/>
      <c r="C385" s="730"/>
      <c r="D385" s="739"/>
      <c r="E385" s="765"/>
      <c r="F385" s="765"/>
      <c r="G385" s="765"/>
      <c r="H385" s="765"/>
      <c r="I385" s="746" t="str">
        <f t="shared" si="16"/>
        <v/>
      </c>
      <c r="J385" s="731"/>
      <c r="K385" s="731" t="str">
        <f t="shared" si="15"/>
        <v/>
      </c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32"/>
      <c r="AB385" s="732"/>
      <c r="AC385" s="732"/>
      <c r="AD385" s="732"/>
      <c r="AE385" s="733"/>
      <c r="AF385" s="734" t="str">
        <f t="shared" si="17"/>
        <v/>
      </c>
      <c r="AG385" s="774"/>
      <c r="AH385" s="778"/>
      <c r="AI385" s="736"/>
      <c r="AJ385" s="736"/>
      <c r="AK385" s="736"/>
      <c r="AL385" s="736"/>
      <c r="AM385" s="736"/>
      <c r="AN385" s="736"/>
      <c r="AO385" s="736"/>
      <c r="AP385" s="736"/>
      <c r="AQ385" s="736"/>
      <c r="AR385" s="736"/>
      <c r="AS385" s="736"/>
      <c r="AT385" s="736"/>
      <c r="AU385" s="736"/>
      <c r="AV385" s="736"/>
      <c r="AW385" s="736"/>
      <c r="AX385" s="736"/>
      <c r="AY385" s="736"/>
      <c r="AZ385" s="736"/>
      <c r="BA385" s="736"/>
      <c r="BB385" s="736"/>
      <c r="BC385" s="736"/>
      <c r="BD385" s="736"/>
      <c r="BE385" s="736"/>
      <c r="BF385" s="736"/>
      <c r="BG385" s="736"/>
      <c r="BH385" s="736"/>
      <c r="BI385" s="736"/>
      <c r="BJ385" s="736"/>
      <c r="BK385" s="736"/>
      <c r="BL385" s="736"/>
    </row>
    <row r="386" spans="1:64" ht="18.75" x14ac:dyDescent="0.25">
      <c r="A386" s="758"/>
      <c r="B386" s="737"/>
      <c r="C386" s="730"/>
      <c r="D386" s="739"/>
      <c r="E386" s="765"/>
      <c r="F386" s="765"/>
      <c r="G386" s="765"/>
      <c r="H386" s="765"/>
      <c r="I386" s="746" t="str">
        <f t="shared" si="16"/>
        <v/>
      </c>
      <c r="J386" s="731"/>
      <c r="K386" s="731" t="str">
        <f t="shared" si="15"/>
        <v/>
      </c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32"/>
      <c r="AB386" s="732"/>
      <c r="AC386" s="732"/>
      <c r="AD386" s="732"/>
      <c r="AE386" s="733"/>
      <c r="AF386" s="734" t="str">
        <f t="shared" si="17"/>
        <v/>
      </c>
      <c r="AG386" s="773"/>
    </row>
    <row r="387" spans="1:64" ht="18.75" x14ac:dyDescent="0.25">
      <c r="A387" s="758"/>
      <c r="B387" s="737"/>
      <c r="C387" s="730"/>
      <c r="D387" s="739"/>
      <c r="E387" s="765"/>
      <c r="F387" s="765"/>
      <c r="G387" s="765"/>
      <c r="H387" s="765"/>
      <c r="I387" s="746" t="str">
        <f t="shared" si="16"/>
        <v/>
      </c>
      <c r="J387" s="731"/>
      <c r="K387" s="731" t="str">
        <f t="shared" si="15"/>
        <v/>
      </c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32"/>
      <c r="AB387" s="732"/>
      <c r="AC387" s="732"/>
      <c r="AD387" s="732"/>
      <c r="AE387" s="733"/>
      <c r="AF387" s="734" t="str">
        <f t="shared" si="17"/>
        <v/>
      </c>
      <c r="AG387" s="774"/>
      <c r="AH387" s="778"/>
      <c r="AI387" s="736"/>
      <c r="AJ387" s="736"/>
      <c r="AK387" s="736"/>
      <c r="AL387" s="736"/>
      <c r="AM387" s="736"/>
      <c r="AN387" s="736"/>
      <c r="AO387" s="736"/>
      <c r="AP387" s="736"/>
      <c r="AQ387" s="736"/>
      <c r="AR387" s="736"/>
      <c r="AS387" s="736"/>
      <c r="AT387" s="736"/>
      <c r="AU387" s="736"/>
      <c r="AV387" s="736"/>
      <c r="AW387" s="736"/>
      <c r="AX387" s="736"/>
      <c r="AY387" s="736"/>
      <c r="AZ387" s="736"/>
      <c r="BA387" s="736"/>
      <c r="BB387" s="736"/>
      <c r="BC387" s="736"/>
      <c r="BD387" s="736"/>
      <c r="BE387" s="736"/>
      <c r="BF387" s="736"/>
      <c r="BG387" s="736"/>
      <c r="BH387" s="736"/>
      <c r="BI387" s="736"/>
      <c r="BJ387" s="736"/>
      <c r="BK387" s="736"/>
      <c r="BL387" s="736"/>
    </row>
    <row r="388" spans="1:64" ht="18.75" x14ac:dyDescent="0.25">
      <c r="A388" s="758"/>
      <c r="B388" s="737"/>
      <c r="C388" s="730"/>
      <c r="D388" s="739"/>
      <c r="E388" s="765"/>
      <c r="F388" s="765"/>
      <c r="G388" s="765"/>
      <c r="H388" s="765"/>
      <c r="I388" s="746" t="str">
        <f t="shared" si="16"/>
        <v/>
      </c>
      <c r="J388" s="731"/>
      <c r="K388" s="731" t="str">
        <f t="shared" ref="K388:K451" si="18">IF(AA388-AE388 = 0,"",AA388-AE388)</f>
        <v/>
      </c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32"/>
      <c r="AB388" s="732"/>
      <c r="AC388" s="732"/>
      <c r="AD388" s="732"/>
      <c r="AE388" s="733"/>
      <c r="AF388" s="734" t="str">
        <f t="shared" si="17"/>
        <v/>
      </c>
      <c r="AG388" s="773"/>
    </row>
    <row r="389" spans="1:64" ht="18.75" x14ac:dyDescent="0.25">
      <c r="A389" s="758"/>
      <c r="B389" s="737"/>
      <c r="C389" s="730"/>
      <c r="D389" s="739"/>
      <c r="E389" s="765"/>
      <c r="F389" s="765"/>
      <c r="G389" s="765"/>
      <c r="H389" s="765"/>
      <c r="I389" s="746" t="str">
        <f t="shared" ref="I389:I452" si="19">AF389</f>
        <v/>
      </c>
      <c r="J389" s="731"/>
      <c r="K389" s="731" t="str">
        <f t="shared" si="18"/>
        <v/>
      </c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32"/>
      <c r="AB389" s="732"/>
      <c r="AC389" s="732"/>
      <c r="AD389" s="732"/>
      <c r="AE389" s="733"/>
      <c r="AF389" s="734" t="str">
        <f t="shared" ref="AF389:AF452" si="20">IF(AE389 &lt;&gt;"", AE389/AA389,"")</f>
        <v/>
      </c>
      <c r="AG389" s="774"/>
      <c r="AH389" s="778"/>
      <c r="AI389" s="736"/>
      <c r="AJ389" s="736"/>
      <c r="AK389" s="736"/>
      <c r="AL389" s="736"/>
      <c r="AM389" s="736"/>
      <c r="AN389" s="736"/>
      <c r="AO389" s="736"/>
      <c r="AP389" s="736"/>
      <c r="AQ389" s="736"/>
      <c r="AR389" s="736"/>
      <c r="AS389" s="736"/>
      <c r="AT389" s="736"/>
      <c r="AU389" s="736"/>
      <c r="AV389" s="736"/>
      <c r="AW389" s="736"/>
      <c r="AX389" s="736"/>
      <c r="AY389" s="736"/>
      <c r="AZ389" s="736"/>
      <c r="BA389" s="736"/>
      <c r="BB389" s="736"/>
      <c r="BC389" s="736"/>
      <c r="BD389" s="736"/>
      <c r="BE389" s="736"/>
      <c r="BF389" s="736"/>
      <c r="BG389" s="736"/>
      <c r="BH389" s="736"/>
      <c r="BI389" s="736"/>
      <c r="BJ389" s="736"/>
      <c r="BK389" s="736"/>
      <c r="BL389" s="736"/>
    </row>
    <row r="390" spans="1:64" ht="18.75" x14ac:dyDescent="0.25">
      <c r="A390" s="758"/>
      <c r="B390" s="737"/>
      <c r="C390" s="730"/>
      <c r="D390" s="739"/>
      <c r="E390" s="765"/>
      <c r="F390" s="765"/>
      <c r="G390" s="765"/>
      <c r="H390" s="765"/>
      <c r="I390" s="746" t="str">
        <f t="shared" si="19"/>
        <v/>
      </c>
      <c r="J390" s="731"/>
      <c r="K390" s="731" t="str">
        <f t="shared" si="18"/>
        <v/>
      </c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32"/>
      <c r="AB390" s="732"/>
      <c r="AC390" s="732"/>
      <c r="AD390" s="732"/>
      <c r="AE390" s="733"/>
      <c r="AF390" s="734" t="str">
        <f t="shared" si="20"/>
        <v/>
      </c>
      <c r="AG390" s="774"/>
      <c r="AH390" s="778"/>
      <c r="AI390" s="736"/>
      <c r="AJ390" s="736"/>
      <c r="AK390" s="736"/>
      <c r="AL390" s="736"/>
      <c r="AM390" s="736"/>
      <c r="AN390" s="736"/>
      <c r="AO390" s="736"/>
      <c r="AP390" s="736"/>
      <c r="AQ390" s="736"/>
      <c r="AR390" s="736"/>
      <c r="AS390" s="736"/>
      <c r="AT390" s="736"/>
      <c r="AU390" s="736"/>
      <c r="AV390" s="736"/>
      <c r="AW390" s="736"/>
      <c r="AX390" s="736"/>
      <c r="AY390" s="736"/>
      <c r="AZ390" s="736"/>
      <c r="BA390" s="736"/>
      <c r="BB390" s="736"/>
      <c r="BC390" s="736"/>
      <c r="BD390" s="736"/>
      <c r="BE390" s="736"/>
      <c r="BF390" s="736"/>
      <c r="BG390" s="736"/>
      <c r="BH390" s="736"/>
      <c r="BI390" s="736"/>
      <c r="BJ390" s="736"/>
      <c r="BK390" s="736"/>
      <c r="BL390" s="736"/>
    </row>
    <row r="391" spans="1:64" ht="18.75" x14ac:dyDescent="0.25">
      <c r="A391" s="758"/>
      <c r="B391" s="737"/>
      <c r="C391" s="730"/>
      <c r="D391" s="739"/>
      <c r="E391" s="765"/>
      <c r="F391" s="765"/>
      <c r="G391" s="765"/>
      <c r="H391" s="765"/>
      <c r="I391" s="746" t="str">
        <f t="shared" si="19"/>
        <v/>
      </c>
      <c r="J391" s="731"/>
      <c r="K391" s="731" t="str">
        <f t="shared" si="18"/>
        <v/>
      </c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32"/>
      <c r="AB391" s="732"/>
      <c r="AC391" s="732"/>
      <c r="AD391" s="732"/>
      <c r="AE391" s="733"/>
      <c r="AF391" s="734" t="str">
        <f t="shared" si="20"/>
        <v/>
      </c>
      <c r="AG391" s="774"/>
      <c r="AH391" s="778"/>
      <c r="AI391" s="736"/>
      <c r="AJ391" s="736"/>
      <c r="AK391" s="736"/>
      <c r="AL391" s="736"/>
      <c r="AM391" s="736"/>
      <c r="AN391" s="736"/>
      <c r="AO391" s="736"/>
      <c r="AP391" s="736"/>
      <c r="AQ391" s="736"/>
      <c r="AR391" s="736"/>
      <c r="AS391" s="736"/>
      <c r="AT391" s="736"/>
      <c r="AU391" s="736"/>
      <c r="AV391" s="736"/>
      <c r="AW391" s="736"/>
      <c r="AX391" s="736"/>
      <c r="AY391" s="736"/>
      <c r="AZ391" s="736"/>
      <c r="BA391" s="736"/>
      <c r="BB391" s="736"/>
      <c r="BC391" s="736"/>
      <c r="BD391" s="736"/>
      <c r="BE391" s="736"/>
      <c r="BF391" s="736"/>
      <c r="BG391" s="736"/>
      <c r="BH391" s="736"/>
      <c r="BI391" s="736"/>
      <c r="BJ391" s="736"/>
      <c r="BK391" s="736"/>
      <c r="BL391" s="736"/>
    </row>
    <row r="392" spans="1:64" ht="18.75" x14ac:dyDescent="0.25">
      <c r="A392" s="758"/>
      <c r="B392" s="737"/>
      <c r="C392" s="730"/>
      <c r="D392" s="739"/>
      <c r="E392" s="765"/>
      <c r="F392" s="765"/>
      <c r="G392" s="765"/>
      <c r="H392" s="765"/>
      <c r="I392" s="746" t="str">
        <f t="shared" si="19"/>
        <v/>
      </c>
      <c r="J392" s="731"/>
      <c r="K392" s="731" t="str">
        <f t="shared" si="18"/>
        <v/>
      </c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32"/>
      <c r="AB392" s="732"/>
      <c r="AC392" s="732"/>
      <c r="AD392" s="732"/>
      <c r="AE392" s="733"/>
      <c r="AF392" s="734" t="str">
        <f t="shared" si="20"/>
        <v/>
      </c>
      <c r="AG392" s="774"/>
      <c r="AH392" s="778"/>
      <c r="AI392" s="736"/>
      <c r="AJ392" s="736"/>
      <c r="AK392" s="736"/>
      <c r="AL392" s="736"/>
      <c r="AM392" s="736"/>
      <c r="AN392" s="736"/>
      <c r="AO392" s="736"/>
      <c r="AP392" s="736"/>
      <c r="AQ392" s="736"/>
      <c r="AR392" s="736"/>
      <c r="AS392" s="736"/>
      <c r="AT392" s="736"/>
      <c r="AU392" s="736"/>
      <c r="AV392" s="736"/>
      <c r="AW392" s="736"/>
      <c r="AX392" s="736"/>
      <c r="AY392" s="736"/>
      <c r="AZ392" s="736"/>
      <c r="BA392" s="736"/>
      <c r="BB392" s="736"/>
      <c r="BC392" s="736"/>
      <c r="BD392" s="736"/>
      <c r="BE392" s="736"/>
      <c r="BF392" s="736"/>
      <c r="BG392" s="736"/>
      <c r="BH392" s="736"/>
      <c r="BI392" s="736"/>
      <c r="BJ392" s="736"/>
      <c r="BK392" s="736"/>
      <c r="BL392" s="736"/>
    </row>
    <row r="393" spans="1:64" ht="18.75" x14ac:dyDescent="0.25">
      <c r="A393" s="758"/>
      <c r="B393" s="737"/>
      <c r="C393" s="730"/>
      <c r="D393" s="739"/>
      <c r="E393" s="765"/>
      <c r="F393" s="765"/>
      <c r="G393" s="765"/>
      <c r="H393" s="765"/>
      <c r="I393" s="746" t="str">
        <f t="shared" si="19"/>
        <v/>
      </c>
      <c r="J393" s="731"/>
      <c r="K393" s="731" t="str">
        <f t="shared" si="18"/>
        <v/>
      </c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32"/>
      <c r="AB393" s="732"/>
      <c r="AC393" s="732"/>
      <c r="AD393" s="732"/>
      <c r="AE393" s="733"/>
      <c r="AF393" s="734" t="str">
        <f t="shared" si="20"/>
        <v/>
      </c>
      <c r="AG393" s="774"/>
      <c r="AH393" s="778"/>
      <c r="AI393" s="736"/>
      <c r="AJ393" s="736"/>
      <c r="AK393" s="736"/>
      <c r="AL393" s="736"/>
      <c r="AM393" s="736"/>
      <c r="AN393" s="736"/>
      <c r="AO393" s="736"/>
      <c r="AP393" s="736"/>
      <c r="AQ393" s="736"/>
      <c r="AR393" s="736"/>
      <c r="AS393" s="736"/>
      <c r="AT393" s="736"/>
      <c r="AU393" s="736"/>
      <c r="AV393" s="736"/>
      <c r="AW393" s="736"/>
      <c r="AX393" s="736"/>
      <c r="AY393" s="736"/>
      <c r="AZ393" s="736"/>
      <c r="BA393" s="736"/>
      <c r="BB393" s="736"/>
      <c r="BC393" s="736"/>
      <c r="BD393" s="736"/>
      <c r="BE393" s="736"/>
      <c r="BF393" s="736"/>
      <c r="BG393" s="736"/>
      <c r="BH393" s="736"/>
      <c r="BI393" s="736"/>
      <c r="BJ393" s="736"/>
      <c r="BK393" s="736"/>
      <c r="BL393" s="736"/>
    </row>
    <row r="394" spans="1:64" ht="18.75" x14ac:dyDescent="0.25">
      <c r="A394" s="758"/>
      <c r="B394" s="737"/>
      <c r="C394" s="730"/>
      <c r="D394" s="739"/>
      <c r="E394" s="765"/>
      <c r="F394" s="765"/>
      <c r="G394" s="765"/>
      <c r="H394" s="765"/>
      <c r="I394" s="746" t="str">
        <f t="shared" si="19"/>
        <v/>
      </c>
      <c r="J394" s="731"/>
      <c r="K394" s="731" t="str">
        <f t="shared" si="18"/>
        <v/>
      </c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32"/>
      <c r="AB394" s="732"/>
      <c r="AC394" s="732"/>
      <c r="AD394" s="732"/>
      <c r="AE394" s="733"/>
      <c r="AF394" s="734" t="str">
        <f t="shared" si="20"/>
        <v/>
      </c>
      <c r="AG394" s="774"/>
      <c r="AH394" s="778"/>
      <c r="AI394" s="736"/>
      <c r="AJ394" s="736"/>
      <c r="AK394" s="736"/>
      <c r="AL394" s="736"/>
      <c r="AM394" s="736"/>
      <c r="AN394" s="736"/>
      <c r="AO394" s="736"/>
      <c r="AP394" s="736"/>
      <c r="AQ394" s="736"/>
      <c r="AR394" s="736"/>
      <c r="AS394" s="736"/>
      <c r="AT394" s="736"/>
      <c r="AU394" s="736"/>
      <c r="AV394" s="736"/>
      <c r="AW394" s="736"/>
      <c r="AX394" s="736"/>
      <c r="AY394" s="736"/>
      <c r="AZ394" s="736"/>
      <c r="BA394" s="736"/>
      <c r="BB394" s="736"/>
      <c r="BC394" s="736"/>
      <c r="BD394" s="736"/>
      <c r="BE394" s="736"/>
      <c r="BF394" s="736"/>
      <c r="BG394" s="736"/>
      <c r="BH394" s="736"/>
      <c r="BI394" s="736"/>
      <c r="BJ394" s="736"/>
      <c r="BK394" s="736"/>
      <c r="BL394" s="736"/>
    </row>
    <row r="395" spans="1:64" ht="18.75" x14ac:dyDescent="0.25">
      <c r="A395" s="758"/>
      <c r="B395" s="737"/>
      <c r="C395" s="730"/>
      <c r="D395" s="739"/>
      <c r="E395" s="765"/>
      <c r="F395" s="765"/>
      <c r="G395" s="765"/>
      <c r="H395" s="765"/>
      <c r="I395" s="746" t="str">
        <f t="shared" si="19"/>
        <v/>
      </c>
      <c r="J395" s="731"/>
      <c r="K395" s="731" t="str">
        <f t="shared" si="18"/>
        <v/>
      </c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32"/>
      <c r="AB395" s="732"/>
      <c r="AC395" s="732"/>
      <c r="AD395" s="732"/>
      <c r="AE395" s="733"/>
      <c r="AF395" s="734" t="str">
        <f t="shared" si="20"/>
        <v/>
      </c>
      <c r="AG395" s="774"/>
      <c r="AH395" s="778"/>
      <c r="AI395" s="736"/>
      <c r="AJ395" s="736"/>
      <c r="AK395" s="736"/>
      <c r="AL395" s="736"/>
      <c r="AM395" s="736"/>
      <c r="AN395" s="736"/>
      <c r="AO395" s="736"/>
      <c r="AP395" s="736"/>
      <c r="AQ395" s="736"/>
      <c r="AR395" s="736"/>
      <c r="AS395" s="736"/>
      <c r="AT395" s="736"/>
      <c r="AU395" s="736"/>
      <c r="AV395" s="736"/>
      <c r="AW395" s="736"/>
      <c r="AX395" s="736"/>
      <c r="AY395" s="736"/>
      <c r="AZ395" s="736"/>
      <c r="BA395" s="736"/>
      <c r="BB395" s="736"/>
      <c r="BC395" s="736"/>
      <c r="BD395" s="736"/>
      <c r="BE395" s="736"/>
      <c r="BF395" s="736"/>
      <c r="BG395" s="736"/>
      <c r="BH395" s="736"/>
      <c r="BI395" s="736"/>
      <c r="BJ395" s="736"/>
      <c r="BK395" s="736"/>
      <c r="BL395" s="736"/>
    </row>
    <row r="396" spans="1:64" ht="18.75" x14ac:dyDescent="0.25">
      <c r="A396" s="758"/>
      <c r="B396" s="737"/>
      <c r="C396" s="730"/>
      <c r="D396" s="739"/>
      <c r="E396" s="765"/>
      <c r="F396" s="765"/>
      <c r="G396" s="765"/>
      <c r="H396" s="765"/>
      <c r="I396" s="746" t="str">
        <f t="shared" si="19"/>
        <v/>
      </c>
      <c r="J396" s="731"/>
      <c r="K396" s="731" t="str">
        <f t="shared" si="18"/>
        <v/>
      </c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32"/>
      <c r="AB396" s="732"/>
      <c r="AC396" s="732"/>
      <c r="AD396" s="732"/>
      <c r="AE396" s="733"/>
      <c r="AF396" s="734" t="str">
        <f t="shared" si="20"/>
        <v/>
      </c>
      <c r="AG396" s="773"/>
    </row>
    <row r="397" spans="1:64" ht="18.75" x14ac:dyDescent="0.25">
      <c r="A397" s="758"/>
      <c r="B397" s="737"/>
      <c r="C397" s="730"/>
      <c r="D397" s="739"/>
      <c r="E397" s="765"/>
      <c r="F397" s="765"/>
      <c r="G397" s="765"/>
      <c r="H397" s="765"/>
      <c r="I397" s="746" t="str">
        <f t="shared" si="19"/>
        <v/>
      </c>
      <c r="J397" s="731"/>
      <c r="K397" s="731" t="str">
        <f t="shared" si="18"/>
        <v/>
      </c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32"/>
      <c r="AB397" s="732"/>
      <c r="AC397" s="732"/>
      <c r="AD397" s="732"/>
      <c r="AE397" s="733"/>
      <c r="AF397" s="734" t="str">
        <f t="shared" si="20"/>
        <v/>
      </c>
      <c r="AG397" s="774"/>
      <c r="AH397" s="778"/>
      <c r="AI397" s="736"/>
      <c r="AJ397" s="736"/>
      <c r="AK397" s="736"/>
      <c r="AL397" s="736"/>
      <c r="AM397" s="736"/>
      <c r="AN397" s="736"/>
      <c r="AO397" s="736"/>
      <c r="AP397" s="736"/>
      <c r="AQ397" s="736"/>
      <c r="AR397" s="736"/>
      <c r="AS397" s="736"/>
      <c r="AT397" s="736"/>
      <c r="AU397" s="736"/>
      <c r="AV397" s="736"/>
      <c r="AW397" s="736"/>
      <c r="AX397" s="736"/>
      <c r="AY397" s="736"/>
      <c r="AZ397" s="736"/>
      <c r="BA397" s="736"/>
      <c r="BB397" s="736"/>
      <c r="BC397" s="736"/>
      <c r="BD397" s="736"/>
      <c r="BE397" s="736"/>
      <c r="BF397" s="736"/>
      <c r="BG397" s="736"/>
      <c r="BH397" s="736"/>
      <c r="BI397" s="736"/>
      <c r="BJ397" s="736"/>
      <c r="BK397" s="736"/>
      <c r="BL397" s="736"/>
    </row>
    <row r="398" spans="1:64" ht="18.75" x14ac:dyDescent="0.25">
      <c r="A398" s="758"/>
      <c r="B398" s="737"/>
      <c r="C398" s="730"/>
      <c r="D398" s="739"/>
      <c r="E398" s="765"/>
      <c r="F398" s="765"/>
      <c r="G398" s="765"/>
      <c r="H398" s="765"/>
      <c r="I398" s="746" t="str">
        <f t="shared" si="19"/>
        <v/>
      </c>
      <c r="J398" s="731"/>
      <c r="K398" s="731" t="str">
        <f t="shared" si="18"/>
        <v/>
      </c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32"/>
      <c r="AB398" s="732"/>
      <c r="AC398" s="732"/>
      <c r="AD398" s="732"/>
      <c r="AE398" s="733"/>
      <c r="AF398" s="734" t="str">
        <f t="shared" si="20"/>
        <v/>
      </c>
      <c r="AG398" s="774"/>
      <c r="AH398" s="778"/>
      <c r="AI398" s="736"/>
      <c r="AJ398" s="736"/>
      <c r="AK398" s="736"/>
      <c r="AL398" s="736"/>
      <c r="AM398" s="736"/>
      <c r="AN398" s="736"/>
      <c r="AO398" s="736"/>
      <c r="AP398" s="736"/>
      <c r="AQ398" s="736"/>
      <c r="AR398" s="736"/>
      <c r="AS398" s="736"/>
      <c r="AT398" s="736"/>
      <c r="AU398" s="736"/>
      <c r="AV398" s="736"/>
      <c r="AW398" s="736"/>
      <c r="AX398" s="736"/>
      <c r="AY398" s="736"/>
      <c r="AZ398" s="736"/>
      <c r="BA398" s="736"/>
      <c r="BB398" s="736"/>
      <c r="BC398" s="736"/>
      <c r="BD398" s="736"/>
      <c r="BE398" s="736"/>
      <c r="BF398" s="736"/>
      <c r="BG398" s="736"/>
      <c r="BH398" s="736"/>
      <c r="BI398" s="736"/>
      <c r="BJ398" s="736"/>
      <c r="BK398" s="736"/>
      <c r="BL398" s="736"/>
    </row>
    <row r="399" spans="1:64" ht="18.75" x14ac:dyDescent="0.25">
      <c r="A399" s="758"/>
      <c r="B399" s="737"/>
      <c r="C399" s="730"/>
      <c r="D399" s="739"/>
      <c r="E399" s="765"/>
      <c r="F399" s="765"/>
      <c r="G399" s="765"/>
      <c r="H399" s="765"/>
      <c r="I399" s="746" t="str">
        <f t="shared" si="19"/>
        <v/>
      </c>
      <c r="J399" s="731"/>
      <c r="K399" s="731" t="str">
        <f t="shared" si="18"/>
        <v/>
      </c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32"/>
      <c r="AB399" s="732"/>
      <c r="AC399" s="732"/>
      <c r="AD399" s="732"/>
      <c r="AE399" s="733"/>
      <c r="AF399" s="734" t="str">
        <f t="shared" si="20"/>
        <v/>
      </c>
      <c r="AG399" s="774"/>
      <c r="AH399" s="778"/>
      <c r="AI399" s="736"/>
      <c r="AJ399" s="736"/>
      <c r="AK399" s="736"/>
      <c r="AL399" s="736"/>
      <c r="AM399" s="736"/>
      <c r="AN399" s="736"/>
      <c r="AO399" s="736"/>
      <c r="AP399" s="736"/>
      <c r="AQ399" s="736"/>
      <c r="AR399" s="736"/>
      <c r="AS399" s="736"/>
      <c r="AT399" s="736"/>
      <c r="AU399" s="736"/>
      <c r="AV399" s="736"/>
      <c r="AW399" s="736"/>
      <c r="AX399" s="736"/>
      <c r="AY399" s="736"/>
      <c r="AZ399" s="736"/>
      <c r="BA399" s="736"/>
      <c r="BB399" s="736"/>
      <c r="BC399" s="736"/>
      <c r="BD399" s="736"/>
      <c r="BE399" s="736"/>
      <c r="BF399" s="736"/>
      <c r="BG399" s="736"/>
      <c r="BH399" s="736"/>
      <c r="BI399" s="736"/>
      <c r="BJ399" s="736"/>
      <c r="BK399" s="736"/>
      <c r="BL399" s="736"/>
    </row>
    <row r="400" spans="1:64" ht="18.75" x14ac:dyDescent="0.25">
      <c r="A400" s="758"/>
      <c r="B400" s="737"/>
      <c r="C400" s="730"/>
      <c r="D400" s="739"/>
      <c r="E400" s="765"/>
      <c r="F400" s="765"/>
      <c r="G400" s="765"/>
      <c r="H400" s="765"/>
      <c r="I400" s="746" t="str">
        <f t="shared" si="19"/>
        <v/>
      </c>
      <c r="J400" s="731"/>
      <c r="K400" s="731" t="str">
        <f t="shared" si="18"/>
        <v/>
      </c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32"/>
      <c r="AB400" s="732"/>
      <c r="AC400" s="732"/>
      <c r="AD400" s="732"/>
      <c r="AE400" s="733"/>
      <c r="AF400" s="734" t="str">
        <f t="shared" si="20"/>
        <v/>
      </c>
      <c r="AG400" s="774"/>
      <c r="AH400" s="778"/>
      <c r="AI400" s="736"/>
      <c r="AJ400" s="736"/>
      <c r="AK400" s="736"/>
      <c r="AL400" s="736"/>
      <c r="AM400" s="736"/>
      <c r="AN400" s="736"/>
      <c r="AO400" s="736"/>
      <c r="AP400" s="736"/>
      <c r="AQ400" s="736"/>
      <c r="AR400" s="736"/>
      <c r="AS400" s="736"/>
      <c r="AT400" s="736"/>
      <c r="AU400" s="736"/>
      <c r="AV400" s="736"/>
      <c r="AW400" s="736"/>
      <c r="AX400" s="736"/>
      <c r="AY400" s="736"/>
      <c r="AZ400" s="736"/>
      <c r="BA400" s="736"/>
      <c r="BB400" s="736"/>
      <c r="BC400" s="736"/>
      <c r="BD400" s="736"/>
      <c r="BE400" s="736"/>
      <c r="BF400" s="736"/>
      <c r="BG400" s="736"/>
      <c r="BH400" s="736"/>
      <c r="BI400" s="736"/>
      <c r="BJ400" s="736"/>
      <c r="BK400" s="736"/>
      <c r="BL400" s="736"/>
    </row>
    <row r="401" spans="1:64" ht="18.75" x14ac:dyDescent="0.25">
      <c r="A401" s="758"/>
      <c r="B401" s="737"/>
      <c r="C401" s="730"/>
      <c r="D401" s="739"/>
      <c r="E401" s="765"/>
      <c r="F401" s="765"/>
      <c r="G401" s="765"/>
      <c r="H401" s="765"/>
      <c r="I401" s="746" t="str">
        <f t="shared" si="19"/>
        <v/>
      </c>
      <c r="J401" s="731"/>
      <c r="K401" s="731" t="str">
        <f t="shared" si="18"/>
        <v/>
      </c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32"/>
      <c r="AB401" s="732"/>
      <c r="AC401" s="732"/>
      <c r="AD401" s="732"/>
      <c r="AE401" s="733"/>
      <c r="AF401" s="734" t="str">
        <f t="shared" si="20"/>
        <v/>
      </c>
      <c r="AG401" s="774"/>
      <c r="AH401" s="778"/>
      <c r="AI401" s="736"/>
      <c r="AJ401" s="736"/>
      <c r="AK401" s="736"/>
      <c r="AL401" s="736"/>
      <c r="AM401" s="736"/>
      <c r="AN401" s="736"/>
      <c r="AO401" s="736"/>
      <c r="AP401" s="736"/>
      <c r="AQ401" s="736"/>
      <c r="AR401" s="736"/>
      <c r="AS401" s="736"/>
      <c r="AT401" s="736"/>
      <c r="AU401" s="736"/>
      <c r="AV401" s="736"/>
      <c r="AW401" s="736"/>
      <c r="AX401" s="736"/>
      <c r="AY401" s="736"/>
      <c r="AZ401" s="736"/>
      <c r="BA401" s="736"/>
      <c r="BB401" s="736"/>
      <c r="BC401" s="736"/>
      <c r="BD401" s="736"/>
      <c r="BE401" s="736"/>
      <c r="BF401" s="736"/>
      <c r="BG401" s="736"/>
      <c r="BH401" s="736"/>
      <c r="BI401" s="736"/>
      <c r="BJ401" s="736"/>
      <c r="BK401" s="736"/>
      <c r="BL401" s="736"/>
    </row>
    <row r="402" spans="1:64" ht="18.75" x14ac:dyDescent="0.25">
      <c r="A402" s="758"/>
      <c r="B402" s="737"/>
      <c r="C402" s="730"/>
      <c r="D402" s="739"/>
      <c r="E402" s="765"/>
      <c r="F402" s="765"/>
      <c r="G402" s="765"/>
      <c r="H402" s="765"/>
      <c r="I402" s="746" t="str">
        <f t="shared" si="19"/>
        <v/>
      </c>
      <c r="J402" s="731"/>
      <c r="K402" s="731" t="str">
        <f t="shared" si="18"/>
        <v/>
      </c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32"/>
      <c r="AB402" s="732"/>
      <c r="AC402" s="732"/>
      <c r="AD402" s="732"/>
      <c r="AE402" s="733"/>
      <c r="AF402" s="734" t="str">
        <f t="shared" si="20"/>
        <v/>
      </c>
      <c r="AG402" s="774"/>
      <c r="AH402" s="778"/>
      <c r="AI402" s="736"/>
      <c r="AJ402" s="736"/>
      <c r="AK402" s="736"/>
      <c r="AL402" s="736"/>
      <c r="AM402" s="736"/>
      <c r="AN402" s="736"/>
      <c r="AO402" s="736"/>
      <c r="AP402" s="736"/>
      <c r="AQ402" s="736"/>
      <c r="AR402" s="736"/>
      <c r="AS402" s="736"/>
      <c r="AT402" s="736"/>
      <c r="AU402" s="736"/>
      <c r="AV402" s="736"/>
      <c r="AW402" s="736"/>
      <c r="AX402" s="736"/>
      <c r="AY402" s="736"/>
      <c r="AZ402" s="736"/>
      <c r="BA402" s="736"/>
      <c r="BB402" s="736"/>
      <c r="BC402" s="736"/>
      <c r="BD402" s="736"/>
      <c r="BE402" s="736"/>
      <c r="BF402" s="736"/>
      <c r="BG402" s="736"/>
      <c r="BH402" s="736"/>
      <c r="BI402" s="736"/>
      <c r="BJ402" s="736"/>
      <c r="BK402" s="736"/>
      <c r="BL402" s="736"/>
    </row>
    <row r="403" spans="1:64" ht="18.75" x14ac:dyDescent="0.25">
      <c r="A403" s="758"/>
      <c r="B403" s="737"/>
      <c r="C403" s="730"/>
      <c r="D403" s="739"/>
      <c r="E403" s="765"/>
      <c r="F403" s="765"/>
      <c r="G403" s="765"/>
      <c r="H403" s="765"/>
      <c r="I403" s="746" t="str">
        <f t="shared" si="19"/>
        <v/>
      </c>
      <c r="J403" s="731"/>
      <c r="K403" s="731" t="str">
        <f t="shared" si="18"/>
        <v/>
      </c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32"/>
      <c r="AB403" s="732"/>
      <c r="AC403" s="732"/>
      <c r="AD403" s="732"/>
      <c r="AE403" s="733"/>
      <c r="AF403" s="734" t="str">
        <f t="shared" si="20"/>
        <v/>
      </c>
      <c r="AG403" s="773"/>
    </row>
    <row r="404" spans="1:64" ht="18.75" x14ac:dyDescent="0.25">
      <c r="A404" s="758"/>
      <c r="B404" s="737"/>
      <c r="C404" s="730"/>
      <c r="D404" s="739"/>
      <c r="E404" s="765"/>
      <c r="F404" s="765"/>
      <c r="G404" s="765"/>
      <c r="H404" s="765"/>
      <c r="I404" s="746" t="str">
        <f t="shared" si="19"/>
        <v/>
      </c>
      <c r="J404" s="731"/>
      <c r="K404" s="731" t="str">
        <f t="shared" si="18"/>
        <v/>
      </c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32"/>
      <c r="AB404" s="732"/>
      <c r="AC404" s="732"/>
      <c r="AD404" s="732"/>
      <c r="AE404" s="733"/>
      <c r="AF404" s="734" t="str">
        <f t="shared" si="20"/>
        <v/>
      </c>
      <c r="AG404" s="774"/>
      <c r="AH404" s="778"/>
      <c r="AI404" s="736"/>
      <c r="AJ404" s="736"/>
      <c r="AK404" s="736"/>
      <c r="AL404" s="736"/>
      <c r="AM404" s="736"/>
      <c r="AN404" s="736"/>
      <c r="AO404" s="736"/>
      <c r="AP404" s="736"/>
      <c r="AQ404" s="736"/>
      <c r="AR404" s="736"/>
      <c r="AS404" s="736"/>
      <c r="AT404" s="736"/>
      <c r="AU404" s="736"/>
      <c r="AV404" s="736"/>
      <c r="AW404" s="736"/>
      <c r="AX404" s="736"/>
      <c r="AY404" s="736"/>
      <c r="AZ404" s="736"/>
      <c r="BA404" s="736"/>
      <c r="BB404" s="736"/>
      <c r="BC404" s="736"/>
      <c r="BD404" s="736"/>
      <c r="BE404" s="736"/>
      <c r="BF404" s="736"/>
      <c r="BG404" s="736"/>
      <c r="BH404" s="736"/>
      <c r="BI404" s="736"/>
      <c r="BJ404" s="736"/>
      <c r="BK404" s="736"/>
      <c r="BL404" s="736"/>
    </row>
    <row r="405" spans="1:64" ht="18.75" x14ac:dyDescent="0.25">
      <c r="A405" s="758"/>
      <c r="B405" s="737"/>
      <c r="C405" s="730"/>
      <c r="D405" s="739"/>
      <c r="E405" s="765"/>
      <c r="F405" s="765"/>
      <c r="G405" s="765"/>
      <c r="H405" s="765"/>
      <c r="I405" s="746" t="str">
        <f t="shared" si="19"/>
        <v/>
      </c>
      <c r="J405" s="731"/>
      <c r="K405" s="731" t="str">
        <f t="shared" si="18"/>
        <v/>
      </c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32"/>
      <c r="AB405" s="732"/>
      <c r="AC405" s="732"/>
      <c r="AD405" s="732"/>
      <c r="AE405" s="733"/>
      <c r="AF405" s="734" t="str">
        <f t="shared" si="20"/>
        <v/>
      </c>
      <c r="AG405" s="773"/>
    </row>
    <row r="406" spans="1:64" ht="18.75" x14ac:dyDescent="0.25">
      <c r="A406" s="758"/>
      <c r="B406" s="737"/>
      <c r="C406" s="730"/>
      <c r="D406" s="739"/>
      <c r="E406" s="765"/>
      <c r="F406" s="765"/>
      <c r="G406" s="765"/>
      <c r="H406" s="765"/>
      <c r="I406" s="746" t="str">
        <f t="shared" si="19"/>
        <v/>
      </c>
      <c r="J406" s="731"/>
      <c r="K406" s="731" t="str">
        <f t="shared" si="18"/>
        <v/>
      </c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32"/>
      <c r="AB406" s="732"/>
      <c r="AC406" s="732"/>
      <c r="AD406" s="732"/>
      <c r="AE406" s="733"/>
      <c r="AF406" s="734" t="str">
        <f t="shared" si="20"/>
        <v/>
      </c>
      <c r="AG406" s="773"/>
    </row>
    <row r="407" spans="1:64" ht="18.75" x14ac:dyDescent="0.25">
      <c r="A407" s="758"/>
      <c r="B407" s="737"/>
      <c r="C407" s="730"/>
      <c r="D407" s="739"/>
      <c r="E407" s="765"/>
      <c r="F407" s="765"/>
      <c r="G407" s="765"/>
      <c r="H407" s="765"/>
      <c r="I407" s="746" t="str">
        <f t="shared" si="19"/>
        <v/>
      </c>
      <c r="J407" s="731"/>
      <c r="K407" s="731" t="str">
        <f t="shared" si="18"/>
        <v/>
      </c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32"/>
      <c r="AB407" s="732"/>
      <c r="AC407" s="732"/>
      <c r="AD407" s="732"/>
      <c r="AE407" s="733"/>
      <c r="AF407" s="734" t="str">
        <f t="shared" si="20"/>
        <v/>
      </c>
      <c r="AG407" s="774"/>
      <c r="AH407" s="778"/>
      <c r="AI407" s="736"/>
      <c r="AJ407" s="736"/>
      <c r="AK407" s="736"/>
      <c r="AL407" s="736"/>
      <c r="AM407" s="736"/>
      <c r="AN407" s="736"/>
      <c r="AO407" s="736"/>
      <c r="AP407" s="736"/>
      <c r="AQ407" s="736"/>
      <c r="AR407" s="736"/>
      <c r="AS407" s="736"/>
      <c r="AT407" s="736"/>
      <c r="AU407" s="736"/>
      <c r="AV407" s="736"/>
      <c r="AW407" s="736"/>
      <c r="AX407" s="736"/>
      <c r="AY407" s="736"/>
      <c r="AZ407" s="736"/>
      <c r="BA407" s="736"/>
      <c r="BB407" s="736"/>
      <c r="BC407" s="736"/>
      <c r="BD407" s="736"/>
      <c r="BE407" s="736"/>
      <c r="BF407" s="736"/>
      <c r="BG407" s="736"/>
      <c r="BH407" s="736"/>
      <c r="BI407" s="736"/>
      <c r="BJ407" s="736"/>
      <c r="BK407" s="736"/>
      <c r="BL407" s="736"/>
    </row>
    <row r="408" spans="1:64" ht="18.75" x14ac:dyDescent="0.25">
      <c r="A408" s="758"/>
      <c r="B408" s="737"/>
      <c r="C408" s="730"/>
      <c r="D408" s="739"/>
      <c r="E408" s="765"/>
      <c r="F408" s="765"/>
      <c r="G408" s="765"/>
      <c r="H408" s="765"/>
      <c r="I408" s="746" t="str">
        <f t="shared" si="19"/>
        <v/>
      </c>
      <c r="J408" s="731"/>
      <c r="K408" s="731" t="str">
        <f t="shared" si="18"/>
        <v/>
      </c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32"/>
      <c r="AB408" s="732"/>
      <c r="AC408" s="732"/>
      <c r="AD408" s="732"/>
      <c r="AE408" s="733"/>
      <c r="AF408" s="734" t="str">
        <f t="shared" si="20"/>
        <v/>
      </c>
      <c r="AG408" s="774"/>
      <c r="AH408" s="778"/>
      <c r="AI408" s="736"/>
      <c r="AJ408" s="736"/>
      <c r="AK408" s="736"/>
      <c r="AL408" s="736"/>
      <c r="AM408" s="736"/>
      <c r="AN408" s="736"/>
      <c r="AO408" s="736"/>
      <c r="AP408" s="736"/>
      <c r="AQ408" s="736"/>
      <c r="AR408" s="736"/>
      <c r="AS408" s="736"/>
      <c r="AT408" s="736"/>
      <c r="AU408" s="736"/>
      <c r="AV408" s="736"/>
      <c r="AW408" s="736"/>
      <c r="AX408" s="736"/>
      <c r="AY408" s="736"/>
      <c r="AZ408" s="736"/>
      <c r="BA408" s="736"/>
      <c r="BB408" s="736"/>
      <c r="BC408" s="736"/>
      <c r="BD408" s="736"/>
      <c r="BE408" s="736"/>
      <c r="BF408" s="736"/>
      <c r="BG408" s="736"/>
      <c r="BH408" s="736"/>
      <c r="BI408" s="736"/>
      <c r="BJ408" s="736"/>
      <c r="BK408" s="736"/>
      <c r="BL408" s="736"/>
    </row>
    <row r="409" spans="1:64" ht="18.75" x14ac:dyDescent="0.25">
      <c r="A409" s="758"/>
      <c r="B409" s="737"/>
      <c r="C409" s="730"/>
      <c r="D409" s="739"/>
      <c r="E409" s="765"/>
      <c r="F409" s="765"/>
      <c r="G409" s="765"/>
      <c r="H409" s="765"/>
      <c r="I409" s="746" t="str">
        <f t="shared" si="19"/>
        <v/>
      </c>
      <c r="J409" s="731"/>
      <c r="K409" s="731" t="str">
        <f t="shared" si="18"/>
        <v/>
      </c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32"/>
      <c r="AB409" s="732"/>
      <c r="AC409" s="732"/>
      <c r="AD409" s="732"/>
      <c r="AE409" s="733"/>
      <c r="AF409" s="734" t="str">
        <f t="shared" si="20"/>
        <v/>
      </c>
      <c r="AG409" s="774"/>
      <c r="AH409" s="778"/>
      <c r="AI409" s="736"/>
      <c r="AJ409" s="736"/>
      <c r="AK409" s="736"/>
      <c r="AL409" s="736"/>
      <c r="AM409" s="736"/>
      <c r="AN409" s="736"/>
      <c r="AO409" s="736"/>
      <c r="AP409" s="736"/>
      <c r="AQ409" s="736"/>
      <c r="AR409" s="736"/>
      <c r="AS409" s="736"/>
      <c r="AT409" s="736"/>
      <c r="AU409" s="736"/>
      <c r="AV409" s="736"/>
      <c r="AW409" s="736"/>
      <c r="AX409" s="736"/>
      <c r="AY409" s="736"/>
      <c r="AZ409" s="736"/>
      <c r="BA409" s="736"/>
      <c r="BB409" s="736"/>
      <c r="BC409" s="736"/>
      <c r="BD409" s="736"/>
      <c r="BE409" s="736"/>
      <c r="BF409" s="736"/>
      <c r="BG409" s="736"/>
      <c r="BH409" s="736"/>
      <c r="BI409" s="736"/>
      <c r="BJ409" s="736"/>
      <c r="BK409" s="736"/>
      <c r="BL409" s="736"/>
    </row>
    <row r="410" spans="1:64" ht="18.75" x14ac:dyDescent="0.25">
      <c r="A410" s="758"/>
      <c r="B410" s="737"/>
      <c r="C410" s="730"/>
      <c r="D410" s="739"/>
      <c r="E410" s="765"/>
      <c r="F410" s="765"/>
      <c r="G410" s="765"/>
      <c r="H410" s="765"/>
      <c r="I410" s="746" t="str">
        <f t="shared" si="19"/>
        <v/>
      </c>
      <c r="J410" s="731"/>
      <c r="K410" s="731" t="str">
        <f t="shared" si="18"/>
        <v/>
      </c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32"/>
      <c r="AB410" s="732"/>
      <c r="AC410" s="732"/>
      <c r="AD410" s="732"/>
      <c r="AE410" s="733"/>
      <c r="AF410" s="734" t="str">
        <f t="shared" si="20"/>
        <v/>
      </c>
      <c r="AG410" s="773"/>
    </row>
    <row r="411" spans="1:64" ht="18.75" x14ac:dyDescent="0.25">
      <c r="A411" s="758"/>
      <c r="B411" s="737"/>
      <c r="C411" s="730"/>
      <c r="D411" s="739"/>
      <c r="E411" s="765"/>
      <c r="F411" s="765"/>
      <c r="G411" s="765"/>
      <c r="H411" s="765"/>
      <c r="I411" s="746" t="str">
        <f t="shared" si="19"/>
        <v/>
      </c>
      <c r="J411" s="731"/>
      <c r="K411" s="731" t="str">
        <f t="shared" si="18"/>
        <v/>
      </c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32"/>
      <c r="AB411" s="732"/>
      <c r="AC411" s="732"/>
      <c r="AD411" s="732"/>
      <c r="AE411" s="733"/>
      <c r="AF411" s="734" t="str">
        <f t="shared" si="20"/>
        <v/>
      </c>
      <c r="AG411" s="773"/>
    </row>
    <row r="412" spans="1:64" ht="18.75" x14ac:dyDescent="0.25">
      <c r="A412" s="758"/>
      <c r="B412" s="737"/>
      <c r="C412" s="730"/>
      <c r="D412" s="739"/>
      <c r="E412" s="765"/>
      <c r="F412" s="765"/>
      <c r="G412" s="765"/>
      <c r="H412" s="765"/>
      <c r="I412" s="746" t="str">
        <f t="shared" si="19"/>
        <v/>
      </c>
      <c r="J412" s="731"/>
      <c r="K412" s="731" t="str">
        <f t="shared" si="18"/>
        <v/>
      </c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32"/>
      <c r="AB412" s="732"/>
      <c r="AC412" s="732"/>
      <c r="AD412" s="732"/>
      <c r="AE412" s="733"/>
      <c r="AF412" s="734" t="str">
        <f t="shared" si="20"/>
        <v/>
      </c>
      <c r="AG412" s="773"/>
    </row>
    <row r="413" spans="1:64" ht="18.75" x14ac:dyDescent="0.25">
      <c r="A413" s="758"/>
      <c r="B413" s="737"/>
      <c r="C413" s="730"/>
      <c r="D413" s="739"/>
      <c r="E413" s="765"/>
      <c r="F413" s="765"/>
      <c r="G413" s="765"/>
      <c r="H413" s="765"/>
      <c r="I413" s="746" t="str">
        <f t="shared" si="19"/>
        <v/>
      </c>
      <c r="J413" s="731"/>
      <c r="K413" s="731" t="str">
        <f t="shared" si="18"/>
        <v/>
      </c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32"/>
      <c r="AB413" s="732"/>
      <c r="AC413" s="732"/>
      <c r="AD413" s="732"/>
      <c r="AE413" s="733"/>
      <c r="AF413" s="734" t="str">
        <f t="shared" si="20"/>
        <v/>
      </c>
      <c r="AG413" s="774"/>
      <c r="AH413" s="778"/>
      <c r="AI413" s="736"/>
      <c r="AJ413" s="736"/>
      <c r="AK413" s="736"/>
      <c r="AL413" s="736"/>
      <c r="AM413" s="736"/>
      <c r="AN413" s="736"/>
      <c r="AO413" s="736"/>
      <c r="AP413" s="736"/>
      <c r="AQ413" s="736"/>
      <c r="AR413" s="736"/>
      <c r="AS413" s="736"/>
      <c r="AT413" s="736"/>
      <c r="AU413" s="736"/>
      <c r="AV413" s="736"/>
      <c r="AW413" s="736"/>
      <c r="AX413" s="736"/>
      <c r="AY413" s="736"/>
      <c r="AZ413" s="736"/>
      <c r="BA413" s="736"/>
      <c r="BB413" s="736"/>
      <c r="BC413" s="736"/>
      <c r="BD413" s="736"/>
      <c r="BE413" s="736"/>
      <c r="BF413" s="736"/>
      <c r="BG413" s="736"/>
      <c r="BH413" s="736"/>
      <c r="BI413" s="736"/>
      <c r="BJ413" s="736"/>
      <c r="BK413" s="736"/>
      <c r="BL413" s="736"/>
    </row>
    <row r="414" spans="1:64" ht="18.75" x14ac:dyDescent="0.25">
      <c r="A414" s="758"/>
      <c r="B414" s="737"/>
      <c r="C414" s="730"/>
      <c r="D414" s="739"/>
      <c r="E414" s="765"/>
      <c r="F414" s="765"/>
      <c r="G414" s="765"/>
      <c r="H414" s="765"/>
      <c r="I414" s="746" t="str">
        <f t="shared" si="19"/>
        <v/>
      </c>
      <c r="J414" s="731"/>
      <c r="K414" s="731" t="str">
        <f t="shared" si="18"/>
        <v/>
      </c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32"/>
      <c r="AB414" s="732"/>
      <c r="AC414" s="732"/>
      <c r="AD414" s="732"/>
      <c r="AE414" s="733"/>
      <c r="AF414" s="734" t="str">
        <f t="shared" si="20"/>
        <v/>
      </c>
      <c r="AG414" s="773"/>
    </row>
    <row r="415" spans="1:64" ht="18.75" x14ac:dyDescent="0.25">
      <c r="A415" s="758"/>
      <c r="B415" s="737"/>
      <c r="C415" s="730"/>
      <c r="D415" s="739"/>
      <c r="E415" s="765"/>
      <c r="F415" s="765"/>
      <c r="G415" s="765"/>
      <c r="H415" s="765"/>
      <c r="I415" s="746" t="str">
        <f t="shared" si="19"/>
        <v/>
      </c>
      <c r="J415" s="731"/>
      <c r="K415" s="731" t="str">
        <f t="shared" si="18"/>
        <v/>
      </c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32"/>
      <c r="AB415" s="732"/>
      <c r="AC415" s="732"/>
      <c r="AD415" s="732"/>
      <c r="AE415" s="733"/>
      <c r="AF415" s="734" t="str">
        <f t="shared" si="20"/>
        <v/>
      </c>
      <c r="AG415" s="773"/>
    </row>
    <row r="416" spans="1:64" ht="18.75" x14ac:dyDescent="0.25">
      <c r="A416" s="758"/>
      <c r="B416" s="737"/>
      <c r="C416" s="730"/>
      <c r="D416" s="739"/>
      <c r="E416" s="765"/>
      <c r="F416" s="765"/>
      <c r="G416" s="765"/>
      <c r="H416" s="765"/>
      <c r="I416" s="746" t="str">
        <f t="shared" si="19"/>
        <v/>
      </c>
      <c r="J416" s="731"/>
      <c r="K416" s="731" t="str">
        <f t="shared" si="18"/>
        <v/>
      </c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32"/>
      <c r="AB416" s="732"/>
      <c r="AC416" s="732"/>
      <c r="AD416" s="732"/>
      <c r="AE416" s="733"/>
      <c r="AF416" s="734" t="str">
        <f t="shared" si="20"/>
        <v/>
      </c>
      <c r="AG416" s="773"/>
    </row>
    <row r="417" spans="1:64" ht="18.75" x14ac:dyDescent="0.25">
      <c r="A417" s="758"/>
      <c r="B417" s="737"/>
      <c r="C417" s="730"/>
      <c r="D417" s="739"/>
      <c r="E417" s="765"/>
      <c r="F417" s="765"/>
      <c r="G417" s="765"/>
      <c r="H417" s="765"/>
      <c r="I417" s="746" t="str">
        <f t="shared" si="19"/>
        <v/>
      </c>
      <c r="J417" s="731"/>
      <c r="K417" s="731" t="str">
        <f t="shared" si="18"/>
        <v/>
      </c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32"/>
      <c r="AB417" s="732"/>
      <c r="AC417" s="732"/>
      <c r="AD417" s="732"/>
      <c r="AE417" s="733"/>
      <c r="AF417" s="734" t="str">
        <f t="shared" si="20"/>
        <v/>
      </c>
      <c r="AG417" s="773"/>
    </row>
    <row r="418" spans="1:64" ht="18.75" x14ac:dyDescent="0.25">
      <c r="A418" s="758"/>
      <c r="B418" s="737"/>
      <c r="C418" s="730"/>
      <c r="D418" s="739"/>
      <c r="E418" s="765"/>
      <c r="F418" s="765"/>
      <c r="G418" s="765"/>
      <c r="H418" s="765"/>
      <c r="I418" s="746" t="str">
        <f t="shared" si="19"/>
        <v/>
      </c>
      <c r="J418" s="731"/>
      <c r="K418" s="731" t="str">
        <f t="shared" si="18"/>
        <v/>
      </c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32"/>
      <c r="AB418" s="732"/>
      <c r="AC418" s="732"/>
      <c r="AD418" s="732"/>
      <c r="AE418" s="733"/>
      <c r="AF418" s="734" t="str">
        <f t="shared" si="20"/>
        <v/>
      </c>
      <c r="AG418" s="773"/>
    </row>
    <row r="419" spans="1:64" ht="18.75" x14ac:dyDescent="0.25">
      <c r="A419" s="758"/>
      <c r="B419" s="737"/>
      <c r="C419" s="730"/>
      <c r="D419" s="739"/>
      <c r="E419" s="765"/>
      <c r="F419" s="765"/>
      <c r="G419" s="765"/>
      <c r="H419" s="765"/>
      <c r="I419" s="746" t="str">
        <f t="shared" si="19"/>
        <v/>
      </c>
      <c r="J419" s="731"/>
      <c r="K419" s="731" t="str">
        <f t="shared" si="18"/>
        <v/>
      </c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32"/>
      <c r="AB419" s="732"/>
      <c r="AC419" s="732"/>
      <c r="AD419" s="732"/>
      <c r="AE419" s="733"/>
      <c r="AF419" s="734" t="str">
        <f t="shared" si="20"/>
        <v/>
      </c>
      <c r="AG419" s="773"/>
    </row>
    <row r="420" spans="1:64" ht="18.75" x14ac:dyDescent="0.25">
      <c r="A420" s="758"/>
      <c r="B420" s="737"/>
      <c r="C420" s="730"/>
      <c r="D420" s="739"/>
      <c r="E420" s="765"/>
      <c r="F420" s="765"/>
      <c r="G420" s="765"/>
      <c r="H420" s="765"/>
      <c r="I420" s="746" t="str">
        <f t="shared" si="19"/>
        <v/>
      </c>
      <c r="J420" s="731"/>
      <c r="K420" s="731" t="str">
        <f t="shared" si="18"/>
        <v/>
      </c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32"/>
      <c r="AB420" s="732"/>
      <c r="AC420" s="732"/>
      <c r="AD420" s="732"/>
      <c r="AE420" s="733"/>
      <c r="AF420" s="734" t="str">
        <f t="shared" si="20"/>
        <v/>
      </c>
      <c r="AG420" s="773"/>
    </row>
    <row r="421" spans="1:64" ht="18.75" x14ac:dyDescent="0.25">
      <c r="A421" s="758"/>
      <c r="B421" s="737"/>
      <c r="C421" s="730"/>
      <c r="D421" s="739"/>
      <c r="E421" s="765"/>
      <c r="F421" s="765"/>
      <c r="G421" s="765"/>
      <c r="H421" s="765"/>
      <c r="I421" s="746" t="str">
        <f t="shared" si="19"/>
        <v/>
      </c>
      <c r="J421" s="731"/>
      <c r="K421" s="731" t="str">
        <f t="shared" si="18"/>
        <v/>
      </c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32"/>
      <c r="AB421" s="732"/>
      <c r="AC421" s="732"/>
      <c r="AD421" s="732"/>
      <c r="AE421" s="733"/>
      <c r="AF421" s="734" t="str">
        <f t="shared" si="20"/>
        <v/>
      </c>
      <c r="AG421" s="773"/>
    </row>
    <row r="422" spans="1:64" ht="18.75" x14ac:dyDescent="0.25">
      <c r="A422" s="758"/>
      <c r="B422" s="737"/>
      <c r="C422" s="730"/>
      <c r="D422" s="739"/>
      <c r="E422" s="765"/>
      <c r="F422" s="765"/>
      <c r="G422" s="765"/>
      <c r="H422" s="765"/>
      <c r="I422" s="746" t="str">
        <f t="shared" si="19"/>
        <v/>
      </c>
      <c r="J422" s="731"/>
      <c r="K422" s="731" t="str">
        <f t="shared" si="18"/>
        <v/>
      </c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32"/>
      <c r="AB422" s="732"/>
      <c r="AC422" s="732"/>
      <c r="AD422" s="732"/>
      <c r="AE422" s="733"/>
      <c r="AF422" s="734" t="str">
        <f t="shared" si="20"/>
        <v/>
      </c>
      <c r="AG422" s="773"/>
    </row>
    <row r="423" spans="1:64" ht="18.75" x14ac:dyDescent="0.25">
      <c r="A423" s="758"/>
      <c r="B423" s="737"/>
      <c r="C423" s="730"/>
      <c r="D423" s="739"/>
      <c r="E423" s="765"/>
      <c r="F423" s="765"/>
      <c r="G423" s="765"/>
      <c r="H423" s="765"/>
      <c r="I423" s="746" t="str">
        <f t="shared" si="19"/>
        <v/>
      </c>
      <c r="J423" s="731"/>
      <c r="K423" s="731" t="str">
        <f t="shared" si="18"/>
        <v/>
      </c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32"/>
      <c r="AB423" s="732"/>
      <c r="AC423" s="732"/>
      <c r="AD423" s="732"/>
      <c r="AE423" s="733"/>
      <c r="AF423" s="734" t="str">
        <f t="shared" si="20"/>
        <v/>
      </c>
      <c r="AG423" s="773"/>
    </row>
    <row r="424" spans="1:64" ht="18.75" x14ac:dyDescent="0.25">
      <c r="A424" s="758"/>
      <c r="B424" s="737"/>
      <c r="C424" s="730"/>
      <c r="D424" s="739"/>
      <c r="E424" s="765"/>
      <c r="F424" s="765"/>
      <c r="G424" s="765"/>
      <c r="H424" s="765"/>
      <c r="I424" s="746" t="str">
        <f t="shared" si="19"/>
        <v/>
      </c>
      <c r="J424" s="731"/>
      <c r="K424" s="731" t="str">
        <f t="shared" si="18"/>
        <v/>
      </c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32"/>
      <c r="AB424" s="732"/>
      <c r="AC424" s="732"/>
      <c r="AD424" s="732"/>
      <c r="AE424" s="733"/>
      <c r="AF424" s="734" t="str">
        <f t="shared" si="20"/>
        <v/>
      </c>
      <c r="AG424" s="773"/>
    </row>
    <row r="425" spans="1:64" ht="19.5" customHeight="1" x14ac:dyDescent="0.25">
      <c r="A425" s="758"/>
      <c r="B425" s="737"/>
      <c r="C425" s="730"/>
      <c r="D425" s="739"/>
      <c r="E425" s="765"/>
      <c r="F425" s="765"/>
      <c r="G425" s="765"/>
      <c r="H425" s="765"/>
      <c r="I425" s="746" t="str">
        <f t="shared" si="19"/>
        <v/>
      </c>
      <c r="J425" s="731"/>
      <c r="K425" s="731" t="str">
        <f t="shared" si="18"/>
        <v/>
      </c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32"/>
      <c r="AB425" s="732"/>
      <c r="AC425" s="732"/>
      <c r="AD425" s="732"/>
      <c r="AE425" s="733"/>
      <c r="AF425" s="734" t="str">
        <f t="shared" si="20"/>
        <v/>
      </c>
      <c r="AG425" s="773"/>
    </row>
    <row r="426" spans="1:64" ht="18.75" x14ac:dyDescent="0.25">
      <c r="A426" s="758"/>
      <c r="B426" s="737"/>
      <c r="C426" s="730"/>
      <c r="D426" s="739"/>
      <c r="E426" s="765"/>
      <c r="F426" s="765"/>
      <c r="G426" s="765"/>
      <c r="H426" s="765"/>
      <c r="I426" s="746" t="str">
        <f t="shared" si="19"/>
        <v/>
      </c>
      <c r="J426" s="731"/>
      <c r="K426" s="731" t="str">
        <f t="shared" si="18"/>
        <v/>
      </c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32"/>
      <c r="AB426" s="732"/>
      <c r="AC426" s="732"/>
      <c r="AD426" s="732"/>
      <c r="AE426" s="733"/>
      <c r="AF426" s="734" t="str">
        <f t="shared" si="20"/>
        <v/>
      </c>
      <c r="AG426" s="773"/>
    </row>
    <row r="427" spans="1:64" ht="18.75" x14ac:dyDescent="0.25">
      <c r="A427" s="758"/>
      <c r="B427" s="737"/>
      <c r="C427" s="730"/>
      <c r="D427" s="739"/>
      <c r="E427" s="765"/>
      <c r="F427" s="765"/>
      <c r="G427" s="765"/>
      <c r="H427" s="765"/>
      <c r="I427" s="746" t="str">
        <f t="shared" si="19"/>
        <v/>
      </c>
      <c r="J427" s="731"/>
      <c r="K427" s="731" t="str">
        <f t="shared" si="18"/>
        <v/>
      </c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32"/>
      <c r="AB427" s="732"/>
      <c r="AC427" s="732"/>
      <c r="AD427" s="732"/>
      <c r="AE427" s="733"/>
      <c r="AF427" s="734" t="str">
        <f t="shared" si="20"/>
        <v/>
      </c>
      <c r="AG427" s="773"/>
    </row>
    <row r="428" spans="1:64" ht="19.5" customHeight="1" x14ac:dyDescent="0.25">
      <c r="A428" s="758"/>
      <c r="B428" s="737"/>
      <c r="C428" s="730"/>
      <c r="D428" s="739"/>
      <c r="E428" s="765"/>
      <c r="F428" s="765"/>
      <c r="G428" s="765"/>
      <c r="H428" s="765"/>
      <c r="I428" s="746" t="str">
        <f t="shared" si="19"/>
        <v/>
      </c>
      <c r="J428" s="731"/>
      <c r="K428" s="731" t="str">
        <f t="shared" si="18"/>
        <v/>
      </c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32"/>
      <c r="AB428" s="732"/>
      <c r="AC428" s="732"/>
      <c r="AD428" s="732"/>
      <c r="AE428" s="733"/>
      <c r="AF428" s="734" t="str">
        <f t="shared" si="20"/>
        <v/>
      </c>
      <c r="AG428" s="775"/>
      <c r="AH428" s="779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</row>
    <row r="429" spans="1:64" ht="19.5" customHeight="1" x14ac:dyDescent="0.25">
      <c r="A429" s="758"/>
      <c r="B429" s="737"/>
      <c r="C429" s="730"/>
      <c r="D429" s="739"/>
      <c r="E429" s="765"/>
      <c r="F429" s="765"/>
      <c r="G429" s="765"/>
      <c r="H429" s="765"/>
      <c r="I429" s="746" t="str">
        <f t="shared" si="19"/>
        <v/>
      </c>
      <c r="J429" s="731"/>
      <c r="K429" s="731" t="str">
        <f t="shared" si="18"/>
        <v/>
      </c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32"/>
      <c r="AB429" s="732"/>
      <c r="AC429" s="732"/>
      <c r="AD429" s="732"/>
      <c r="AE429" s="733"/>
      <c r="AF429" s="734" t="str">
        <f t="shared" si="20"/>
        <v/>
      </c>
      <c r="AG429" s="775"/>
      <c r="AH429" s="779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</row>
    <row r="430" spans="1:64" ht="18.75" x14ac:dyDescent="0.25">
      <c r="A430" s="758"/>
      <c r="B430" s="737"/>
      <c r="C430" s="730"/>
      <c r="D430" s="739"/>
      <c r="E430" s="765"/>
      <c r="F430" s="765"/>
      <c r="G430" s="765"/>
      <c r="H430" s="765"/>
      <c r="I430" s="746" t="str">
        <f t="shared" si="19"/>
        <v/>
      </c>
      <c r="J430" s="731"/>
      <c r="K430" s="731" t="str">
        <f t="shared" si="18"/>
        <v/>
      </c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32"/>
      <c r="AB430" s="732"/>
      <c r="AC430" s="732"/>
      <c r="AD430" s="732"/>
      <c r="AE430" s="733"/>
      <c r="AF430" s="734" t="str">
        <f t="shared" si="20"/>
        <v/>
      </c>
      <c r="AG430" s="773"/>
    </row>
    <row r="431" spans="1:64" ht="18.75" x14ac:dyDescent="0.25">
      <c r="A431" s="758"/>
      <c r="B431" s="737"/>
      <c r="C431" s="730"/>
      <c r="D431" s="739"/>
      <c r="E431" s="765"/>
      <c r="F431" s="765"/>
      <c r="G431" s="765"/>
      <c r="H431" s="765"/>
      <c r="I431" s="746" t="str">
        <f t="shared" si="19"/>
        <v/>
      </c>
      <c r="J431" s="731"/>
      <c r="K431" s="731" t="str">
        <f t="shared" si="18"/>
        <v/>
      </c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32"/>
      <c r="AB431" s="732"/>
      <c r="AC431" s="732"/>
      <c r="AD431" s="732"/>
      <c r="AE431" s="733"/>
      <c r="AF431" s="734" t="str">
        <f t="shared" si="20"/>
        <v/>
      </c>
      <c r="AG431" s="773"/>
    </row>
    <row r="432" spans="1:64" ht="18.75" x14ac:dyDescent="0.25">
      <c r="A432" s="758"/>
      <c r="B432" s="737"/>
      <c r="C432" s="730"/>
      <c r="D432" s="739"/>
      <c r="E432" s="765"/>
      <c r="F432" s="765"/>
      <c r="G432" s="765"/>
      <c r="H432" s="765"/>
      <c r="I432" s="746" t="str">
        <f t="shared" si="19"/>
        <v/>
      </c>
      <c r="J432" s="731"/>
      <c r="K432" s="731" t="str">
        <f t="shared" si="18"/>
        <v/>
      </c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32"/>
      <c r="AB432" s="732"/>
      <c r="AC432" s="732"/>
      <c r="AD432" s="732"/>
      <c r="AE432" s="733"/>
      <c r="AF432" s="734" t="str">
        <f t="shared" si="20"/>
        <v/>
      </c>
      <c r="AG432" s="773"/>
    </row>
    <row r="433" spans="1:64" ht="18.75" x14ac:dyDescent="0.25">
      <c r="A433" s="758"/>
      <c r="B433" s="737"/>
      <c r="C433" s="730"/>
      <c r="D433" s="739"/>
      <c r="E433" s="765"/>
      <c r="F433" s="765"/>
      <c r="G433" s="765"/>
      <c r="H433" s="765"/>
      <c r="I433" s="746" t="str">
        <f t="shared" si="19"/>
        <v/>
      </c>
      <c r="J433" s="731"/>
      <c r="K433" s="731" t="str">
        <f t="shared" si="18"/>
        <v/>
      </c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32"/>
      <c r="AB433" s="732"/>
      <c r="AC433" s="732"/>
      <c r="AD433" s="732"/>
      <c r="AE433" s="733"/>
      <c r="AF433" s="734" t="str">
        <f t="shared" si="20"/>
        <v/>
      </c>
      <c r="AG433" s="773"/>
    </row>
    <row r="434" spans="1:64" ht="18.75" x14ac:dyDescent="0.25">
      <c r="A434" s="758"/>
      <c r="B434" s="737"/>
      <c r="C434" s="730"/>
      <c r="D434" s="739"/>
      <c r="E434" s="765"/>
      <c r="F434" s="765"/>
      <c r="G434" s="765"/>
      <c r="H434" s="765"/>
      <c r="I434" s="746" t="str">
        <f t="shared" si="19"/>
        <v/>
      </c>
      <c r="J434" s="731"/>
      <c r="K434" s="731" t="str">
        <f t="shared" si="18"/>
        <v/>
      </c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32"/>
      <c r="AB434" s="732"/>
      <c r="AC434" s="732"/>
      <c r="AD434" s="732"/>
      <c r="AE434" s="733"/>
      <c r="AF434" s="734" t="str">
        <f t="shared" si="20"/>
        <v/>
      </c>
      <c r="AG434" s="773"/>
    </row>
    <row r="435" spans="1:64" ht="18.75" x14ac:dyDescent="0.25">
      <c r="A435" s="758"/>
      <c r="B435" s="737"/>
      <c r="C435" s="730"/>
      <c r="D435" s="739"/>
      <c r="E435" s="765"/>
      <c r="F435" s="765"/>
      <c r="G435" s="765"/>
      <c r="H435" s="765"/>
      <c r="I435" s="746" t="str">
        <f t="shared" si="19"/>
        <v/>
      </c>
      <c r="J435" s="731"/>
      <c r="K435" s="731" t="str">
        <f t="shared" si="18"/>
        <v/>
      </c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32"/>
      <c r="AB435" s="732"/>
      <c r="AC435" s="732"/>
      <c r="AD435" s="732"/>
      <c r="AE435" s="733"/>
      <c r="AF435" s="734" t="str">
        <f t="shared" si="20"/>
        <v/>
      </c>
      <c r="AG435" s="773"/>
    </row>
    <row r="436" spans="1:64" ht="18.75" x14ac:dyDescent="0.25">
      <c r="A436" s="758"/>
      <c r="B436" s="737"/>
      <c r="C436" s="730"/>
      <c r="D436" s="739"/>
      <c r="E436" s="765"/>
      <c r="F436" s="765"/>
      <c r="G436" s="765"/>
      <c r="H436" s="765"/>
      <c r="I436" s="746" t="str">
        <f t="shared" si="19"/>
        <v/>
      </c>
      <c r="J436" s="731"/>
      <c r="K436" s="731" t="str">
        <f t="shared" si="18"/>
        <v/>
      </c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32"/>
      <c r="AB436" s="732"/>
      <c r="AC436" s="732"/>
      <c r="AD436" s="732"/>
      <c r="AE436" s="733"/>
      <c r="AF436" s="734" t="str">
        <f t="shared" si="20"/>
        <v/>
      </c>
      <c r="AG436" s="775"/>
      <c r="AH436" s="779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</row>
    <row r="437" spans="1:64" ht="18.75" x14ac:dyDescent="0.25">
      <c r="A437" s="758"/>
      <c r="B437" s="737"/>
      <c r="C437" s="730"/>
      <c r="D437" s="739"/>
      <c r="E437" s="765"/>
      <c r="F437" s="765"/>
      <c r="G437" s="765"/>
      <c r="H437" s="765"/>
      <c r="I437" s="746" t="str">
        <f t="shared" si="19"/>
        <v/>
      </c>
      <c r="J437" s="731"/>
      <c r="K437" s="731" t="str">
        <f t="shared" si="18"/>
        <v/>
      </c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32"/>
      <c r="AB437" s="732"/>
      <c r="AC437" s="732"/>
      <c r="AD437" s="732"/>
      <c r="AE437" s="733"/>
      <c r="AF437" s="734" t="str">
        <f t="shared" si="20"/>
        <v/>
      </c>
      <c r="AG437" s="773"/>
    </row>
    <row r="438" spans="1:64" ht="18.75" x14ac:dyDescent="0.25">
      <c r="A438" s="758"/>
      <c r="B438" s="737"/>
      <c r="C438" s="730"/>
      <c r="D438" s="739"/>
      <c r="E438" s="765"/>
      <c r="F438" s="765"/>
      <c r="G438" s="765"/>
      <c r="H438" s="765"/>
      <c r="I438" s="746" t="str">
        <f t="shared" si="19"/>
        <v/>
      </c>
      <c r="J438" s="731"/>
      <c r="K438" s="731" t="str">
        <f t="shared" si="18"/>
        <v/>
      </c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32"/>
      <c r="AB438" s="732"/>
      <c r="AC438" s="732"/>
      <c r="AD438" s="732"/>
      <c r="AE438" s="733"/>
      <c r="AF438" s="734" t="str">
        <f t="shared" si="20"/>
        <v/>
      </c>
      <c r="AG438" s="773"/>
    </row>
    <row r="439" spans="1:64" ht="18.75" x14ac:dyDescent="0.25">
      <c r="A439" s="758"/>
      <c r="B439" s="737"/>
      <c r="C439" s="730"/>
      <c r="D439" s="739"/>
      <c r="E439" s="765"/>
      <c r="F439" s="765"/>
      <c r="G439" s="765"/>
      <c r="H439" s="765"/>
      <c r="I439" s="746" t="str">
        <f t="shared" si="19"/>
        <v/>
      </c>
      <c r="J439" s="731"/>
      <c r="K439" s="731" t="str">
        <f t="shared" si="18"/>
        <v/>
      </c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32"/>
      <c r="AB439" s="732"/>
      <c r="AC439" s="732"/>
      <c r="AD439" s="732"/>
      <c r="AE439" s="733"/>
      <c r="AF439" s="734" t="str">
        <f t="shared" si="20"/>
        <v/>
      </c>
      <c r="AG439" s="773"/>
    </row>
    <row r="440" spans="1:64" ht="18.75" x14ac:dyDescent="0.25">
      <c r="A440" s="758"/>
      <c r="B440" s="737"/>
      <c r="C440" s="730"/>
      <c r="D440" s="739"/>
      <c r="E440" s="765"/>
      <c r="F440" s="765"/>
      <c r="G440" s="765"/>
      <c r="H440" s="765"/>
      <c r="I440" s="746" t="str">
        <f t="shared" si="19"/>
        <v/>
      </c>
      <c r="J440" s="731"/>
      <c r="K440" s="731" t="str">
        <f t="shared" si="18"/>
        <v/>
      </c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32"/>
      <c r="AB440" s="732"/>
      <c r="AC440" s="732"/>
      <c r="AD440" s="732"/>
      <c r="AE440" s="733"/>
      <c r="AF440" s="734" t="str">
        <f t="shared" si="20"/>
        <v/>
      </c>
      <c r="AG440" s="773"/>
    </row>
    <row r="441" spans="1:64" ht="18.75" x14ac:dyDescent="0.25">
      <c r="A441" s="758"/>
      <c r="B441" s="737"/>
      <c r="C441" s="730"/>
      <c r="D441" s="739"/>
      <c r="E441" s="765"/>
      <c r="F441" s="765"/>
      <c r="G441" s="765"/>
      <c r="H441" s="765"/>
      <c r="I441" s="746" t="str">
        <f t="shared" si="19"/>
        <v/>
      </c>
      <c r="J441" s="731"/>
      <c r="K441" s="731" t="str">
        <f t="shared" si="18"/>
        <v/>
      </c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32"/>
      <c r="AB441" s="732"/>
      <c r="AC441" s="732"/>
      <c r="AD441" s="732"/>
      <c r="AE441" s="733"/>
      <c r="AF441" s="734" t="str">
        <f t="shared" si="20"/>
        <v/>
      </c>
      <c r="AG441" s="773"/>
    </row>
    <row r="442" spans="1:64" ht="19.5" customHeight="1" x14ac:dyDescent="0.25">
      <c r="A442" s="758"/>
      <c r="B442" s="737"/>
      <c r="C442" s="730"/>
      <c r="D442" s="739"/>
      <c r="E442" s="765"/>
      <c r="F442" s="765"/>
      <c r="G442" s="765"/>
      <c r="H442" s="765"/>
      <c r="I442" s="746" t="str">
        <f t="shared" si="19"/>
        <v/>
      </c>
      <c r="J442" s="731"/>
      <c r="K442" s="731" t="str">
        <f t="shared" si="18"/>
        <v/>
      </c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32"/>
      <c r="AB442" s="732"/>
      <c r="AC442" s="732"/>
      <c r="AD442" s="732"/>
      <c r="AE442" s="733"/>
      <c r="AF442" s="734" t="str">
        <f t="shared" si="20"/>
        <v/>
      </c>
      <c r="AG442" s="775"/>
      <c r="AH442" s="779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</row>
    <row r="443" spans="1:64" ht="19.5" customHeight="1" x14ac:dyDescent="0.25">
      <c r="A443" s="758"/>
      <c r="B443" s="737"/>
      <c r="C443" s="730"/>
      <c r="D443" s="739"/>
      <c r="E443" s="765"/>
      <c r="F443" s="765"/>
      <c r="G443" s="765"/>
      <c r="H443" s="765"/>
      <c r="I443" s="746" t="str">
        <f t="shared" si="19"/>
        <v/>
      </c>
      <c r="J443" s="731"/>
      <c r="K443" s="731" t="str">
        <f t="shared" si="18"/>
        <v/>
      </c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32"/>
      <c r="AB443" s="732"/>
      <c r="AC443" s="732"/>
      <c r="AD443" s="732"/>
      <c r="AE443" s="733"/>
      <c r="AF443" s="734" t="str">
        <f t="shared" si="20"/>
        <v/>
      </c>
      <c r="AG443" s="775"/>
      <c r="AH443" s="779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</row>
    <row r="444" spans="1:64" ht="18.75" x14ac:dyDescent="0.25">
      <c r="A444" s="758"/>
      <c r="B444" s="737"/>
      <c r="C444" s="730"/>
      <c r="D444" s="739"/>
      <c r="E444" s="765"/>
      <c r="F444" s="765"/>
      <c r="G444" s="765"/>
      <c r="H444" s="765"/>
      <c r="I444" s="746" t="str">
        <f t="shared" si="19"/>
        <v/>
      </c>
      <c r="J444" s="731"/>
      <c r="K444" s="731" t="str">
        <f t="shared" si="18"/>
        <v/>
      </c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32"/>
      <c r="AB444" s="732"/>
      <c r="AC444" s="732"/>
      <c r="AD444" s="732"/>
      <c r="AE444" s="733"/>
      <c r="AF444" s="734" t="str">
        <f t="shared" si="20"/>
        <v/>
      </c>
      <c r="AG444" s="773"/>
    </row>
    <row r="445" spans="1:64" ht="18.75" x14ac:dyDescent="0.25">
      <c r="A445" s="758"/>
      <c r="B445" s="737"/>
      <c r="C445" s="730"/>
      <c r="D445" s="739"/>
      <c r="E445" s="765"/>
      <c r="F445" s="765"/>
      <c r="G445" s="765"/>
      <c r="H445" s="765"/>
      <c r="I445" s="746" t="str">
        <f t="shared" si="19"/>
        <v/>
      </c>
      <c r="J445" s="731"/>
      <c r="K445" s="731" t="str">
        <f t="shared" si="18"/>
        <v/>
      </c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32"/>
      <c r="AB445" s="732"/>
      <c r="AC445" s="732"/>
      <c r="AD445" s="732"/>
      <c r="AE445" s="733"/>
      <c r="AF445" s="734" t="str">
        <f t="shared" si="20"/>
        <v/>
      </c>
      <c r="AG445" s="773"/>
    </row>
    <row r="446" spans="1:64" ht="18.75" x14ac:dyDescent="0.25">
      <c r="A446" s="758"/>
      <c r="B446" s="737"/>
      <c r="C446" s="730"/>
      <c r="D446" s="739"/>
      <c r="E446" s="765"/>
      <c r="F446" s="765"/>
      <c r="G446" s="765"/>
      <c r="H446" s="765"/>
      <c r="I446" s="746" t="str">
        <f t="shared" si="19"/>
        <v/>
      </c>
      <c r="J446" s="731"/>
      <c r="K446" s="731" t="str">
        <f t="shared" si="18"/>
        <v/>
      </c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32"/>
      <c r="AB446" s="732"/>
      <c r="AC446" s="732"/>
      <c r="AD446" s="732"/>
      <c r="AE446" s="733"/>
      <c r="AF446" s="734" t="str">
        <f t="shared" si="20"/>
        <v/>
      </c>
      <c r="AG446" s="773"/>
    </row>
    <row r="447" spans="1:64" ht="18.75" x14ac:dyDescent="0.25">
      <c r="A447" s="758"/>
      <c r="B447" s="737"/>
      <c r="C447" s="730"/>
      <c r="D447" s="739"/>
      <c r="E447" s="765"/>
      <c r="F447" s="765"/>
      <c r="G447" s="765"/>
      <c r="H447" s="765"/>
      <c r="I447" s="746" t="str">
        <f t="shared" si="19"/>
        <v/>
      </c>
      <c r="J447" s="731"/>
      <c r="K447" s="731" t="str">
        <f t="shared" si="18"/>
        <v/>
      </c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32"/>
      <c r="AB447" s="732"/>
      <c r="AC447" s="732"/>
      <c r="AD447" s="732"/>
      <c r="AE447" s="733"/>
      <c r="AF447" s="734" t="str">
        <f t="shared" si="20"/>
        <v/>
      </c>
      <c r="AG447" s="773"/>
    </row>
    <row r="448" spans="1:64" ht="18.75" x14ac:dyDescent="0.25">
      <c r="A448" s="758"/>
      <c r="B448" s="737"/>
      <c r="C448" s="730"/>
      <c r="D448" s="739"/>
      <c r="E448" s="765"/>
      <c r="F448" s="765"/>
      <c r="G448" s="765"/>
      <c r="H448" s="765"/>
      <c r="I448" s="746" t="str">
        <f t="shared" si="19"/>
        <v/>
      </c>
      <c r="J448" s="731"/>
      <c r="K448" s="731" t="str">
        <f t="shared" si="18"/>
        <v/>
      </c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32"/>
      <c r="AB448" s="732"/>
      <c r="AC448" s="732"/>
      <c r="AD448" s="732"/>
      <c r="AE448" s="733"/>
      <c r="AF448" s="734" t="str">
        <f t="shared" si="20"/>
        <v/>
      </c>
      <c r="AG448" s="773"/>
    </row>
    <row r="449" spans="1:64" ht="18.75" x14ac:dyDescent="0.25">
      <c r="A449" s="758"/>
      <c r="B449" s="737"/>
      <c r="C449" s="730"/>
      <c r="D449" s="739"/>
      <c r="E449" s="765"/>
      <c r="F449" s="765"/>
      <c r="G449" s="765"/>
      <c r="H449" s="765"/>
      <c r="I449" s="746" t="str">
        <f t="shared" si="19"/>
        <v/>
      </c>
      <c r="J449" s="731"/>
      <c r="K449" s="731" t="str">
        <f t="shared" si="18"/>
        <v/>
      </c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32"/>
      <c r="AB449" s="732"/>
      <c r="AC449" s="732"/>
      <c r="AD449" s="732"/>
      <c r="AE449" s="733"/>
      <c r="AF449" s="734" t="str">
        <f t="shared" si="20"/>
        <v/>
      </c>
      <c r="AG449" s="773"/>
    </row>
    <row r="450" spans="1:64" ht="18.75" x14ac:dyDescent="0.25">
      <c r="A450" s="758"/>
      <c r="B450" s="737"/>
      <c r="C450" s="730"/>
      <c r="D450" s="739"/>
      <c r="E450" s="765"/>
      <c r="F450" s="765"/>
      <c r="G450" s="765"/>
      <c r="H450" s="765"/>
      <c r="I450" s="746" t="str">
        <f t="shared" si="19"/>
        <v/>
      </c>
      <c r="J450" s="731"/>
      <c r="K450" s="731" t="str">
        <f t="shared" si="18"/>
        <v/>
      </c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32"/>
      <c r="AB450" s="732"/>
      <c r="AC450" s="732"/>
      <c r="AD450" s="732"/>
      <c r="AE450" s="733"/>
      <c r="AF450" s="734" t="str">
        <f t="shared" si="20"/>
        <v/>
      </c>
      <c r="AG450" s="775"/>
      <c r="AH450" s="779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</row>
    <row r="451" spans="1:64" ht="18.75" x14ac:dyDescent="0.25">
      <c r="A451" s="758"/>
      <c r="B451" s="737"/>
      <c r="C451" s="730"/>
      <c r="D451" s="739"/>
      <c r="E451" s="765"/>
      <c r="F451" s="765"/>
      <c r="G451" s="765"/>
      <c r="H451" s="765"/>
      <c r="I451" s="746" t="str">
        <f t="shared" si="19"/>
        <v/>
      </c>
      <c r="J451" s="731"/>
      <c r="K451" s="731" t="str">
        <f t="shared" si="18"/>
        <v/>
      </c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32"/>
      <c r="AB451" s="732"/>
      <c r="AC451" s="732"/>
      <c r="AD451" s="732"/>
      <c r="AE451" s="733"/>
      <c r="AF451" s="734" t="str">
        <f t="shared" si="20"/>
        <v/>
      </c>
      <c r="AG451" s="773"/>
    </row>
    <row r="452" spans="1:64" ht="18.75" x14ac:dyDescent="0.25">
      <c r="A452" s="758"/>
      <c r="B452" s="737"/>
      <c r="C452" s="730"/>
      <c r="D452" s="739"/>
      <c r="E452" s="765"/>
      <c r="F452" s="765"/>
      <c r="G452" s="765"/>
      <c r="H452" s="765"/>
      <c r="I452" s="746" t="str">
        <f t="shared" si="19"/>
        <v/>
      </c>
      <c r="J452" s="731"/>
      <c r="K452" s="731" t="str">
        <f t="shared" ref="K452:K515" si="21">IF(AA452-AE452 = 0,"",AA452-AE452)</f>
        <v/>
      </c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32"/>
      <c r="AB452" s="732"/>
      <c r="AC452" s="732"/>
      <c r="AD452" s="732"/>
      <c r="AE452" s="733"/>
      <c r="AF452" s="734" t="str">
        <f t="shared" si="20"/>
        <v/>
      </c>
      <c r="AG452" s="773"/>
    </row>
    <row r="453" spans="1:64" ht="18.75" x14ac:dyDescent="0.25">
      <c r="A453" s="758"/>
      <c r="B453" s="737"/>
      <c r="C453" s="730"/>
      <c r="D453" s="739"/>
      <c r="E453" s="765"/>
      <c r="F453" s="765"/>
      <c r="G453" s="765"/>
      <c r="H453" s="765"/>
      <c r="I453" s="746" t="str">
        <f t="shared" ref="I453:I516" si="22">AF453</f>
        <v/>
      </c>
      <c r="J453" s="731"/>
      <c r="K453" s="731" t="str">
        <f t="shared" si="21"/>
        <v/>
      </c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32"/>
      <c r="AB453" s="732"/>
      <c r="AC453" s="732"/>
      <c r="AD453" s="732"/>
      <c r="AE453" s="733"/>
      <c r="AF453" s="734" t="str">
        <f t="shared" ref="AF453:AF516" si="23">IF(AE453 &lt;&gt;"", AE453/AA453,"")</f>
        <v/>
      </c>
      <c r="AG453" s="773"/>
    </row>
    <row r="454" spans="1:64" ht="18.75" x14ac:dyDescent="0.25">
      <c r="A454" s="758"/>
      <c r="B454" s="737"/>
      <c r="C454" s="730"/>
      <c r="D454" s="739"/>
      <c r="E454" s="765"/>
      <c r="F454" s="765"/>
      <c r="G454" s="765"/>
      <c r="H454" s="765"/>
      <c r="I454" s="746" t="str">
        <f t="shared" si="22"/>
        <v/>
      </c>
      <c r="J454" s="731"/>
      <c r="K454" s="731" t="str">
        <f t="shared" si="21"/>
        <v/>
      </c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32"/>
      <c r="AB454" s="732"/>
      <c r="AC454" s="732"/>
      <c r="AD454" s="732"/>
      <c r="AE454" s="733"/>
      <c r="AF454" s="734" t="str">
        <f t="shared" si="23"/>
        <v/>
      </c>
      <c r="AG454" s="773"/>
    </row>
    <row r="455" spans="1:64" ht="18.75" x14ac:dyDescent="0.25">
      <c r="A455" s="758"/>
      <c r="B455" s="737"/>
      <c r="C455" s="730"/>
      <c r="D455" s="739"/>
      <c r="E455" s="765"/>
      <c r="F455" s="765"/>
      <c r="G455" s="765"/>
      <c r="H455" s="765"/>
      <c r="I455" s="746" t="str">
        <f t="shared" si="22"/>
        <v/>
      </c>
      <c r="J455" s="731"/>
      <c r="K455" s="731" t="str">
        <f t="shared" si="21"/>
        <v/>
      </c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32"/>
      <c r="AB455" s="732"/>
      <c r="AC455" s="732"/>
      <c r="AD455" s="732"/>
      <c r="AE455" s="733"/>
      <c r="AF455" s="734" t="str">
        <f t="shared" si="23"/>
        <v/>
      </c>
      <c r="AG455" s="773"/>
    </row>
    <row r="456" spans="1:64" ht="18.75" x14ac:dyDescent="0.25">
      <c r="A456" s="758"/>
      <c r="B456" s="737"/>
      <c r="C456" s="730"/>
      <c r="D456" s="739"/>
      <c r="E456" s="765"/>
      <c r="F456" s="765"/>
      <c r="G456" s="765"/>
      <c r="H456" s="765"/>
      <c r="I456" s="746" t="str">
        <f t="shared" si="22"/>
        <v/>
      </c>
      <c r="J456" s="731"/>
      <c r="K456" s="731" t="str">
        <f t="shared" si="21"/>
        <v/>
      </c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32"/>
      <c r="AB456" s="732"/>
      <c r="AC456" s="732"/>
      <c r="AD456" s="732"/>
      <c r="AE456" s="733"/>
      <c r="AF456" s="734" t="str">
        <f t="shared" si="23"/>
        <v/>
      </c>
      <c r="AG456" s="773"/>
    </row>
    <row r="457" spans="1:64" ht="19.5" customHeight="1" x14ac:dyDescent="0.25">
      <c r="A457" s="758"/>
      <c r="B457" s="737"/>
      <c r="C457" s="730"/>
      <c r="D457" s="739"/>
      <c r="E457" s="765"/>
      <c r="F457" s="765"/>
      <c r="G457" s="765"/>
      <c r="H457" s="765"/>
      <c r="I457" s="746" t="str">
        <f t="shared" si="22"/>
        <v/>
      </c>
      <c r="J457" s="731"/>
      <c r="K457" s="731" t="str">
        <f t="shared" si="21"/>
        <v/>
      </c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32"/>
      <c r="AB457" s="732"/>
      <c r="AC457" s="732"/>
      <c r="AD457" s="732"/>
      <c r="AE457" s="733"/>
      <c r="AF457" s="734" t="str">
        <f t="shared" si="23"/>
        <v/>
      </c>
      <c r="AG457" s="775"/>
      <c r="AH457" s="779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</row>
    <row r="458" spans="1:64" ht="19.5" customHeight="1" x14ac:dyDescent="0.25">
      <c r="A458" s="758"/>
      <c r="B458" s="737"/>
      <c r="C458" s="730"/>
      <c r="D458" s="739"/>
      <c r="E458" s="765"/>
      <c r="F458" s="765"/>
      <c r="G458" s="765"/>
      <c r="H458" s="765"/>
      <c r="I458" s="746" t="str">
        <f t="shared" si="22"/>
        <v/>
      </c>
      <c r="J458" s="731"/>
      <c r="K458" s="731" t="str">
        <f t="shared" si="21"/>
        <v/>
      </c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32"/>
      <c r="AB458" s="732"/>
      <c r="AC458" s="732"/>
      <c r="AD458" s="732"/>
      <c r="AE458" s="733"/>
      <c r="AF458" s="734" t="str">
        <f t="shared" si="23"/>
        <v/>
      </c>
      <c r="AG458" s="775"/>
      <c r="AH458" s="779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</row>
    <row r="459" spans="1:64" ht="18.75" x14ac:dyDescent="0.25">
      <c r="A459" s="758"/>
      <c r="B459" s="737"/>
      <c r="C459" s="730"/>
      <c r="D459" s="739"/>
      <c r="E459" s="765"/>
      <c r="F459" s="765"/>
      <c r="G459" s="765"/>
      <c r="H459" s="765"/>
      <c r="I459" s="746" t="str">
        <f t="shared" si="22"/>
        <v/>
      </c>
      <c r="J459" s="731"/>
      <c r="K459" s="731" t="str">
        <f t="shared" si="21"/>
        <v/>
      </c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32"/>
      <c r="AB459" s="732"/>
      <c r="AC459" s="732"/>
      <c r="AD459" s="732"/>
      <c r="AE459" s="733"/>
      <c r="AF459" s="734" t="str">
        <f t="shared" si="23"/>
        <v/>
      </c>
      <c r="AG459" s="773"/>
    </row>
    <row r="460" spans="1:64" ht="18.75" x14ac:dyDescent="0.25">
      <c r="A460" s="758"/>
      <c r="B460" s="737"/>
      <c r="C460" s="730"/>
      <c r="D460" s="739"/>
      <c r="E460" s="765"/>
      <c r="F460" s="765"/>
      <c r="G460" s="765"/>
      <c r="H460" s="765"/>
      <c r="I460" s="746" t="str">
        <f t="shared" si="22"/>
        <v/>
      </c>
      <c r="J460" s="731"/>
      <c r="K460" s="731" t="str">
        <f t="shared" si="21"/>
        <v/>
      </c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32"/>
      <c r="AB460" s="732"/>
      <c r="AC460" s="732"/>
      <c r="AD460" s="732"/>
      <c r="AE460" s="733"/>
      <c r="AF460" s="734" t="str">
        <f t="shared" si="23"/>
        <v/>
      </c>
      <c r="AG460" s="773"/>
    </row>
    <row r="461" spans="1:64" ht="18.75" x14ac:dyDescent="0.25">
      <c r="A461" s="758"/>
      <c r="B461" s="737"/>
      <c r="C461" s="730"/>
      <c r="D461" s="739"/>
      <c r="E461" s="765"/>
      <c r="F461" s="765"/>
      <c r="G461" s="765"/>
      <c r="H461" s="765"/>
      <c r="I461" s="746" t="str">
        <f t="shared" si="22"/>
        <v/>
      </c>
      <c r="J461" s="731"/>
      <c r="K461" s="731" t="str">
        <f t="shared" si="21"/>
        <v/>
      </c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32"/>
      <c r="AB461" s="732"/>
      <c r="AC461" s="732"/>
      <c r="AD461" s="732"/>
      <c r="AE461" s="733"/>
      <c r="AF461" s="734" t="str">
        <f t="shared" si="23"/>
        <v/>
      </c>
      <c r="AG461" s="773"/>
    </row>
    <row r="462" spans="1:64" ht="18.75" x14ac:dyDescent="0.25">
      <c r="A462" s="758"/>
      <c r="B462" s="737"/>
      <c r="C462" s="730"/>
      <c r="D462" s="739"/>
      <c r="E462" s="765"/>
      <c r="F462" s="765"/>
      <c r="G462" s="765"/>
      <c r="H462" s="765"/>
      <c r="I462" s="746" t="str">
        <f t="shared" si="22"/>
        <v/>
      </c>
      <c r="J462" s="731"/>
      <c r="K462" s="731" t="str">
        <f t="shared" si="21"/>
        <v/>
      </c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32"/>
      <c r="AB462" s="732"/>
      <c r="AC462" s="732"/>
      <c r="AD462" s="732"/>
      <c r="AE462" s="733"/>
      <c r="AF462" s="734" t="str">
        <f t="shared" si="23"/>
        <v/>
      </c>
      <c r="AG462" s="773"/>
    </row>
    <row r="463" spans="1:64" ht="18.75" x14ac:dyDescent="0.25">
      <c r="A463" s="758"/>
      <c r="B463" s="737"/>
      <c r="C463" s="730"/>
      <c r="D463" s="739"/>
      <c r="E463" s="765"/>
      <c r="F463" s="765"/>
      <c r="G463" s="765"/>
      <c r="H463" s="765"/>
      <c r="I463" s="746" t="str">
        <f t="shared" si="22"/>
        <v/>
      </c>
      <c r="J463" s="731"/>
      <c r="K463" s="731" t="str">
        <f t="shared" si="21"/>
        <v/>
      </c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32"/>
      <c r="AB463" s="732"/>
      <c r="AC463" s="732"/>
      <c r="AD463" s="732"/>
      <c r="AE463" s="733"/>
      <c r="AF463" s="734" t="str">
        <f t="shared" si="23"/>
        <v/>
      </c>
      <c r="AG463" s="773"/>
    </row>
    <row r="464" spans="1:64" ht="18.75" x14ac:dyDescent="0.25">
      <c r="A464" s="758"/>
      <c r="B464" s="737"/>
      <c r="C464" s="730"/>
      <c r="D464" s="739"/>
      <c r="E464" s="765"/>
      <c r="F464" s="765"/>
      <c r="G464" s="765"/>
      <c r="H464" s="765"/>
      <c r="I464" s="746" t="str">
        <f t="shared" si="22"/>
        <v/>
      </c>
      <c r="J464" s="731"/>
      <c r="K464" s="731" t="str">
        <f t="shared" si="21"/>
        <v/>
      </c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32"/>
      <c r="AB464" s="732"/>
      <c r="AC464" s="732"/>
      <c r="AD464" s="732"/>
      <c r="AE464" s="733"/>
      <c r="AF464" s="734" t="str">
        <f t="shared" si="23"/>
        <v/>
      </c>
      <c r="AG464" s="773"/>
    </row>
    <row r="465" spans="1:64" ht="18.75" x14ac:dyDescent="0.25">
      <c r="A465" s="758"/>
      <c r="B465" s="737"/>
      <c r="C465" s="730"/>
      <c r="D465" s="739"/>
      <c r="E465" s="765"/>
      <c r="F465" s="765"/>
      <c r="G465" s="765"/>
      <c r="H465" s="765"/>
      <c r="I465" s="746" t="str">
        <f t="shared" si="22"/>
        <v/>
      </c>
      <c r="J465" s="731"/>
      <c r="K465" s="731" t="str">
        <f t="shared" si="21"/>
        <v/>
      </c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32"/>
      <c r="AB465" s="732"/>
      <c r="AC465" s="732"/>
      <c r="AD465" s="732"/>
      <c r="AE465" s="733"/>
      <c r="AF465" s="734" t="str">
        <f t="shared" si="23"/>
        <v/>
      </c>
      <c r="AG465" s="775"/>
      <c r="AH465" s="779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</row>
    <row r="466" spans="1:64" ht="18.75" x14ac:dyDescent="0.25">
      <c r="A466" s="758"/>
      <c r="B466" s="737"/>
      <c r="C466" s="730"/>
      <c r="D466" s="739"/>
      <c r="E466" s="765"/>
      <c r="F466" s="765"/>
      <c r="G466" s="765"/>
      <c r="H466" s="765"/>
      <c r="I466" s="746" t="str">
        <f t="shared" si="22"/>
        <v/>
      </c>
      <c r="J466" s="731"/>
      <c r="K466" s="731" t="str">
        <f t="shared" si="21"/>
        <v/>
      </c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32"/>
      <c r="AB466" s="732"/>
      <c r="AC466" s="732"/>
      <c r="AD466" s="732"/>
      <c r="AE466" s="733"/>
      <c r="AF466" s="734" t="str">
        <f t="shared" si="23"/>
        <v/>
      </c>
      <c r="AG466" s="773"/>
    </row>
    <row r="467" spans="1:64" ht="18.75" x14ac:dyDescent="0.25">
      <c r="A467" s="758"/>
      <c r="B467" s="737"/>
      <c r="C467" s="730"/>
      <c r="D467" s="739"/>
      <c r="E467" s="765"/>
      <c r="F467" s="765"/>
      <c r="G467" s="765"/>
      <c r="H467" s="765"/>
      <c r="I467" s="746" t="str">
        <f t="shared" si="22"/>
        <v/>
      </c>
      <c r="J467" s="731"/>
      <c r="K467" s="731" t="str">
        <f t="shared" si="21"/>
        <v/>
      </c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32"/>
      <c r="AB467" s="732"/>
      <c r="AC467" s="732"/>
      <c r="AD467" s="732"/>
      <c r="AE467" s="733"/>
      <c r="AF467" s="734" t="str">
        <f t="shared" si="23"/>
        <v/>
      </c>
      <c r="AG467" s="773"/>
    </row>
    <row r="468" spans="1:64" ht="18.75" x14ac:dyDescent="0.25">
      <c r="A468" s="758"/>
      <c r="B468" s="737"/>
      <c r="C468" s="730"/>
      <c r="D468" s="739"/>
      <c r="E468" s="765"/>
      <c r="F468" s="765"/>
      <c r="G468" s="765"/>
      <c r="H468" s="765"/>
      <c r="I468" s="746" t="str">
        <f t="shared" si="22"/>
        <v/>
      </c>
      <c r="J468" s="731"/>
      <c r="K468" s="731" t="str">
        <f t="shared" si="21"/>
        <v/>
      </c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32"/>
      <c r="AB468" s="732"/>
      <c r="AC468" s="732"/>
      <c r="AD468" s="732"/>
      <c r="AE468" s="733"/>
      <c r="AF468" s="734" t="str">
        <f t="shared" si="23"/>
        <v/>
      </c>
      <c r="AG468" s="773"/>
    </row>
    <row r="469" spans="1:64" ht="18.75" x14ac:dyDescent="0.25">
      <c r="A469" s="758"/>
      <c r="B469" s="737"/>
      <c r="C469" s="730"/>
      <c r="D469" s="739"/>
      <c r="E469" s="765"/>
      <c r="F469" s="765"/>
      <c r="G469" s="765"/>
      <c r="H469" s="765"/>
      <c r="I469" s="746" t="str">
        <f t="shared" si="22"/>
        <v/>
      </c>
      <c r="J469" s="731"/>
      <c r="K469" s="731" t="str">
        <f t="shared" si="21"/>
        <v/>
      </c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32"/>
      <c r="AB469" s="732"/>
      <c r="AC469" s="732"/>
      <c r="AD469" s="732"/>
      <c r="AE469" s="733"/>
      <c r="AF469" s="734" t="str">
        <f t="shared" si="23"/>
        <v/>
      </c>
      <c r="AG469" s="773"/>
    </row>
    <row r="470" spans="1:64" ht="18.75" x14ac:dyDescent="0.25">
      <c r="A470" s="758"/>
      <c r="B470" s="737"/>
      <c r="C470" s="730"/>
      <c r="D470" s="739"/>
      <c r="E470" s="765"/>
      <c r="F470" s="765"/>
      <c r="G470" s="765"/>
      <c r="H470" s="765"/>
      <c r="I470" s="746" t="str">
        <f t="shared" si="22"/>
        <v/>
      </c>
      <c r="J470" s="731"/>
      <c r="K470" s="731" t="str">
        <f t="shared" si="21"/>
        <v/>
      </c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32"/>
      <c r="AB470" s="732"/>
      <c r="AC470" s="732"/>
      <c r="AD470" s="732"/>
      <c r="AE470" s="733"/>
      <c r="AF470" s="734" t="str">
        <f t="shared" si="23"/>
        <v/>
      </c>
      <c r="AG470" s="773"/>
    </row>
    <row r="471" spans="1:64" ht="19.5" customHeight="1" x14ac:dyDescent="0.25">
      <c r="A471" s="758"/>
      <c r="B471" s="737"/>
      <c r="C471" s="730"/>
      <c r="D471" s="739"/>
      <c r="E471" s="765"/>
      <c r="F471" s="765"/>
      <c r="G471" s="765"/>
      <c r="H471" s="765"/>
      <c r="I471" s="746" t="str">
        <f t="shared" si="22"/>
        <v/>
      </c>
      <c r="J471" s="731"/>
      <c r="K471" s="731" t="str">
        <f t="shared" si="21"/>
        <v/>
      </c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32"/>
      <c r="AB471" s="732"/>
      <c r="AC471" s="732"/>
      <c r="AD471" s="732"/>
      <c r="AE471" s="733"/>
      <c r="AF471" s="734" t="str">
        <f t="shared" si="23"/>
        <v/>
      </c>
      <c r="AG471" s="772"/>
      <c r="AH471" s="777"/>
      <c r="AI471" s="735"/>
      <c r="AJ471" s="735"/>
      <c r="AK471" s="735"/>
      <c r="AL471" s="735"/>
      <c r="AM471" s="735"/>
      <c r="AN471" s="735"/>
      <c r="AO471" s="735"/>
      <c r="AP471" s="735"/>
      <c r="AQ471" s="735"/>
      <c r="AR471" s="735"/>
      <c r="AS471" s="735"/>
      <c r="AT471" s="735"/>
      <c r="AU471" s="735"/>
      <c r="AV471" s="735"/>
      <c r="AW471" s="735"/>
      <c r="AX471" s="735"/>
      <c r="AY471" s="735"/>
      <c r="AZ471" s="735"/>
      <c r="BA471" s="735"/>
      <c r="BB471" s="735"/>
      <c r="BC471" s="735"/>
      <c r="BD471" s="735"/>
      <c r="BE471" s="735"/>
      <c r="BF471" s="735"/>
      <c r="BG471" s="735"/>
      <c r="BH471" s="735"/>
      <c r="BI471" s="735"/>
      <c r="BJ471" s="735"/>
      <c r="BK471" s="735"/>
      <c r="BL471" s="735"/>
    </row>
    <row r="472" spans="1:64" ht="19.5" customHeight="1" x14ac:dyDescent="0.25">
      <c r="A472" s="758"/>
      <c r="B472" s="737"/>
      <c r="C472" s="730"/>
      <c r="D472" s="739"/>
      <c r="E472" s="765"/>
      <c r="F472" s="765"/>
      <c r="G472" s="765"/>
      <c r="H472" s="765"/>
      <c r="I472" s="746" t="str">
        <f t="shared" si="22"/>
        <v/>
      </c>
      <c r="J472" s="731"/>
      <c r="K472" s="731" t="str">
        <f t="shared" si="21"/>
        <v/>
      </c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32"/>
      <c r="AB472" s="732"/>
      <c r="AC472" s="732"/>
      <c r="AD472" s="732"/>
      <c r="AE472" s="733"/>
      <c r="AF472" s="734" t="str">
        <f t="shared" si="23"/>
        <v/>
      </c>
      <c r="AG472" s="772"/>
      <c r="AH472" s="777"/>
      <c r="AI472" s="735"/>
      <c r="AJ472" s="735"/>
      <c r="AK472" s="735"/>
      <c r="AL472" s="735"/>
      <c r="AM472" s="735"/>
      <c r="AN472" s="735"/>
      <c r="AO472" s="735"/>
      <c r="AP472" s="735"/>
      <c r="AQ472" s="735"/>
      <c r="AR472" s="735"/>
      <c r="AS472" s="735"/>
      <c r="AT472" s="735"/>
      <c r="AU472" s="735"/>
      <c r="AV472" s="735"/>
      <c r="AW472" s="735"/>
      <c r="AX472" s="735"/>
      <c r="AY472" s="735"/>
      <c r="AZ472" s="735"/>
      <c r="BA472" s="735"/>
      <c r="BB472" s="735"/>
      <c r="BC472" s="735"/>
      <c r="BD472" s="735"/>
      <c r="BE472" s="735"/>
      <c r="BF472" s="735"/>
      <c r="BG472" s="735"/>
      <c r="BH472" s="735"/>
      <c r="BI472" s="735"/>
      <c r="BJ472" s="735"/>
      <c r="BK472" s="735"/>
      <c r="BL472" s="735"/>
    </row>
    <row r="473" spans="1:64" ht="19.5" customHeight="1" x14ac:dyDescent="0.25">
      <c r="A473" s="758"/>
      <c r="B473" s="737"/>
      <c r="C473" s="730"/>
      <c r="D473" s="739"/>
      <c r="E473" s="765"/>
      <c r="F473" s="765"/>
      <c r="G473" s="765"/>
      <c r="H473" s="765"/>
      <c r="I473" s="746" t="str">
        <f t="shared" si="22"/>
        <v/>
      </c>
      <c r="J473" s="731"/>
      <c r="K473" s="731" t="str">
        <f t="shared" si="21"/>
        <v/>
      </c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32"/>
      <c r="AB473" s="732"/>
      <c r="AC473" s="732"/>
      <c r="AD473" s="732"/>
      <c r="AE473" s="733"/>
      <c r="AF473" s="734" t="str">
        <f t="shared" si="23"/>
        <v/>
      </c>
      <c r="AG473" s="772"/>
      <c r="AH473" s="777"/>
      <c r="AI473" s="735"/>
      <c r="AJ473" s="735"/>
      <c r="AK473" s="735"/>
      <c r="AL473" s="735"/>
      <c r="AM473" s="735"/>
      <c r="AN473" s="735"/>
      <c r="AO473" s="735"/>
      <c r="AP473" s="735"/>
      <c r="AQ473" s="735"/>
      <c r="AR473" s="735"/>
      <c r="AS473" s="735"/>
      <c r="AT473" s="735"/>
      <c r="AU473" s="735"/>
      <c r="AV473" s="735"/>
      <c r="AW473" s="735"/>
      <c r="AX473" s="735"/>
      <c r="AY473" s="735"/>
      <c r="AZ473" s="735"/>
      <c r="BA473" s="735"/>
      <c r="BB473" s="735"/>
      <c r="BC473" s="735"/>
      <c r="BD473" s="735"/>
      <c r="BE473" s="735"/>
      <c r="BF473" s="735"/>
      <c r="BG473" s="735"/>
      <c r="BH473" s="735"/>
      <c r="BI473" s="735"/>
      <c r="BJ473" s="735"/>
      <c r="BK473" s="735"/>
      <c r="BL473" s="735"/>
    </row>
    <row r="474" spans="1:64" ht="18.75" x14ac:dyDescent="0.25">
      <c r="A474" s="758"/>
      <c r="B474" s="737"/>
      <c r="C474" s="730"/>
      <c r="D474" s="739"/>
      <c r="E474" s="765"/>
      <c r="F474" s="765"/>
      <c r="G474" s="765"/>
      <c r="H474" s="765"/>
      <c r="I474" s="746" t="str">
        <f t="shared" si="22"/>
        <v/>
      </c>
      <c r="J474" s="731"/>
      <c r="K474" s="731" t="str">
        <f t="shared" si="21"/>
        <v/>
      </c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32"/>
      <c r="AB474" s="732"/>
      <c r="AC474" s="732"/>
      <c r="AD474" s="732"/>
      <c r="AE474" s="733"/>
      <c r="AF474" s="734" t="str">
        <f t="shared" si="23"/>
        <v/>
      </c>
      <c r="AG474" s="773"/>
    </row>
    <row r="475" spans="1:64" ht="18.75" x14ac:dyDescent="0.25">
      <c r="A475" s="758"/>
      <c r="B475" s="737"/>
      <c r="C475" s="730"/>
      <c r="D475" s="739"/>
      <c r="E475" s="765"/>
      <c r="F475" s="765"/>
      <c r="G475" s="765"/>
      <c r="H475" s="765"/>
      <c r="I475" s="746" t="str">
        <f t="shared" si="22"/>
        <v/>
      </c>
      <c r="J475" s="731"/>
      <c r="K475" s="731" t="str">
        <f t="shared" si="21"/>
        <v/>
      </c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32"/>
      <c r="AB475" s="732"/>
      <c r="AC475" s="732"/>
      <c r="AD475" s="732"/>
      <c r="AE475" s="733"/>
      <c r="AF475" s="734" t="str">
        <f t="shared" si="23"/>
        <v/>
      </c>
      <c r="AG475" s="773"/>
    </row>
    <row r="476" spans="1:64" ht="18.75" x14ac:dyDescent="0.25">
      <c r="A476" s="758"/>
      <c r="B476" s="737"/>
      <c r="C476" s="730"/>
      <c r="D476" s="739"/>
      <c r="E476" s="765"/>
      <c r="F476" s="765"/>
      <c r="G476" s="765"/>
      <c r="H476" s="765"/>
      <c r="I476" s="746" t="str">
        <f t="shared" si="22"/>
        <v/>
      </c>
      <c r="J476" s="731"/>
      <c r="K476" s="731" t="str">
        <f t="shared" si="21"/>
        <v/>
      </c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32"/>
      <c r="AB476" s="732"/>
      <c r="AC476" s="732"/>
      <c r="AD476" s="732"/>
      <c r="AE476" s="733"/>
      <c r="AF476" s="734" t="str">
        <f t="shared" si="23"/>
        <v/>
      </c>
      <c r="AG476" s="773"/>
    </row>
    <row r="477" spans="1:64" ht="18.75" x14ac:dyDescent="0.25">
      <c r="A477" s="758"/>
      <c r="B477" s="737"/>
      <c r="C477" s="730"/>
      <c r="D477" s="739"/>
      <c r="E477" s="765"/>
      <c r="F477" s="765"/>
      <c r="G477" s="765"/>
      <c r="H477" s="765"/>
      <c r="I477" s="746" t="str">
        <f t="shared" si="22"/>
        <v/>
      </c>
      <c r="J477" s="731"/>
      <c r="K477" s="731" t="str">
        <f t="shared" si="21"/>
        <v/>
      </c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32"/>
      <c r="AB477" s="732"/>
      <c r="AC477" s="732"/>
      <c r="AD477" s="732"/>
      <c r="AE477" s="733"/>
      <c r="AF477" s="734" t="str">
        <f t="shared" si="23"/>
        <v/>
      </c>
      <c r="AG477" s="773"/>
    </row>
    <row r="478" spans="1:64" ht="18.75" x14ac:dyDescent="0.25">
      <c r="A478" s="758"/>
      <c r="B478" s="737"/>
      <c r="C478" s="730"/>
      <c r="D478" s="739"/>
      <c r="E478" s="765"/>
      <c r="F478" s="765"/>
      <c r="G478" s="765"/>
      <c r="H478" s="765"/>
      <c r="I478" s="746" t="str">
        <f t="shared" si="22"/>
        <v/>
      </c>
      <c r="J478" s="731"/>
      <c r="K478" s="731" t="str">
        <f t="shared" si="21"/>
        <v/>
      </c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32"/>
      <c r="AB478" s="732"/>
      <c r="AC478" s="732"/>
      <c r="AD478" s="732"/>
      <c r="AE478" s="733"/>
      <c r="AF478" s="734" t="str">
        <f t="shared" si="23"/>
        <v/>
      </c>
      <c r="AG478" s="773"/>
    </row>
    <row r="479" spans="1:64" ht="18.75" x14ac:dyDescent="0.25">
      <c r="A479" s="758"/>
      <c r="B479" s="737"/>
      <c r="C479" s="730"/>
      <c r="D479" s="739"/>
      <c r="E479" s="765"/>
      <c r="F479" s="765"/>
      <c r="G479" s="765"/>
      <c r="H479" s="765"/>
      <c r="I479" s="746" t="str">
        <f t="shared" si="22"/>
        <v/>
      </c>
      <c r="J479" s="731"/>
      <c r="K479" s="731" t="str">
        <f t="shared" si="21"/>
        <v/>
      </c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32"/>
      <c r="AB479" s="732"/>
      <c r="AC479" s="732"/>
      <c r="AD479" s="732"/>
      <c r="AE479" s="733"/>
      <c r="AF479" s="734" t="str">
        <f t="shared" si="23"/>
        <v/>
      </c>
      <c r="AG479" s="773"/>
    </row>
    <row r="480" spans="1:64" ht="18.75" x14ac:dyDescent="0.25">
      <c r="A480" s="758"/>
      <c r="B480" s="737"/>
      <c r="C480" s="730"/>
      <c r="D480" s="739"/>
      <c r="E480" s="765"/>
      <c r="F480" s="765"/>
      <c r="G480" s="765"/>
      <c r="H480" s="765"/>
      <c r="I480" s="746" t="str">
        <f t="shared" si="22"/>
        <v/>
      </c>
      <c r="J480" s="731"/>
      <c r="K480" s="731" t="str">
        <f t="shared" si="21"/>
        <v/>
      </c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32"/>
      <c r="AB480" s="732"/>
      <c r="AC480" s="732"/>
      <c r="AD480" s="732"/>
      <c r="AE480" s="733"/>
      <c r="AF480" s="734" t="str">
        <f t="shared" si="23"/>
        <v/>
      </c>
      <c r="AG480" s="773"/>
    </row>
    <row r="481" spans="1:64" ht="18.75" x14ac:dyDescent="0.25">
      <c r="A481" s="758"/>
      <c r="B481" s="737"/>
      <c r="C481" s="730"/>
      <c r="D481" s="739"/>
      <c r="E481" s="765"/>
      <c r="F481" s="765"/>
      <c r="G481" s="765"/>
      <c r="H481" s="765"/>
      <c r="I481" s="746" t="str">
        <f t="shared" si="22"/>
        <v/>
      </c>
      <c r="J481" s="731"/>
      <c r="K481" s="731" t="str">
        <f t="shared" si="21"/>
        <v/>
      </c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32"/>
      <c r="AB481" s="732"/>
      <c r="AC481" s="732"/>
      <c r="AD481" s="732"/>
      <c r="AE481" s="733"/>
      <c r="AF481" s="734" t="str">
        <f t="shared" si="23"/>
        <v/>
      </c>
      <c r="AG481" s="773"/>
    </row>
    <row r="482" spans="1:64" ht="18.75" x14ac:dyDescent="0.25">
      <c r="A482" s="758"/>
      <c r="B482" s="737"/>
      <c r="C482" s="730"/>
      <c r="D482" s="739"/>
      <c r="E482" s="765"/>
      <c r="F482" s="765"/>
      <c r="G482" s="765"/>
      <c r="H482" s="765"/>
      <c r="I482" s="746" t="str">
        <f t="shared" si="22"/>
        <v/>
      </c>
      <c r="J482" s="731"/>
      <c r="K482" s="731" t="str">
        <f t="shared" si="21"/>
        <v/>
      </c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32"/>
      <c r="AB482" s="732"/>
      <c r="AC482" s="732"/>
      <c r="AD482" s="732"/>
      <c r="AE482" s="733"/>
      <c r="AF482" s="734" t="str">
        <f t="shared" si="23"/>
        <v/>
      </c>
      <c r="AG482" s="773"/>
    </row>
    <row r="483" spans="1:64" ht="18.75" x14ac:dyDescent="0.25">
      <c r="A483" s="758"/>
      <c r="B483" s="737"/>
      <c r="C483" s="730"/>
      <c r="D483" s="739"/>
      <c r="E483" s="765"/>
      <c r="F483" s="765"/>
      <c r="G483" s="765"/>
      <c r="H483" s="765"/>
      <c r="I483" s="746" t="str">
        <f t="shared" si="22"/>
        <v/>
      </c>
      <c r="J483" s="731"/>
      <c r="K483" s="731" t="str">
        <f t="shared" si="21"/>
        <v/>
      </c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32"/>
      <c r="AB483" s="732"/>
      <c r="AC483" s="732"/>
      <c r="AD483" s="732"/>
      <c r="AE483" s="733"/>
      <c r="AF483" s="734" t="str">
        <f t="shared" si="23"/>
        <v/>
      </c>
      <c r="AG483" s="773"/>
    </row>
    <row r="484" spans="1:64" ht="18.75" x14ac:dyDescent="0.25">
      <c r="A484" s="758"/>
      <c r="B484" s="737"/>
      <c r="C484" s="730"/>
      <c r="D484" s="739"/>
      <c r="E484" s="765"/>
      <c r="F484" s="765"/>
      <c r="G484" s="765"/>
      <c r="H484" s="765"/>
      <c r="I484" s="746" t="str">
        <f t="shared" si="22"/>
        <v/>
      </c>
      <c r="J484" s="731"/>
      <c r="K484" s="731" t="str">
        <f t="shared" si="21"/>
        <v/>
      </c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32"/>
      <c r="AB484" s="732"/>
      <c r="AC484" s="732"/>
      <c r="AD484" s="732"/>
      <c r="AE484" s="733"/>
      <c r="AF484" s="734" t="str">
        <f t="shared" si="23"/>
        <v/>
      </c>
      <c r="AG484" s="773"/>
    </row>
    <row r="485" spans="1:64" ht="18.75" x14ac:dyDescent="0.25">
      <c r="A485" s="758"/>
      <c r="B485" s="737"/>
      <c r="C485" s="730"/>
      <c r="D485" s="739"/>
      <c r="E485" s="765"/>
      <c r="F485" s="765"/>
      <c r="G485" s="765"/>
      <c r="H485" s="765"/>
      <c r="I485" s="746" t="str">
        <f t="shared" si="22"/>
        <v/>
      </c>
      <c r="J485" s="731"/>
      <c r="K485" s="731" t="str">
        <f t="shared" si="21"/>
        <v/>
      </c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32"/>
      <c r="AB485" s="732"/>
      <c r="AC485" s="732"/>
      <c r="AD485" s="732"/>
      <c r="AE485" s="733"/>
      <c r="AF485" s="734" t="str">
        <f t="shared" si="23"/>
        <v/>
      </c>
      <c r="AG485" s="773"/>
    </row>
    <row r="486" spans="1:64" ht="18.75" x14ac:dyDescent="0.25">
      <c r="A486" s="758"/>
      <c r="B486" s="737"/>
      <c r="C486" s="730"/>
      <c r="D486" s="739"/>
      <c r="E486" s="765"/>
      <c r="F486" s="765"/>
      <c r="G486" s="765"/>
      <c r="H486" s="765"/>
      <c r="I486" s="746" t="str">
        <f t="shared" si="22"/>
        <v/>
      </c>
      <c r="J486" s="731"/>
      <c r="K486" s="731" t="str">
        <f t="shared" si="21"/>
        <v/>
      </c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32"/>
      <c r="AB486" s="732"/>
      <c r="AC486" s="732"/>
      <c r="AD486" s="732"/>
      <c r="AE486" s="733"/>
      <c r="AF486" s="734" t="str">
        <f t="shared" si="23"/>
        <v/>
      </c>
      <c r="AG486" s="773"/>
    </row>
    <row r="487" spans="1:64" ht="18.75" x14ac:dyDescent="0.25">
      <c r="A487" s="758"/>
      <c r="B487" s="737"/>
      <c r="C487" s="730"/>
      <c r="D487" s="739"/>
      <c r="E487" s="765"/>
      <c r="F487" s="765"/>
      <c r="G487" s="765"/>
      <c r="H487" s="765"/>
      <c r="I487" s="746" t="str">
        <f t="shared" si="22"/>
        <v/>
      </c>
      <c r="J487" s="731"/>
      <c r="K487" s="731" t="str">
        <f t="shared" si="21"/>
        <v/>
      </c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32"/>
      <c r="AB487" s="732"/>
      <c r="AC487" s="732"/>
      <c r="AD487" s="732"/>
      <c r="AE487" s="733"/>
      <c r="AF487" s="734" t="str">
        <f t="shared" si="23"/>
        <v/>
      </c>
      <c r="AG487" s="773"/>
    </row>
    <row r="488" spans="1:64" ht="18.75" x14ac:dyDescent="0.25">
      <c r="A488" s="758"/>
      <c r="B488" s="737"/>
      <c r="C488" s="730"/>
      <c r="D488" s="739"/>
      <c r="E488" s="765"/>
      <c r="F488" s="765"/>
      <c r="G488" s="765"/>
      <c r="H488" s="765"/>
      <c r="I488" s="746" t="str">
        <f t="shared" si="22"/>
        <v/>
      </c>
      <c r="J488" s="731"/>
      <c r="K488" s="731" t="str">
        <f t="shared" si="21"/>
        <v/>
      </c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32"/>
      <c r="AB488" s="732"/>
      <c r="AC488" s="732"/>
      <c r="AD488" s="732"/>
      <c r="AE488" s="733"/>
      <c r="AF488" s="734" t="str">
        <f t="shared" si="23"/>
        <v/>
      </c>
      <c r="AG488" s="773"/>
    </row>
    <row r="489" spans="1:64" ht="18.75" x14ac:dyDescent="0.25">
      <c r="A489" s="758"/>
      <c r="B489" s="737"/>
      <c r="C489" s="730"/>
      <c r="D489" s="739"/>
      <c r="E489" s="765"/>
      <c r="F489" s="765"/>
      <c r="G489" s="765"/>
      <c r="H489" s="765"/>
      <c r="I489" s="746" t="str">
        <f t="shared" si="22"/>
        <v/>
      </c>
      <c r="J489" s="731"/>
      <c r="K489" s="731" t="str">
        <f t="shared" si="21"/>
        <v/>
      </c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32"/>
      <c r="AB489" s="732"/>
      <c r="AC489" s="732"/>
      <c r="AD489" s="732"/>
      <c r="AE489" s="733"/>
      <c r="AF489" s="734" t="str">
        <f t="shared" si="23"/>
        <v/>
      </c>
      <c r="AG489" s="773"/>
    </row>
    <row r="490" spans="1:64" ht="18.75" x14ac:dyDescent="0.25">
      <c r="A490" s="758"/>
      <c r="B490" s="737"/>
      <c r="C490" s="730"/>
      <c r="D490" s="739"/>
      <c r="E490" s="765"/>
      <c r="F490" s="765"/>
      <c r="G490" s="765"/>
      <c r="H490" s="765"/>
      <c r="I490" s="746" t="str">
        <f t="shared" si="22"/>
        <v/>
      </c>
      <c r="J490" s="731"/>
      <c r="K490" s="731" t="str">
        <f t="shared" si="21"/>
        <v/>
      </c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32"/>
      <c r="AB490" s="732"/>
      <c r="AC490" s="732"/>
      <c r="AD490" s="732"/>
      <c r="AE490" s="733"/>
      <c r="AF490" s="734" t="str">
        <f t="shared" si="23"/>
        <v/>
      </c>
      <c r="AG490" s="773"/>
    </row>
    <row r="491" spans="1:64" ht="18.75" x14ac:dyDescent="0.25">
      <c r="A491" s="758"/>
      <c r="B491" s="737"/>
      <c r="C491" s="730"/>
      <c r="D491" s="739"/>
      <c r="E491" s="765"/>
      <c r="F491" s="765"/>
      <c r="G491" s="765"/>
      <c r="H491" s="765"/>
      <c r="I491" s="746" t="str">
        <f t="shared" si="22"/>
        <v/>
      </c>
      <c r="J491" s="731"/>
      <c r="K491" s="731" t="str">
        <f t="shared" si="21"/>
        <v/>
      </c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32"/>
      <c r="AB491" s="732"/>
      <c r="AC491" s="732"/>
      <c r="AD491" s="732"/>
      <c r="AE491" s="733"/>
      <c r="AF491" s="734" t="str">
        <f t="shared" si="23"/>
        <v/>
      </c>
      <c r="AG491" s="774"/>
      <c r="AH491" s="778"/>
      <c r="AI491" s="736"/>
      <c r="AJ491" s="736"/>
      <c r="AK491" s="736"/>
      <c r="AL491" s="736"/>
      <c r="AM491" s="736"/>
      <c r="AN491" s="736"/>
      <c r="AO491" s="736"/>
      <c r="AP491" s="736"/>
      <c r="AQ491" s="736"/>
      <c r="AR491" s="736"/>
      <c r="AS491" s="736"/>
      <c r="AT491" s="736"/>
      <c r="AU491" s="736"/>
      <c r="AV491" s="736"/>
      <c r="AW491" s="736"/>
      <c r="AX491" s="736"/>
      <c r="AY491" s="736"/>
      <c r="AZ491" s="736"/>
      <c r="BA491" s="736"/>
      <c r="BB491" s="736"/>
      <c r="BC491" s="736"/>
      <c r="BD491" s="736"/>
      <c r="BE491" s="736"/>
      <c r="BF491" s="736"/>
      <c r="BG491" s="736"/>
      <c r="BH491" s="736"/>
      <c r="BI491" s="736"/>
      <c r="BJ491" s="736"/>
      <c r="BK491" s="736"/>
      <c r="BL491" s="736"/>
    </row>
    <row r="492" spans="1:64" ht="18.75" x14ac:dyDescent="0.25">
      <c r="A492" s="758"/>
      <c r="B492" s="737"/>
      <c r="C492" s="730"/>
      <c r="D492" s="739"/>
      <c r="E492" s="765"/>
      <c r="F492" s="765"/>
      <c r="G492" s="765"/>
      <c r="H492" s="765"/>
      <c r="I492" s="746" t="str">
        <f t="shared" si="22"/>
        <v/>
      </c>
      <c r="J492" s="731"/>
      <c r="K492" s="731" t="str">
        <f t="shared" si="21"/>
        <v/>
      </c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32"/>
      <c r="AB492" s="732"/>
      <c r="AC492" s="732"/>
      <c r="AD492" s="732"/>
      <c r="AE492" s="733"/>
      <c r="AF492" s="734" t="str">
        <f t="shared" si="23"/>
        <v/>
      </c>
      <c r="AG492" s="774"/>
      <c r="AH492" s="778"/>
      <c r="AI492" s="736"/>
      <c r="AJ492" s="736"/>
      <c r="AK492" s="736"/>
      <c r="AL492" s="736"/>
      <c r="AM492" s="736"/>
      <c r="AN492" s="736"/>
      <c r="AO492" s="736"/>
      <c r="AP492" s="736"/>
      <c r="AQ492" s="736"/>
      <c r="AR492" s="736"/>
      <c r="AS492" s="736"/>
      <c r="AT492" s="736"/>
      <c r="AU492" s="736"/>
      <c r="AV492" s="736"/>
      <c r="AW492" s="736"/>
      <c r="AX492" s="736"/>
      <c r="AY492" s="736"/>
      <c r="AZ492" s="736"/>
      <c r="BA492" s="736"/>
      <c r="BB492" s="736"/>
      <c r="BC492" s="736"/>
      <c r="BD492" s="736"/>
      <c r="BE492" s="736"/>
      <c r="BF492" s="736"/>
      <c r="BG492" s="736"/>
      <c r="BH492" s="736"/>
      <c r="BI492" s="736"/>
      <c r="BJ492" s="736"/>
      <c r="BK492" s="736"/>
      <c r="BL492" s="736"/>
    </row>
    <row r="493" spans="1:64" ht="18.75" x14ac:dyDescent="0.25">
      <c r="A493" s="758"/>
      <c r="B493" s="737"/>
      <c r="C493" s="730"/>
      <c r="D493" s="739"/>
      <c r="E493" s="765"/>
      <c r="F493" s="765"/>
      <c r="G493" s="765"/>
      <c r="H493" s="765"/>
      <c r="I493" s="746" t="str">
        <f t="shared" si="22"/>
        <v/>
      </c>
      <c r="J493" s="731"/>
      <c r="K493" s="731" t="str">
        <f t="shared" si="21"/>
        <v/>
      </c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32"/>
      <c r="AB493" s="732"/>
      <c r="AC493" s="732"/>
      <c r="AD493" s="732"/>
      <c r="AE493" s="733"/>
      <c r="AF493" s="734" t="str">
        <f t="shared" si="23"/>
        <v/>
      </c>
      <c r="AG493" s="773"/>
    </row>
    <row r="494" spans="1:64" ht="18.75" x14ac:dyDescent="0.25">
      <c r="A494" s="758"/>
      <c r="B494" s="737"/>
      <c r="C494" s="730"/>
      <c r="D494" s="739"/>
      <c r="E494" s="765"/>
      <c r="F494" s="765"/>
      <c r="G494" s="765"/>
      <c r="H494" s="765"/>
      <c r="I494" s="746" t="str">
        <f t="shared" si="22"/>
        <v/>
      </c>
      <c r="J494" s="731"/>
      <c r="K494" s="731" t="str">
        <f t="shared" si="21"/>
        <v/>
      </c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32"/>
      <c r="AB494" s="732"/>
      <c r="AC494" s="732"/>
      <c r="AD494" s="732"/>
      <c r="AE494" s="733"/>
      <c r="AF494" s="734" t="str">
        <f t="shared" si="23"/>
        <v/>
      </c>
      <c r="AG494" s="773"/>
    </row>
    <row r="495" spans="1:64" ht="18.75" x14ac:dyDescent="0.25">
      <c r="A495" s="758"/>
      <c r="B495" s="737"/>
      <c r="C495" s="730"/>
      <c r="D495" s="739"/>
      <c r="E495" s="765"/>
      <c r="F495" s="765"/>
      <c r="G495" s="765"/>
      <c r="H495" s="765"/>
      <c r="I495" s="746" t="str">
        <f t="shared" si="22"/>
        <v/>
      </c>
      <c r="J495" s="731"/>
      <c r="K495" s="731" t="str">
        <f t="shared" si="21"/>
        <v/>
      </c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32"/>
      <c r="AB495" s="732"/>
      <c r="AC495" s="732"/>
      <c r="AD495" s="732"/>
      <c r="AE495" s="733"/>
      <c r="AF495" s="734" t="str">
        <f t="shared" si="23"/>
        <v/>
      </c>
      <c r="AG495" s="774"/>
      <c r="AH495" s="778"/>
      <c r="AI495" s="736"/>
      <c r="AJ495" s="736"/>
      <c r="AK495" s="736"/>
      <c r="AL495" s="736"/>
      <c r="AM495" s="736"/>
      <c r="AN495" s="736"/>
      <c r="AO495" s="736"/>
      <c r="AP495" s="736"/>
      <c r="AQ495" s="736"/>
      <c r="AR495" s="736"/>
      <c r="AS495" s="736"/>
      <c r="AT495" s="736"/>
      <c r="AU495" s="736"/>
      <c r="AV495" s="736"/>
      <c r="AW495" s="736"/>
      <c r="AX495" s="736"/>
      <c r="AY495" s="736"/>
      <c r="AZ495" s="736"/>
      <c r="BA495" s="736"/>
      <c r="BB495" s="736"/>
      <c r="BC495" s="736"/>
      <c r="BD495" s="736"/>
      <c r="BE495" s="736"/>
      <c r="BF495" s="736"/>
      <c r="BG495" s="736"/>
      <c r="BH495" s="736"/>
      <c r="BI495" s="736"/>
      <c r="BJ495" s="736"/>
      <c r="BK495" s="736"/>
      <c r="BL495" s="736"/>
    </row>
    <row r="496" spans="1:64" ht="18.75" x14ac:dyDescent="0.25">
      <c r="A496" s="758"/>
      <c r="B496" s="737"/>
      <c r="C496" s="730"/>
      <c r="D496" s="739"/>
      <c r="E496" s="765"/>
      <c r="F496" s="765"/>
      <c r="G496" s="765"/>
      <c r="H496" s="765"/>
      <c r="I496" s="746" t="str">
        <f t="shared" si="22"/>
        <v/>
      </c>
      <c r="J496" s="731"/>
      <c r="K496" s="731" t="str">
        <f t="shared" si="21"/>
        <v/>
      </c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32"/>
      <c r="AB496" s="732"/>
      <c r="AC496" s="732"/>
      <c r="AD496" s="732"/>
      <c r="AE496" s="733"/>
      <c r="AF496" s="734" t="str">
        <f t="shared" si="23"/>
        <v/>
      </c>
      <c r="AG496" s="773"/>
    </row>
    <row r="497" spans="1:64" ht="18.75" x14ac:dyDescent="0.25">
      <c r="A497" s="758"/>
      <c r="B497" s="737"/>
      <c r="C497" s="730"/>
      <c r="D497" s="739"/>
      <c r="E497" s="765"/>
      <c r="F497" s="765"/>
      <c r="G497" s="765"/>
      <c r="H497" s="765"/>
      <c r="I497" s="746" t="str">
        <f t="shared" si="22"/>
        <v/>
      </c>
      <c r="J497" s="731"/>
      <c r="K497" s="731" t="str">
        <f t="shared" si="21"/>
        <v/>
      </c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32"/>
      <c r="AB497" s="732"/>
      <c r="AC497" s="732"/>
      <c r="AD497" s="732"/>
      <c r="AE497" s="733"/>
      <c r="AF497" s="734" t="str">
        <f t="shared" si="23"/>
        <v/>
      </c>
      <c r="AG497" s="773"/>
    </row>
    <row r="498" spans="1:64" ht="18.75" x14ac:dyDescent="0.25">
      <c r="A498" s="758"/>
      <c r="B498" s="737"/>
      <c r="C498" s="730"/>
      <c r="D498" s="739"/>
      <c r="E498" s="765"/>
      <c r="F498" s="765"/>
      <c r="G498" s="765"/>
      <c r="H498" s="765"/>
      <c r="I498" s="746" t="str">
        <f t="shared" si="22"/>
        <v/>
      </c>
      <c r="J498" s="731"/>
      <c r="K498" s="731" t="str">
        <f t="shared" si="21"/>
        <v/>
      </c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32"/>
      <c r="AB498" s="732"/>
      <c r="AC498" s="732"/>
      <c r="AD498" s="732"/>
      <c r="AE498" s="733"/>
      <c r="AF498" s="734" t="str">
        <f t="shared" si="23"/>
        <v/>
      </c>
      <c r="AG498" s="774"/>
      <c r="AH498" s="778"/>
      <c r="AI498" s="736"/>
      <c r="AJ498" s="736"/>
      <c r="AK498" s="736"/>
      <c r="AL498" s="736"/>
      <c r="AM498" s="736"/>
      <c r="AN498" s="736"/>
      <c r="AO498" s="736"/>
      <c r="AP498" s="736"/>
      <c r="AQ498" s="736"/>
      <c r="AR498" s="736"/>
      <c r="AS498" s="736"/>
      <c r="AT498" s="736"/>
      <c r="AU498" s="736"/>
      <c r="AV498" s="736"/>
      <c r="AW498" s="736"/>
      <c r="AX498" s="736"/>
      <c r="AY498" s="736"/>
      <c r="AZ498" s="736"/>
      <c r="BA498" s="736"/>
      <c r="BB498" s="736"/>
      <c r="BC498" s="736"/>
      <c r="BD498" s="736"/>
      <c r="BE498" s="736"/>
      <c r="BF498" s="736"/>
      <c r="BG498" s="736"/>
      <c r="BH498" s="736"/>
      <c r="BI498" s="736"/>
      <c r="BJ498" s="736"/>
      <c r="BK498" s="736"/>
      <c r="BL498" s="736"/>
    </row>
    <row r="499" spans="1:64" ht="18.75" x14ac:dyDescent="0.25">
      <c r="A499" s="758"/>
      <c r="B499" s="737"/>
      <c r="C499" s="730"/>
      <c r="D499" s="739"/>
      <c r="E499" s="765"/>
      <c r="F499" s="765"/>
      <c r="G499" s="765"/>
      <c r="H499" s="765"/>
      <c r="I499" s="746" t="str">
        <f t="shared" si="22"/>
        <v/>
      </c>
      <c r="J499" s="731"/>
      <c r="K499" s="731" t="str">
        <f t="shared" si="21"/>
        <v/>
      </c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32"/>
      <c r="AB499" s="732"/>
      <c r="AC499" s="732"/>
      <c r="AD499" s="732"/>
      <c r="AE499" s="733"/>
      <c r="AF499" s="734" t="str">
        <f t="shared" si="23"/>
        <v/>
      </c>
      <c r="AG499" s="773"/>
    </row>
    <row r="500" spans="1:64" ht="18.75" x14ac:dyDescent="0.25">
      <c r="A500" s="758"/>
      <c r="B500" s="737"/>
      <c r="C500" s="730"/>
      <c r="D500" s="739"/>
      <c r="E500" s="765"/>
      <c r="F500" s="765"/>
      <c r="G500" s="765"/>
      <c r="H500" s="765"/>
      <c r="I500" s="746" t="str">
        <f t="shared" si="22"/>
        <v/>
      </c>
      <c r="J500" s="731"/>
      <c r="K500" s="731" t="str">
        <f t="shared" si="21"/>
        <v/>
      </c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32"/>
      <c r="AB500" s="732"/>
      <c r="AC500" s="732"/>
      <c r="AD500" s="732"/>
      <c r="AE500" s="733"/>
      <c r="AF500" s="734" t="str">
        <f t="shared" si="23"/>
        <v/>
      </c>
      <c r="AG500" s="774"/>
      <c r="AH500" s="778"/>
      <c r="AI500" s="736"/>
      <c r="AJ500" s="736"/>
      <c r="AK500" s="736"/>
      <c r="AL500" s="736"/>
      <c r="AM500" s="736"/>
      <c r="AN500" s="736"/>
      <c r="AO500" s="736"/>
      <c r="AP500" s="736"/>
      <c r="AQ500" s="736"/>
      <c r="AR500" s="736"/>
      <c r="AS500" s="736"/>
      <c r="AT500" s="736"/>
      <c r="AU500" s="736"/>
      <c r="AV500" s="736"/>
      <c r="AW500" s="736"/>
      <c r="AX500" s="736"/>
      <c r="AY500" s="736"/>
      <c r="AZ500" s="736"/>
      <c r="BA500" s="736"/>
      <c r="BB500" s="736"/>
      <c r="BC500" s="736"/>
      <c r="BD500" s="736"/>
      <c r="BE500" s="736"/>
      <c r="BF500" s="736"/>
      <c r="BG500" s="736"/>
      <c r="BH500" s="736"/>
      <c r="BI500" s="736"/>
      <c r="BJ500" s="736"/>
      <c r="BK500" s="736"/>
      <c r="BL500" s="736"/>
    </row>
    <row r="501" spans="1:64" ht="18.75" x14ac:dyDescent="0.25">
      <c r="A501" s="758"/>
      <c r="B501" s="737"/>
      <c r="C501" s="730"/>
      <c r="D501" s="739"/>
      <c r="E501" s="765"/>
      <c r="F501" s="765"/>
      <c r="G501" s="765"/>
      <c r="H501" s="765"/>
      <c r="I501" s="746" t="str">
        <f t="shared" si="22"/>
        <v/>
      </c>
      <c r="J501" s="731"/>
      <c r="K501" s="731" t="str">
        <f t="shared" si="21"/>
        <v/>
      </c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32"/>
      <c r="AB501" s="732"/>
      <c r="AC501" s="732"/>
      <c r="AD501" s="732"/>
      <c r="AE501" s="733"/>
      <c r="AF501" s="734" t="str">
        <f t="shared" si="23"/>
        <v/>
      </c>
      <c r="AG501" s="774"/>
      <c r="AH501" s="778"/>
      <c r="AI501" s="736"/>
      <c r="AJ501" s="736"/>
      <c r="AK501" s="736"/>
      <c r="AL501" s="736"/>
      <c r="AM501" s="736"/>
      <c r="AN501" s="736"/>
      <c r="AO501" s="736"/>
      <c r="AP501" s="736"/>
      <c r="AQ501" s="736"/>
      <c r="AR501" s="736"/>
      <c r="AS501" s="736"/>
      <c r="AT501" s="736"/>
      <c r="AU501" s="736"/>
      <c r="AV501" s="736"/>
      <c r="AW501" s="736"/>
      <c r="AX501" s="736"/>
      <c r="AY501" s="736"/>
      <c r="AZ501" s="736"/>
      <c r="BA501" s="736"/>
      <c r="BB501" s="736"/>
      <c r="BC501" s="736"/>
      <c r="BD501" s="736"/>
      <c r="BE501" s="736"/>
      <c r="BF501" s="736"/>
      <c r="BG501" s="736"/>
      <c r="BH501" s="736"/>
      <c r="BI501" s="736"/>
      <c r="BJ501" s="736"/>
      <c r="BK501" s="736"/>
      <c r="BL501" s="736"/>
    </row>
    <row r="502" spans="1:64" ht="18.75" x14ac:dyDescent="0.25">
      <c r="A502" s="758"/>
      <c r="B502" s="737"/>
      <c r="C502" s="730"/>
      <c r="D502" s="739"/>
      <c r="E502" s="765"/>
      <c r="F502" s="765"/>
      <c r="G502" s="765"/>
      <c r="H502" s="765"/>
      <c r="I502" s="746" t="str">
        <f t="shared" si="22"/>
        <v/>
      </c>
      <c r="J502" s="731"/>
      <c r="K502" s="731" t="str">
        <f t="shared" si="21"/>
        <v/>
      </c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32"/>
      <c r="AB502" s="732"/>
      <c r="AC502" s="732"/>
      <c r="AD502" s="732"/>
      <c r="AE502" s="733"/>
      <c r="AF502" s="734" t="str">
        <f t="shared" si="23"/>
        <v/>
      </c>
      <c r="AG502" s="773"/>
    </row>
    <row r="503" spans="1:64" ht="18.75" x14ac:dyDescent="0.25">
      <c r="A503" s="758"/>
      <c r="B503" s="737"/>
      <c r="C503" s="730"/>
      <c r="D503" s="739"/>
      <c r="E503" s="765"/>
      <c r="F503" s="765"/>
      <c r="G503" s="765"/>
      <c r="H503" s="765"/>
      <c r="I503" s="746" t="str">
        <f t="shared" si="22"/>
        <v/>
      </c>
      <c r="J503" s="731"/>
      <c r="K503" s="731" t="str">
        <f t="shared" si="21"/>
        <v/>
      </c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32"/>
      <c r="AB503" s="732"/>
      <c r="AC503" s="732"/>
      <c r="AD503" s="732"/>
      <c r="AE503" s="733"/>
      <c r="AF503" s="734" t="str">
        <f t="shared" si="23"/>
        <v/>
      </c>
      <c r="AG503" s="774"/>
      <c r="AH503" s="778"/>
      <c r="AI503" s="736"/>
      <c r="AJ503" s="736"/>
      <c r="AK503" s="736"/>
      <c r="AL503" s="736"/>
      <c r="AM503" s="736"/>
      <c r="AN503" s="736"/>
      <c r="AO503" s="736"/>
      <c r="AP503" s="736"/>
      <c r="AQ503" s="736"/>
      <c r="AR503" s="736"/>
      <c r="AS503" s="736"/>
      <c r="AT503" s="736"/>
      <c r="AU503" s="736"/>
      <c r="AV503" s="736"/>
      <c r="AW503" s="736"/>
      <c r="AX503" s="736"/>
      <c r="AY503" s="736"/>
      <c r="AZ503" s="736"/>
      <c r="BA503" s="736"/>
      <c r="BB503" s="736"/>
      <c r="BC503" s="736"/>
      <c r="BD503" s="736"/>
      <c r="BE503" s="736"/>
      <c r="BF503" s="736"/>
      <c r="BG503" s="736"/>
      <c r="BH503" s="736"/>
      <c r="BI503" s="736"/>
      <c r="BJ503" s="736"/>
      <c r="BK503" s="736"/>
      <c r="BL503" s="736"/>
    </row>
    <row r="504" spans="1:64" ht="18.75" x14ac:dyDescent="0.25">
      <c r="A504" s="758"/>
      <c r="B504" s="737"/>
      <c r="C504" s="730"/>
      <c r="D504" s="739"/>
      <c r="E504" s="765"/>
      <c r="F504" s="765"/>
      <c r="G504" s="765"/>
      <c r="H504" s="765"/>
      <c r="I504" s="746" t="str">
        <f t="shared" si="22"/>
        <v/>
      </c>
      <c r="J504" s="731"/>
      <c r="K504" s="731" t="str">
        <f t="shared" si="21"/>
        <v/>
      </c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32"/>
      <c r="AB504" s="732"/>
      <c r="AC504" s="732"/>
      <c r="AD504" s="732"/>
      <c r="AE504" s="733"/>
      <c r="AF504" s="734" t="str">
        <f t="shared" si="23"/>
        <v/>
      </c>
      <c r="AG504" s="773"/>
    </row>
    <row r="505" spans="1:64" ht="18.75" x14ac:dyDescent="0.25">
      <c r="A505" s="758"/>
      <c r="B505" s="737"/>
      <c r="C505" s="730"/>
      <c r="D505" s="739"/>
      <c r="E505" s="765"/>
      <c r="F505" s="765"/>
      <c r="G505" s="765"/>
      <c r="H505" s="765"/>
      <c r="I505" s="746" t="str">
        <f t="shared" si="22"/>
        <v/>
      </c>
      <c r="J505" s="731"/>
      <c r="K505" s="731" t="str">
        <f t="shared" si="21"/>
        <v/>
      </c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32"/>
      <c r="AB505" s="732"/>
      <c r="AC505" s="732"/>
      <c r="AD505" s="732"/>
      <c r="AE505" s="733"/>
      <c r="AF505" s="734" t="str">
        <f t="shared" si="23"/>
        <v/>
      </c>
      <c r="AG505" s="774"/>
      <c r="AH505" s="778"/>
      <c r="AI505" s="736"/>
      <c r="AJ505" s="736"/>
      <c r="AK505" s="736"/>
      <c r="AL505" s="736"/>
      <c r="AM505" s="736"/>
      <c r="AN505" s="736"/>
      <c r="AO505" s="736"/>
      <c r="AP505" s="736"/>
      <c r="AQ505" s="736"/>
      <c r="AR505" s="736"/>
      <c r="AS505" s="736"/>
      <c r="AT505" s="736"/>
      <c r="AU505" s="736"/>
      <c r="AV505" s="736"/>
      <c r="AW505" s="736"/>
      <c r="AX505" s="736"/>
      <c r="AY505" s="736"/>
      <c r="AZ505" s="736"/>
      <c r="BA505" s="736"/>
      <c r="BB505" s="736"/>
      <c r="BC505" s="736"/>
      <c r="BD505" s="736"/>
      <c r="BE505" s="736"/>
      <c r="BF505" s="736"/>
      <c r="BG505" s="736"/>
      <c r="BH505" s="736"/>
      <c r="BI505" s="736"/>
      <c r="BJ505" s="736"/>
      <c r="BK505" s="736"/>
      <c r="BL505" s="736"/>
    </row>
    <row r="506" spans="1:64" ht="18.75" x14ac:dyDescent="0.25">
      <c r="A506" s="758"/>
      <c r="B506" s="737"/>
      <c r="C506" s="730"/>
      <c r="D506" s="739"/>
      <c r="E506" s="765"/>
      <c r="F506" s="765"/>
      <c r="G506" s="765"/>
      <c r="H506" s="765"/>
      <c r="I506" s="746" t="str">
        <f t="shared" si="22"/>
        <v/>
      </c>
      <c r="J506" s="731"/>
      <c r="K506" s="731" t="str">
        <f t="shared" si="21"/>
        <v/>
      </c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32"/>
      <c r="AB506" s="732"/>
      <c r="AC506" s="732"/>
      <c r="AD506" s="732"/>
      <c r="AE506" s="733"/>
      <c r="AF506" s="734" t="str">
        <f t="shared" si="23"/>
        <v/>
      </c>
      <c r="AG506" s="774"/>
      <c r="AH506" s="778"/>
      <c r="AI506" s="736"/>
      <c r="AJ506" s="736"/>
      <c r="AK506" s="736"/>
      <c r="AL506" s="736"/>
      <c r="AM506" s="736"/>
      <c r="AN506" s="736"/>
      <c r="AO506" s="736"/>
      <c r="AP506" s="736"/>
      <c r="AQ506" s="736"/>
      <c r="AR506" s="736"/>
      <c r="AS506" s="736"/>
      <c r="AT506" s="736"/>
      <c r="AU506" s="736"/>
      <c r="AV506" s="736"/>
      <c r="AW506" s="736"/>
      <c r="AX506" s="736"/>
      <c r="AY506" s="736"/>
      <c r="AZ506" s="736"/>
      <c r="BA506" s="736"/>
      <c r="BB506" s="736"/>
      <c r="BC506" s="736"/>
      <c r="BD506" s="736"/>
      <c r="BE506" s="736"/>
      <c r="BF506" s="736"/>
      <c r="BG506" s="736"/>
      <c r="BH506" s="736"/>
      <c r="BI506" s="736"/>
      <c r="BJ506" s="736"/>
      <c r="BK506" s="736"/>
      <c r="BL506" s="736"/>
    </row>
    <row r="507" spans="1:64" ht="18.75" x14ac:dyDescent="0.25">
      <c r="A507" s="758"/>
      <c r="B507" s="737"/>
      <c r="C507" s="730"/>
      <c r="D507" s="739"/>
      <c r="E507" s="765"/>
      <c r="F507" s="765"/>
      <c r="G507" s="765"/>
      <c r="H507" s="765"/>
      <c r="I507" s="746" t="str">
        <f t="shared" si="22"/>
        <v/>
      </c>
      <c r="J507" s="731"/>
      <c r="K507" s="731" t="str">
        <f t="shared" si="21"/>
        <v/>
      </c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32"/>
      <c r="AB507" s="732"/>
      <c r="AC507" s="732"/>
      <c r="AD507" s="732"/>
      <c r="AE507" s="733"/>
      <c r="AF507" s="734" t="str">
        <f t="shared" si="23"/>
        <v/>
      </c>
      <c r="AG507" s="774"/>
      <c r="AH507" s="778"/>
      <c r="AI507" s="736"/>
      <c r="AJ507" s="736"/>
      <c r="AK507" s="736"/>
      <c r="AL507" s="736"/>
      <c r="AM507" s="736"/>
      <c r="AN507" s="736"/>
      <c r="AO507" s="736"/>
      <c r="AP507" s="736"/>
      <c r="AQ507" s="736"/>
      <c r="AR507" s="736"/>
      <c r="AS507" s="736"/>
      <c r="AT507" s="736"/>
      <c r="AU507" s="736"/>
      <c r="AV507" s="736"/>
      <c r="AW507" s="736"/>
      <c r="AX507" s="736"/>
      <c r="AY507" s="736"/>
      <c r="AZ507" s="736"/>
      <c r="BA507" s="736"/>
      <c r="BB507" s="736"/>
      <c r="BC507" s="736"/>
      <c r="BD507" s="736"/>
      <c r="BE507" s="736"/>
      <c r="BF507" s="736"/>
      <c r="BG507" s="736"/>
      <c r="BH507" s="736"/>
      <c r="BI507" s="736"/>
      <c r="BJ507" s="736"/>
      <c r="BK507" s="736"/>
      <c r="BL507" s="736"/>
    </row>
    <row r="508" spans="1:64" ht="18.75" x14ac:dyDescent="0.25">
      <c r="A508" s="758"/>
      <c r="B508" s="737"/>
      <c r="C508" s="730"/>
      <c r="D508" s="739"/>
      <c r="E508" s="765"/>
      <c r="F508" s="765"/>
      <c r="G508" s="765"/>
      <c r="H508" s="765"/>
      <c r="I508" s="746" t="str">
        <f t="shared" si="22"/>
        <v/>
      </c>
      <c r="J508" s="731"/>
      <c r="K508" s="731" t="str">
        <f t="shared" si="21"/>
        <v/>
      </c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32"/>
      <c r="AB508" s="732"/>
      <c r="AC508" s="732"/>
      <c r="AD508" s="732"/>
      <c r="AE508" s="733"/>
      <c r="AF508" s="734" t="str">
        <f t="shared" si="23"/>
        <v/>
      </c>
      <c r="AG508" s="774"/>
      <c r="AH508" s="778"/>
      <c r="AI508" s="736"/>
      <c r="AJ508" s="736"/>
      <c r="AK508" s="736"/>
      <c r="AL508" s="736"/>
      <c r="AM508" s="736"/>
      <c r="AN508" s="736"/>
      <c r="AO508" s="736"/>
      <c r="AP508" s="736"/>
      <c r="AQ508" s="736"/>
      <c r="AR508" s="736"/>
      <c r="AS508" s="736"/>
      <c r="AT508" s="736"/>
      <c r="AU508" s="736"/>
      <c r="AV508" s="736"/>
      <c r="AW508" s="736"/>
      <c r="AX508" s="736"/>
      <c r="AY508" s="736"/>
      <c r="AZ508" s="736"/>
      <c r="BA508" s="736"/>
      <c r="BB508" s="736"/>
      <c r="BC508" s="736"/>
      <c r="BD508" s="736"/>
      <c r="BE508" s="736"/>
      <c r="BF508" s="736"/>
      <c r="BG508" s="736"/>
      <c r="BH508" s="736"/>
      <c r="BI508" s="736"/>
      <c r="BJ508" s="736"/>
      <c r="BK508" s="736"/>
      <c r="BL508" s="736"/>
    </row>
    <row r="509" spans="1:64" ht="18.75" x14ac:dyDescent="0.25">
      <c r="A509" s="758"/>
      <c r="B509" s="737"/>
      <c r="C509" s="730"/>
      <c r="D509" s="739"/>
      <c r="E509" s="765"/>
      <c r="F509" s="765"/>
      <c r="G509" s="765"/>
      <c r="H509" s="765"/>
      <c r="I509" s="746" t="str">
        <f t="shared" si="22"/>
        <v/>
      </c>
      <c r="J509" s="731"/>
      <c r="K509" s="731" t="str">
        <f t="shared" si="21"/>
        <v/>
      </c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32"/>
      <c r="AB509" s="732"/>
      <c r="AC509" s="732"/>
      <c r="AD509" s="732"/>
      <c r="AE509" s="733"/>
      <c r="AF509" s="734" t="str">
        <f t="shared" si="23"/>
        <v/>
      </c>
      <c r="AG509" s="774"/>
      <c r="AH509" s="778"/>
      <c r="AI509" s="736"/>
      <c r="AJ509" s="736"/>
      <c r="AK509" s="736"/>
      <c r="AL509" s="736"/>
      <c r="AM509" s="736"/>
      <c r="AN509" s="736"/>
      <c r="AO509" s="736"/>
      <c r="AP509" s="736"/>
      <c r="AQ509" s="736"/>
      <c r="AR509" s="736"/>
      <c r="AS509" s="736"/>
      <c r="AT509" s="736"/>
      <c r="AU509" s="736"/>
      <c r="AV509" s="736"/>
      <c r="AW509" s="736"/>
      <c r="AX509" s="736"/>
      <c r="AY509" s="736"/>
      <c r="AZ509" s="736"/>
      <c r="BA509" s="736"/>
      <c r="BB509" s="736"/>
      <c r="BC509" s="736"/>
      <c r="BD509" s="736"/>
      <c r="BE509" s="736"/>
      <c r="BF509" s="736"/>
      <c r="BG509" s="736"/>
      <c r="BH509" s="736"/>
      <c r="BI509" s="736"/>
      <c r="BJ509" s="736"/>
      <c r="BK509" s="736"/>
      <c r="BL509" s="736"/>
    </row>
    <row r="510" spans="1:64" ht="18.75" x14ac:dyDescent="0.25">
      <c r="A510" s="758"/>
      <c r="B510" s="737"/>
      <c r="C510" s="730"/>
      <c r="D510" s="739"/>
      <c r="E510" s="765"/>
      <c r="F510" s="765"/>
      <c r="G510" s="765"/>
      <c r="H510" s="765"/>
      <c r="I510" s="746" t="str">
        <f t="shared" si="22"/>
        <v/>
      </c>
      <c r="J510" s="731"/>
      <c r="K510" s="731" t="str">
        <f t="shared" si="21"/>
        <v/>
      </c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32"/>
      <c r="AB510" s="732"/>
      <c r="AC510" s="732"/>
      <c r="AD510" s="732"/>
      <c r="AE510" s="733"/>
      <c r="AF510" s="734" t="str">
        <f t="shared" si="23"/>
        <v/>
      </c>
      <c r="AG510" s="774"/>
      <c r="AH510" s="778"/>
      <c r="AI510" s="736"/>
      <c r="AJ510" s="736"/>
      <c r="AK510" s="736"/>
      <c r="AL510" s="736"/>
      <c r="AM510" s="736"/>
      <c r="AN510" s="736"/>
      <c r="AO510" s="736"/>
      <c r="AP510" s="736"/>
      <c r="AQ510" s="736"/>
      <c r="AR510" s="736"/>
      <c r="AS510" s="736"/>
      <c r="AT510" s="736"/>
      <c r="AU510" s="736"/>
      <c r="AV510" s="736"/>
      <c r="AW510" s="736"/>
      <c r="AX510" s="736"/>
      <c r="AY510" s="736"/>
      <c r="AZ510" s="736"/>
      <c r="BA510" s="736"/>
      <c r="BB510" s="736"/>
      <c r="BC510" s="736"/>
      <c r="BD510" s="736"/>
      <c r="BE510" s="736"/>
      <c r="BF510" s="736"/>
      <c r="BG510" s="736"/>
      <c r="BH510" s="736"/>
      <c r="BI510" s="736"/>
      <c r="BJ510" s="736"/>
      <c r="BK510" s="736"/>
      <c r="BL510" s="736"/>
    </row>
    <row r="511" spans="1:64" ht="18.75" x14ac:dyDescent="0.25">
      <c r="A511" s="758"/>
      <c r="B511" s="737"/>
      <c r="C511" s="730"/>
      <c r="D511" s="739"/>
      <c r="E511" s="765"/>
      <c r="F511" s="765"/>
      <c r="G511" s="765"/>
      <c r="H511" s="765"/>
      <c r="I511" s="746" t="str">
        <f t="shared" si="22"/>
        <v/>
      </c>
      <c r="J511" s="731"/>
      <c r="K511" s="731" t="str">
        <f t="shared" si="21"/>
        <v/>
      </c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32"/>
      <c r="AB511" s="732"/>
      <c r="AC511" s="732"/>
      <c r="AD511" s="732"/>
      <c r="AE511" s="733"/>
      <c r="AF511" s="734" t="str">
        <f t="shared" si="23"/>
        <v/>
      </c>
      <c r="AG511" s="774"/>
      <c r="AH511" s="778"/>
      <c r="AI511" s="736"/>
      <c r="AJ511" s="736"/>
      <c r="AK511" s="736"/>
      <c r="AL511" s="736"/>
      <c r="AM511" s="736"/>
      <c r="AN511" s="736"/>
      <c r="AO511" s="736"/>
      <c r="AP511" s="736"/>
      <c r="AQ511" s="736"/>
      <c r="AR511" s="736"/>
      <c r="AS511" s="736"/>
      <c r="AT511" s="736"/>
      <c r="AU511" s="736"/>
      <c r="AV511" s="736"/>
      <c r="AW511" s="736"/>
      <c r="AX511" s="736"/>
      <c r="AY511" s="736"/>
      <c r="AZ511" s="736"/>
      <c r="BA511" s="736"/>
      <c r="BB511" s="736"/>
      <c r="BC511" s="736"/>
      <c r="BD511" s="736"/>
      <c r="BE511" s="736"/>
      <c r="BF511" s="736"/>
      <c r="BG511" s="736"/>
      <c r="BH511" s="736"/>
      <c r="BI511" s="736"/>
      <c r="BJ511" s="736"/>
      <c r="BK511" s="736"/>
      <c r="BL511" s="736"/>
    </row>
    <row r="512" spans="1:64" ht="18.75" x14ac:dyDescent="0.25">
      <c r="A512" s="758"/>
      <c r="B512" s="737"/>
      <c r="C512" s="730"/>
      <c r="D512" s="739"/>
      <c r="E512" s="765"/>
      <c r="F512" s="765"/>
      <c r="G512" s="765"/>
      <c r="H512" s="765"/>
      <c r="I512" s="746" t="str">
        <f t="shared" si="22"/>
        <v/>
      </c>
      <c r="J512" s="731"/>
      <c r="K512" s="731" t="str">
        <f t="shared" si="21"/>
        <v/>
      </c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32"/>
      <c r="AB512" s="732"/>
      <c r="AC512" s="732"/>
      <c r="AD512" s="732"/>
      <c r="AE512" s="733"/>
      <c r="AF512" s="734" t="str">
        <f t="shared" si="23"/>
        <v/>
      </c>
      <c r="AG512" s="773"/>
    </row>
    <row r="513" spans="1:64" ht="18.75" x14ac:dyDescent="0.25">
      <c r="A513" s="758"/>
      <c r="B513" s="737"/>
      <c r="C513" s="730"/>
      <c r="D513" s="739"/>
      <c r="E513" s="765"/>
      <c r="F513" s="765"/>
      <c r="G513" s="765"/>
      <c r="H513" s="765"/>
      <c r="I513" s="746" t="str">
        <f t="shared" si="22"/>
        <v/>
      </c>
      <c r="J513" s="731"/>
      <c r="K513" s="731" t="str">
        <f t="shared" si="21"/>
        <v/>
      </c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32"/>
      <c r="AB513" s="732"/>
      <c r="AC513" s="732"/>
      <c r="AD513" s="732"/>
      <c r="AE513" s="733"/>
      <c r="AF513" s="734" t="str">
        <f t="shared" si="23"/>
        <v/>
      </c>
      <c r="AG513" s="774"/>
      <c r="AH513" s="778"/>
      <c r="AI513" s="736"/>
      <c r="AJ513" s="736"/>
      <c r="AK513" s="736"/>
      <c r="AL513" s="736"/>
      <c r="AM513" s="736"/>
      <c r="AN513" s="736"/>
      <c r="AO513" s="736"/>
      <c r="AP513" s="736"/>
      <c r="AQ513" s="736"/>
      <c r="AR513" s="736"/>
      <c r="AS513" s="736"/>
      <c r="AT513" s="736"/>
      <c r="AU513" s="736"/>
      <c r="AV513" s="736"/>
      <c r="AW513" s="736"/>
      <c r="AX513" s="736"/>
      <c r="AY513" s="736"/>
      <c r="AZ513" s="736"/>
      <c r="BA513" s="736"/>
      <c r="BB513" s="736"/>
      <c r="BC513" s="736"/>
      <c r="BD513" s="736"/>
      <c r="BE513" s="736"/>
      <c r="BF513" s="736"/>
      <c r="BG513" s="736"/>
      <c r="BH513" s="736"/>
      <c r="BI513" s="736"/>
      <c r="BJ513" s="736"/>
      <c r="BK513" s="736"/>
      <c r="BL513" s="736"/>
    </row>
    <row r="514" spans="1:64" ht="18.75" x14ac:dyDescent="0.25">
      <c r="A514" s="758"/>
      <c r="B514" s="737"/>
      <c r="C514" s="730"/>
      <c r="D514" s="739"/>
      <c r="E514" s="765"/>
      <c r="F514" s="765"/>
      <c r="G514" s="765"/>
      <c r="H514" s="765"/>
      <c r="I514" s="746" t="str">
        <f t="shared" si="22"/>
        <v/>
      </c>
      <c r="J514" s="731"/>
      <c r="K514" s="731" t="str">
        <f t="shared" si="21"/>
        <v/>
      </c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32"/>
      <c r="AB514" s="732"/>
      <c r="AC514" s="732"/>
      <c r="AD514" s="732"/>
      <c r="AE514" s="733"/>
      <c r="AF514" s="734" t="str">
        <f t="shared" si="23"/>
        <v/>
      </c>
      <c r="AG514" s="774"/>
      <c r="AH514" s="778"/>
      <c r="AI514" s="736"/>
      <c r="AJ514" s="736"/>
      <c r="AK514" s="736"/>
      <c r="AL514" s="736"/>
      <c r="AM514" s="736"/>
      <c r="AN514" s="736"/>
      <c r="AO514" s="736"/>
      <c r="AP514" s="736"/>
      <c r="AQ514" s="736"/>
      <c r="AR514" s="736"/>
      <c r="AS514" s="736"/>
      <c r="AT514" s="736"/>
      <c r="AU514" s="736"/>
      <c r="AV514" s="736"/>
      <c r="AW514" s="736"/>
      <c r="AX514" s="736"/>
      <c r="AY514" s="736"/>
      <c r="AZ514" s="736"/>
      <c r="BA514" s="736"/>
      <c r="BB514" s="736"/>
      <c r="BC514" s="736"/>
      <c r="BD514" s="736"/>
      <c r="BE514" s="736"/>
      <c r="BF514" s="736"/>
      <c r="BG514" s="736"/>
      <c r="BH514" s="736"/>
      <c r="BI514" s="736"/>
      <c r="BJ514" s="736"/>
      <c r="BK514" s="736"/>
      <c r="BL514" s="736"/>
    </row>
    <row r="515" spans="1:64" ht="18.75" x14ac:dyDescent="0.25">
      <c r="A515" s="758"/>
      <c r="B515" s="737"/>
      <c r="C515" s="730"/>
      <c r="D515" s="739"/>
      <c r="E515" s="765"/>
      <c r="F515" s="765"/>
      <c r="G515" s="765"/>
      <c r="H515" s="765"/>
      <c r="I515" s="746" t="str">
        <f t="shared" si="22"/>
        <v/>
      </c>
      <c r="J515" s="731"/>
      <c r="K515" s="731" t="str">
        <f t="shared" si="21"/>
        <v/>
      </c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32"/>
      <c r="AB515" s="732"/>
      <c r="AC515" s="732"/>
      <c r="AD515" s="732"/>
      <c r="AE515" s="733"/>
      <c r="AF515" s="734" t="str">
        <f t="shared" si="23"/>
        <v/>
      </c>
      <c r="AG515" s="774"/>
      <c r="AH515" s="778"/>
      <c r="AI515" s="736"/>
      <c r="AJ515" s="736"/>
      <c r="AK515" s="736"/>
      <c r="AL515" s="736"/>
      <c r="AM515" s="736"/>
      <c r="AN515" s="736"/>
      <c r="AO515" s="736"/>
      <c r="AP515" s="736"/>
      <c r="AQ515" s="736"/>
      <c r="AR515" s="736"/>
      <c r="AS515" s="736"/>
      <c r="AT515" s="736"/>
      <c r="AU515" s="736"/>
      <c r="AV515" s="736"/>
      <c r="AW515" s="736"/>
      <c r="AX515" s="736"/>
      <c r="AY515" s="736"/>
      <c r="AZ515" s="736"/>
      <c r="BA515" s="736"/>
      <c r="BB515" s="736"/>
      <c r="BC515" s="736"/>
      <c r="BD515" s="736"/>
      <c r="BE515" s="736"/>
      <c r="BF515" s="736"/>
      <c r="BG515" s="736"/>
      <c r="BH515" s="736"/>
      <c r="BI515" s="736"/>
      <c r="BJ515" s="736"/>
      <c r="BK515" s="736"/>
      <c r="BL515" s="736"/>
    </row>
    <row r="516" spans="1:64" ht="18.75" x14ac:dyDescent="0.25">
      <c r="A516" s="758"/>
      <c r="B516" s="737"/>
      <c r="C516" s="730"/>
      <c r="D516" s="739"/>
      <c r="E516" s="765"/>
      <c r="F516" s="765"/>
      <c r="G516" s="765"/>
      <c r="H516" s="765"/>
      <c r="I516" s="746" t="str">
        <f t="shared" si="22"/>
        <v/>
      </c>
      <c r="J516" s="731"/>
      <c r="K516" s="731" t="str">
        <f t="shared" ref="K516:K579" si="24">IF(AA516-AE516 = 0,"",AA516-AE516)</f>
        <v/>
      </c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32"/>
      <c r="AB516" s="732"/>
      <c r="AC516" s="732"/>
      <c r="AD516" s="732"/>
      <c r="AE516" s="733"/>
      <c r="AF516" s="734" t="str">
        <f t="shared" si="23"/>
        <v/>
      </c>
      <c r="AG516" s="774"/>
      <c r="AH516" s="778"/>
      <c r="AI516" s="736"/>
      <c r="AJ516" s="736"/>
      <c r="AK516" s="736"/>
      <c r="AL516" s="736"/>
      <c r="AM516" s="736"/>
      <c r="AN516" s="736"/>
      <c r="AO516" s="736"/>
      <c r="AP516" s="736"/>
      <c r="AQ516" s="736"/>
      <c r="AR516" s="736"/>
      <c r="AS516" s="736"/>
      <c r="AT516" s="736"/>
      <c r="AU516" s="736"/>
      <c r="AV516" s="736"/>
      <c r="AW516" s="736"/>
      <c r="AX516" s="736"/>
      <c r="AY516" s="736"/>
      <c r="AZ516" s="736"/>
      <c r="BA516" s="736"/>
      <c r="BB516" s="736"/>
      <c r="BC516" s="736"/>
      <c r="BD516" s="736"/>
      <c r="BE516" s="736"/>
      <c r="BF516" s="736"/>
      <c r="BG516" s="736"/>
      <c r="BH516" s="736"/>
      <c r="BI516" s="736"/>
      <c r="BJ516" s="736"/>
      <c r="BK516" s="736"/>
      <c r="BL516" s="736"/>
    </row>
    <row r="517" spans="1:64" ht="18.75" x14ac:dyDescent="0.25">
      <c r="A517" s="758"/>
      <c r="B517" s="737"/>
      <c r="C517" s="730"/>
      <c r="D517" s="739"/>
      <c r="E517" s="765"/>
      <c r="F517" s="765"/>
      <c r="G517" s="765"/>
      <c r="H517" s="765"/>
      <c r="I517" s="746" t="str">
        <f t="shared" ref="I517:I580" si="25">AF517</f>
        <v/>
      </c>
      <c r="J517" s="731"/>
      <c r="K517" s="731" t="str">
        <f t="shared" si="24"/>
        <v/>
      </c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32"/>
      <c r="AB517" s="732"/>
      <c r="AC517" s="732"/>
      <c r="AD517" s="732"/>
      <c r="AE517" s="733"/>
      <c r="AF517" s="734" t="str">
        <f t="shared" ref="AF517:AF580" si="26">IF(AE517 &lt;&gt;"", AE517/AA517,"")</f>
        <v/>
      </c>
      <c r="AG517" s="774"/>
      <c r="AH517" s="778"/>
      <c r="AI517" s="736"/>
      <c r="AJ517" s="736"/>
      <c r="AK517" s="736"/>
      <c r="AL517" s="736"/>
      <c r="AM517" s="736"/>
      <c r="AN517" s="736"/>
      <c r="AO517" s="736"/>
      <c r="AP517" s="736"/>
      <c r="AQ517" s="736"/>
      <c r="AR517" s="736"/>
      <c r="AS517" s="736"/>
      <c r="AT517" s="736"/>
      <c r="AU517" s="736"/>
      <c r="AV517" s="736"/>
      <c r="AW517" s="736"/>
      <c r="AX517" s="736"/>
      <c r="AY517" s="736"/>
      <c r="AZ517" s="736"/>
      <c r="BA517" s="736"/>
      <c r="BB517" s="736"/>
      <c r="BC517" s="736"/>
      <c r="BD517" s="736"/>
      <c r="BE517" s="736"/>
      <c r="BF517" s="736"/>
      <c r="BG517" s="736"/>
      <c r="BH517" s="736"/>
      <c r="BI517" s="736"/>
      <c r="BJ517" s="736"/>
      <c r="BK517" s="736"/>
      <c r="BL517" s="736"/>
    </row>
    <row r="518" spans="1:64" ht="18.75" x14ac:dyDescent="0.25">
      <c r="A518" s="758"/>
      <c r="B518" s="737"/>
      <c r="C518" s="730"/>
      <c r="D518" s="739"/>
      <c r="E518" s="765"/>
      <c r="F518" s="765"/>
      <c r="G518" s="765"/>
      <c r="H518" s="765"/>
      <c r="I518" s="746" t="str">
        <f t="shared" si="25"/>
        <v/>
      </c>
      <c r="J518" s="731"/>
      <c r="K518" s="731" t="str">
        <f t="shared" si="24"/>
        <v/>
      </c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32"/>
      <c r="AB518" s="732"/>
      <c r="AC518" s="732"/>
      <c r="AD518" s="732"/>
      <c r="AE518" s="733"/>
      <c r="AF518" s="734" t="str">
        <f t="shared" si="26"/>
        <v/>
      </c>
      <c r="AG518" s="774"/>
      <c r="AH518" s="778"/>
      <c r="AI518" s="736"/>
      <c r="AJ518" s="736"/>
      <c r="AK518" s="736"/>
      <c r="AL518" s="736"/>
      <c r="AM518" s="736"/>
      <c r="AN518" s="736"/>
      <c r="AO518" s="736"/>
      <c r="AP518" s="736"/>
      <c r="AQ518" s="736"/>
      <c r="AR518" s="736"/>
      <c r="AS518" s="736"/>
      <c r="AT518" s="736"/>
      <c r="AU518" s="736"/>
      <c r="AV518" s="736"/>
      <c r="AW518" s="736"/>
      <c r="AX518" s="736"/>
      <c r="AY518" s="736"/>
      <c r="AZ518" s="736"/>
      <c r="BA518" s="736"/>
      <c r="BB518" s="736"/>
      <c r="BC518" s="736"/>
      <c r="BD518" s="736"/>
      <c r="BE518" s="736"/>
      <c r="BF518" s="736"/>
      <c r="BG518" s="736"/>
      <c r="BH518" s="736"/>
      <c r="BI518" s="736"/>
      <c r="BJ518" s="736"/>
      <c r="BK518" s="736"/>
      <c r="BL518" s="736"/>
    </row>
    <row r="519" spans="1:64" ht="18.75" x14ac:dyDescent="0.25">
      <c r="A519" s="758"/>
      <c r="B519" s="737"/>
      <c r="C519" s="730"/>
      <c r="D519" s="739"/>
      <c r="E519" s="765"/>
      <c r="F519" s="765"/>
      <c r="G519" s="765"/>
      <c r="H519" s="765"/>
      <c r="I519" s="746" t="str">
        <f t="shared" si="25"/>
        <v/>
      </c>
      <c r="J519" s="731"/>
      <c r="K519" s="731" t="str">
        <f t="shared" si="24"/>
        <v/>
      </c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32"/>
      <c r="AB519" s="732"/>
      <c r="AC519" s="732"/>
      <c r="AD519" s="732"/>
      <c r="AE519" s="733"/>
      <c r="AF519" s="734" t="str">
        <f t="shared" si="26"/>
        <v/>
      </c>
      <c r="AG519" s="773"/>
    </row>
    <row r="520" spans="1:64" ht="18.75" x14ac:dyDescent="0.25">
      <c r="A520" s="758"/>
      <c r="B520" s="737"/>
      <c r="C520" s="730"/>
      <c r="D520" s="739"/>
      <c r="E520" s="765"/>
      <c r="F520" s="765"/>
      <c r="G520" s="765"/>
      <c r="H520" s="765"/>
      <c r="I520" s="746" t="str">
        <f t="shared" si="25"/>
        <v/>
      </c>
      <c r="J520" s="731"/>
      <c r="K520" s="731" t="str">
        <f t="shared" si="24"/>
        <v/>
      </c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32"/>
      <c r="AB520" s="732"/>
      <c r="AC520" s="732"/>
      <c r="AD520" s="732"/>
      <c r="AE520" s="733"/>
      <c r="AF520" s="734" t="str">
        <f t="shared" si="26"/>
        <v/>
      </c>
      <c r="AG520" s="774"/>
      <c r="AH520" s="778"/>
      <c r="AI520" s="736"/>
      <c r="AJ520" s="736"/>
      <c r="AK520" s="736"/>
      <c r="AL520" s="736"/>
      <c r="AM520" s="736"/>
      <c r="AN520" s="736"/>
      <c r="AO520" s="736"/>
      <c r="AP520" s="736"/>
      <c r="AQ520" s="736"/>
      <c r="AR520" s="736"/>
      <c r="AS520" s="736"/>
      <c r="AT520" s="736"/>
      <c r="AU520" s="736"/>
      <c r="AV520" s="736"/>
      <c r="AW520" s="736"/>
      <c r="AX520" s="736"/>
      <c r="AY520" s="736"/>
      <c r="AZ520" s="736"/>
      <c r="BA520" s="736"/>
      <c r="BB520" s="736"/>
      <c r="BC520" s="736"/>
      <c r="BD520" s="736"/>
      <c r="BE520" s="736"/>
      <c r="BF520" s="736"/>
      <c r="BG520" s="736"/>
      <c r="BH520" s="736"/>
      <c r="BI520" s="736"/>
      <c r="BJ520" s="736"/>
      <c r="BK520" s="736"/>
      <c r="BL520" s="736"/>
    </row>
    <row r="521" spans="1:64" ht="18.75" x14ac:dyDescent="0.25">
      <c r="A521" s="758"/>
      <c r="B521" s="737"/>
      <c r="C521" s="730"/>
      <c r="D521" s="739"/>
      <c r="E521" s="765"/>
      <c r="F521" s="765"/>
      <c r="G521" s="765"/>
      <c r="H521" s="765"/>
      <c r="I521" s="746" t="str">
        <f t="shared" si="25"/>
        <v/>
      </c>
      <c r="J521" s="731"/>
      <c r="K521" s="731" t="str">
        <f t="shared" si="24"/>
        <v/>
      </c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32"/>
      <c r="AB521" s="732"/>
      <c r="AC521" s="732"/>
      <c r="AD521" s="732"/>
      <c r="AE521" s="733"/>
      <c r="AF521" s="734" t="str">
        <f t="shared" si="26"/>
        <v/>
      </c>
      <c r="AG521" s="773"/>
    </row>
    <row r="522" spans="1:64" ht="18.75" x14ac:dyDescent="0.25">
      <c r="A522" s="758"/>
      <c r="B522" s="737"/>
      <c r="C522" s="730"/>
      <c r="D522" s="739"/>
      <c r="E522" s="765"/>
      <c r="F522" s="765"/>
      <c r="G522" s="765"/>
      <c r="H522" s="765"/>
      <c r="I522" s="746" t="str">
        <f t="shared" si="25"/>
        <v/>
      </c>
      <c r="J522" s="731"/>
      <c r="K522" s="731" t="str">
        <f t="shared" si="24"/>
        <v/>
      </c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32"/>
      <c r="AB522" s="732"/>
      <c r="AC522" s="732"/>
      <c r="AD522" s="732"/>
      <c r="AE522" s="733"/>
      <c r="AF522" s="734" t="str">
        <f t="shared" si="26"/>
        <v/>
      </c>
      <c r="AG522" s="773"/>
    </row>
    <row r="523" spans="1:64" ht="18.75" x14ac:dyDescent="0.25">
      <c r="A523" s="758"/>
      <c r="B523" s="737"/>
      <c r="C523" s="730"/>
      <c r="D523" s="739"/>
      <c r="E523" s="765"/>
      <c r="F523" s="765"/>
      <c r="G523" s="765"/>
      <c r="H523" s="765"/>
      <c r="I523" s="746" t="str">
        <f t="shared" si="25"/>
        <v/>
      </c>
      <c r="J523" s="731"/>
      <c r="K523" s="731" t="str">
        <f t="shared" si="24"/>
        <v/>
      </c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32"/>
      <c r="AB523" s="732"/>
      <c r="AC523" s="732"/>
      <c r="AD523" s="732"/>
      <c r="AE523" s="733"/>
      <c r="AF523" s="734" t="str">
        <f t="shared" si="26"/>
        <v/>
      </c>
      <c r="AG523" s="774"/>
      <c r="AH523" s="778"/>
      <c r="AI523" s="736"/>
      <c r="AJ523" s="736"/>
      <c r="AK523" s="736"/>
      <c r="AL523" s="736"/>
      <c r="AM523" s="736"/>
      <c r="AN523" s="736"/>
      <c r="AO523" s="736"/>
      <c r="AP523" s="736"/>
      <c r="AQ523" s="736"/>
      <c r="AR523" s="736"/>
      <c r="AS523" s="736"/>
      <c r="AT523" s="736"/>
      <c r="AU523" s="736"/>
      <c r="AV523" s="736"/>
      <c r="AW523" s="736"/>
      <c r="AX523" s="736"/>
      <c r="AY523" s="736"/>
      <c r="AZ523" s="736"/>
      <c r="BA523" s="736"/>
      <c r="BB523" s="736"/>
      <c r="BC523" s="736"/>
      <c r="BD523" s="736"/>
      <c r="BE523" s="736"/>
      <c r="BF523" s="736"/>
      <c r="BG523" s="736"/>
      <c r="BH523" s="736"/>
      <c r="BI523" s="736"/>
      <c r="BJ523" s="736"/>
      <c r="BK523" s="736"/>
      <c r="BL523" s="736"/>
    </row>
    <row r="524" spans="1:64" ht="18.75" x14ac:dyDescent="0.25">
      <c r="A524" s="758"/>
      <c r="B524" s="737"/>
      <c r="C524" s="730"/>
      <c r="D524" s="739"/>
      <c r="E524" s="765"/>
      <c r="F524" s="765"/>
      <c r="G524" s="765"/>
      <c r="H524" s="765"/>
      <c r="I524" s="746" t="str">
        <f t="shared" si="25"/>
        <v/>
      </c>
      <c r="J524" s="731"/>
      <c r="K524" s="731" t="str">
        <f t="shared" si="24"/>
        <v/>
      </c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32"/>
      <c r="AB524" s="732"/>
      <c r="AC524" s="732"/>
      <c r="AD524" s="732"/>
      <c r="AE524" s="733"/>
      <c r="AF524" s="734" t="str">
        <f t="shared" si="26"/>
        <v/>
      </c>
      <c r="AG524" s="774"/>
      <c r="AH524" s="778"/>
      <c r="AI524" s="736"/>
      <c r="AJ524" s="736"/>
      <c r="AK524" s="736"/>
      <c r="AL524" s="736"/>
      <c r="AM524" s="736"/>
      <c r="AN524" s="736"/>
      <c r="AO524" s="736"/>
      <c r="AP524" s="736"/>
      <c r="AQ524" s="736"/>
      <c r="AR524" s="736"/>
      <c r="AS524" s="736"/>
      <c r="AT524" s="736"/>
      <c r="AU524" s="736"/>
      <c r="AV524" s="736"/>
      <c r="AW524" s="736"/>
      <c r="AX524" s="736"/>
      <c r="AY524" s="736"/>
      <c r="AZ524" s="736"/>
      <c r="BA524" s="736"/>
      <c r="BB524" s="736"/>
      <c r="BC524" s="736"/>
      <c r="BD524" s="736"/>
      <c r="BE524" s="736"/>
      <c r="BF524" s="736"/>
      <c r="BG524" s="736"/>
      <c r="BH524" s="736"/>
      <c r="BI524" s="736"/>
      <c r="BJ524" s="736"/>
      <c r="BK524" s="736"/>
      <c r="BL524" s="736"/>
    </row>
    <row r="525" spans="1:64" ht="18.75" x14ac:dyDescent="0.25">
      <c r="A525" s="758"/>
      <c r="B525" s="737"/>
      <c r="C525" s="730"/>
      <c r="D525" s="739"/>
      <c r="E525" s="765"/>
      <c r="F525" s="765"/>
      <c r="G525" s="765"/>
      <c r="H525" s="765"/>
      <c r="I525" s="746" t="str">
        <f t="shared" si="25"/>
        <v/>
      </c>
      <c r="J525" s="731"/>
      <c r="K525" s="731" t="str">
        <f t="shared" si="24"/>
        <v/>
      </c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32"/>
      <c r="AB525" s="732"/>
      <c r="AC525" s="732"/>
      <c r="AD525" s="732"/>
      <c r="AE525" s="733"/>
      <c r="AF525" s="734" t="str">
        <f t="shared" si="26"/>
        <v/>
      </c>
      <c r="AG525" s="774"/>
      <c r="AH525" s="778"/>
      <c r="AI525" s="736"/>
      <c r="AJ525" s="736"/>
      <c r="AK525" s="736"/>
      <c r="AL525" s="736"/>
      <c r="AM525" s="736"/>
      <c r="AN525" s="736"/>
      <c r="AO525" s="736"/>
      <c r="AP525" s="736"/>
      <c r="AQ525" s="736"/>
      <c r="AR525" s="736"/>
      <c r="AS525" s="736"/>
      <c r="AT525" s="736"/>
      <c r="AU525" s="736"/>
      <c r="AV525" s="736"/>
      <c r="AW525" s="736"/>
      <c r="AX525" s="736"/>
      <c r="AY525" s="736"/>
      <c r="AZ525" s="736"/>
      <c r="BA525" s="736"/>
      <c r="BB525" s="736"/>
      <c r="BC525" s="736"/>
      <c r="BD525" s="736"/>
      <c r="BE525" s="736"/>
      <c r="BF525" s="736"/>
      <c r="BG525" s="736"/>
      <c r="BH525" s="736"/>
      <c r="BI525" s="736"/>
      <c r="BJ525" s="736"/>
      <c r="BK525" s="736"/>
      <c r="BL525" s="736"/>
    </row>
    <row r="526" spans="1:64" ht="18.75" x14ac:dyDescent="0.25">
      <c r="A526" s="758"/>
      <c r="B526" s="737"/>
      <c r="C526" s="730"/>
      <c r="D526" s="739"/>
      <c r="E526" s="765"/>
      <c r="F526" s="765"/>
      <c r="G526" s="765"/>
      <c r="H526" s="765"/>
      <c r="I526" s="746" t="str">
        <f t="shared" si="25"/>
        <v/>
      </c>
      <c r="J526" s="731"/>
      <c r="K526" s="731" t="str">
        <f t="shared" si="24"/>
        <v/>
      </c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32"/>
      <c r="AB526" s="732"/>
      <c r="AC526" s="732"/>
      <c r="AD526" s="732"/>
      <c r="AE526" s="733"/>
      <c r="AF526" s="734" t="str">
        <f t="shared" si="26"/>
        <v/>
      </c>
      <c r="AG526" s="773"/>
    </row>
    <row r="527" spans="1:64" ht="18.75" x14ac:dyDescent="0.25">
      <c r="A527" s="758"/>
      <c r="B527" s="737"/>
      <c r="C527" s="730"/>
      <c r="D527" s="739"/>
      <c r="E527" s="765"/>
      <c r="F527" s="765"/>
      <c r="G527" s="765"/>
      <c r="H527" s="765"/>
      <c r="I527" s="746" t="str">
        <f t="shared" si="25"/>
        <v/>
      </c>
      <c r="J527" s="731"/>
      <c r="K527" s="731" t="str">
        <f t="shared" si="24"/>
        <v/>
      </c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32"/>
      <c r="AB527" s="732"/>
      <c r="AC527" s="732"/>
      <c r="AD527" s="732"/>
      <c r="AE527" s="733"/>
      <c r="AF527" s="734" t="str">
        <f t="shared" si="26"/>
        <v/>
      </c>
      <c r="AG527" s="773"/>
    </row>
    <row r="528" spans="1:64" ht="18.75" x14ac:dyDescent="0.25">
      <c r="A528" s="758"/>
      <c r="B528" s="737"/>
      <c r="C528" s="730"/>
      <c r="D528" s="739"/>
      <c r="E528" s="765"/>
      <c r="F528" s="765"/>
      <c r="G528" s="765"/>
      <c r="H528" s="765"/>
      <c r="I528" s="746" t="str">
        <f t="shared" si="25"/>
        <v/>
      </c>
      <c r="J528" s="731"/>
      <c r="K528" s="731" t="str">
        <f t="shared" si="24"/>
        <v/>
      </c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32"/>
      <c r="AB528" s="732"/>
      <c r="AC528" s="732"/>
      <c r="AD528" s="732"/>
      <c r="AE528" s="733"/>
      <c r="AF528" s="734" t="str">
        <f t="shared" si="26"/>
        <v/>
      </c>
      <c r="AG528" s="773"/>
    </row>
    <row r="529" spans="1:64" ht="18.75" x14ac:dyDescent="0.25">
      <c r="A529" s="758"/>
      <c r="B529" s="737"/>
      <c r="C529" s="730"/>
      <c r="D529" s="739"/>
      <c r="E529" s="765"/>
      <c r="F529" s="765"/>
      <c r="G529" s="765"/>
      <c r="H529" s="765"/>
      <c r="I529" s="746" t="str">
        <f t="shared" si="25"/>
        <v/>
      </c>
      <c r="J529" s="731"/>
      <c r="K529" s="731" t="str">
        <f t="shared" si="24"/>
        <v/>
      </c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32"/>
      <c r="AB529" s="732"/>
      <c r="AC529" s="732"/>
      <c r="AD529" s="732"/>
      <c r="AE529" s="733"/>
      <c r="AF529" s="734" t="str">
        <f t="shared" si="26"/>
        <v/>
      </c>
      <c r="AG529" s="774"/>
      <c r="AH529" s="778"/>
      <c r="AI529" s="736"/>
      <c r="AJ529" s="736"/>
      <c r="AK529" s="736"/>
      <c r="AL529" s="736"/>
      <c r="AM529" s="736"/>
      <c r="AN529" s="736"/>
      <c r="AO529" s="736"/>
      <c r="AP529" s="736"/>
      <c r="AQ529" s="736"/>
      <c r="AR529" s="736"/>
      <c r="AS529" s="736"/>
      <c r="AT529" s="736"/>
      <c r="AU529" s="736"/>
      <c r="AV529" s="736"/>
      <c r="AW529" s="736"/>
      <c r="AX529" s="736"/>
      <c r="AY529" s="736"/>
      <c r="AZ529" s="736"/>
      <c r="BA529" s="736"/>
      <c r="BB529" s="736"/>
      <c r="BC529" s="736"/>
      <c r="BD529" s="736"/>
      <c r="BE529" s="736"/>
      <c r="BF529" s="736"/>
      <c r="BG529" s="736"/>
      <c r="BH529" s="736"/>
      <c r="BI529" s="736"/>
      <c r="BJ529" s="736"/>
      <c r="BK529" s="736"/>
      <c r="BL529" s="736"/>
    </row>
    <row r="530" spans="1:64" ht="18.75" x14ac:dyDescent="0.25">
      <c r="A530" s="758"/>
      <c r="B530" s="737"/>
      <c r="C530" s="730"/>
      <c r="D530" s="739"/>
      <c r="E530" s="765"/>
      <c r="F530" s="765"/>
      <c r="G530" s="765"/>
      <c r="H530" s="765"/>
      <c r="I530" s="746" t="str">
        <f t="shared" si="25"/>
        <v/>
      </c>
      <c r="J530" s="731"/>
      <c r="K530" s="731" t="str">
        <f t="shared" si="24"/>
        <v/>
      </c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32"/>
      <c r="AB530" s="732"/>
      <c r="AC530" s="732"/>
      <c r="AD530" s="732"/>
      <c r="AE530" s="733"/>
      <c r="AF530" s="734" t="str">
        <f t="shared" si="26"/>
        <v/>
      </c>
      <c r="AG530" s="773"/>
    </row>
    <row r="531" spans="1:64" ht="18.75" x14ac:dyDescent="0.25">
      <c r="A531" s="758"/>
      <c r="B531" s="737"/>
      <c r="C531" s="730"/>
      <c r="D531" s="739"/>
      <c r="E531" s="765"/>
      <c r="F531" s="765"/>
      <c r="G531" s="765"/>
      <c r="H531" s="765"/>
      <c r="I531" s="746" t="str">
        <f t="shared" si="25"/>
        <v/>
      </c>
      <c r="J531" s="731"/>
      <c r="K531" s="731" t="str">
        <f t="shared" si="24"/>
        <v/>
      </c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32"/>
      <c r="AB531" s="732"/>
      <c r="AC531" s="732"/>
      <c r="AD531" s="732"/>
      <c r="AE531" s="733"/>
      <c r="AF531" s="734" t="str">
        <f t="shared" si="26"/>
        <v/>
      </c>
      <c r="AG531" s="773"/>
    </row>
    <row r="532" spans="1:64" ht="18.75" x14ac:dyDescent="0.25">
      <c r="A532" s="758"/>
      <c r="B532" s="737"/>
      <c r="C532" s="730"/>
      <c r="D532" s="739"/>
      <c r="E532" s="765"/>
      <c r="F532" s="765"/>
      <c r="G532" s="765"/>
      <c r="H532" s="765"/>
      <c r="I532" s="746" t="str">
        <f t="shared" si="25"/>
        <v/>
      </c>
      <c r="J532" s="731"/>
      <c r="K532" s="731" t="str">
        <f t="shared" si="24"/>
        <v/>
      </c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32"/>
      <c r="AB532" s="732"/>
      <c r="AC532" s="732"/>
      <c r="AD532" s="732"/>
      <c r="AE532" s="733"/>
      <c r="AF532" s="734" t="str">
        <f t="shared" si="26"/>
        <v/>
      </c>
      <c r="AG532" s="773"/>
    </row>
    <row r="533" spans="1:64" ht="18.75" x14ac:dyDescent="0.25">
      <c r="A533" s="758"/>
      <c r="B533" s="737"/>
      <c r="C533" s="730"/>
      <c r="D533" s="739"/>
      <c r="E533" s="765"/>
      <c r="F533" s="765"/>
      <c r="G533" s="765"/>
      <c r="H533" s="765"/>
      <c r="I533" s="746" t="str">
        <f t="shared" si="25"/>
        <v/>
      </c>
      <c r="J533" s="731"/>
      <c r="K533" s="731" t="str">
        <f t="shared" si="24"/>
        <v/>
      </c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32"/>
      <c r="AB533" s="732"/>
      <c r="AC533" s="732"/>
      <c r="AD533" s="732"/>
      <c r="AE533" s="733"/>
      <c r="AF533" s="734" t="str">
        <f t="shared" si="26"/>
        <v/>
      </c>
      <c r="AG533" s="773"/>
    </row>
    <row r="534" spans="1:64" ht="18.75" x14ac:dyDescent="0.25">
      <c r="A534" s="758"/>
      <c r="B534" s="737"/>
      <c r="C534" s="730"/>
      <c r="D534" s="739"/>
      <c r="E534" s="765"/>
      <c r="F534" s="765"/>
      <c r="G534" s="765"/>
      <c r="H534" s="765"/>
      <c r="I534" s="746" t="str">
        <f t="shared" si="25"/>
        <v/>
      </c>
      <c r="J534" s="731"/>
      <c r="K534" s="731" t="str">
        <f t="shared" si="24"/>
        <v/>
      </c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32"/>
      <c r="AB534" s="732"/>
      <c r="AC534" s="732"/>
      <c r="AD534" s="732"/>
      <c r="AE534" s="733"/>
      <c r="AF534" s="734" t="str">
        <f t="shared" si="26"/>
        <v/>
      </c>
      <c r="AG534" s="773"/>
    </row>
    <row r="535" spans="1:64" ht="18.75" x14ac:dyDescent="0.25">
      <c r="A535" s="758"/>
      <c r="B535" s="737"/>
      <c r="C535" s="730"/>
      <c r="D535" s="739"/>
      <c r="E535" s="765"/>
      <c r="F535" s="765"/>
      <c r="G535" s="765"/>
      <c r="H535" s="765"/>
      <c r="I535" s="746" t="str">
        <f t="shared" si="25"/>
        <v/>
      </c>
      <c r="J535" s="731"/>
      <c r="K535" s="731" t="str">
        <f t="shared" si="24"/>
        <v/>
      </c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32"/>
      <c r="AB535" s="732"/>
      <c r="AC535" s="732"/>
      <c r="AD535" s="732"/>
      <c r="AE535" s="733"/>
      <c r="AF535" s="734" t="str">
        <f t="shared" si="26"/>
        <v/>
      </c>
      <c r="AG535" s="773"/>
    </row>
    <row r="536" spans="1:64" ht="18.75" x14ac:dyDescent="0.25">
      <c r="A536" s="758"/>
      <c r="B536" s="737"/>
      <c r="C536" s="730"/>
      <c r="D536" s="739"/>
      <c r="E536" s="765"/>
      <c r="F536" s="765"/>
      <c r="G536" s="765"/>
      <c r="H536" s="765"/>
      <c r="I536" s="746" t="str">
        <f t="shared" si="25"/>
        <v/>
      </c>
      <c r="J536" s="731"/>
      <c r="K536" s="731" t="str">
        <f t="shared" si="24"/>
        <v/>
      </c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32"/>
      <c r="AB536" s="732"/>
      <c r="AC536" s="732"/>
      <c r="AD536" s="732"/>
      <c r="AE536" s="733"/>
      <c r="AF536" s="734" t="str">
        <f t="shared" si="26"/>
        <v/>
      </c>
      <c r="AG536" s="773"/>
    </row>
    <row r="537" spans="1:64" ht="18.75" x14ac:dyDescent="0.25">
      <c r="A537" s="758"/>
      <c r="B537" s="737"/>
      <c r="C537" s="730"/>
      <c r="D537" s="739"/>
      <c r="E537" s="765"/>
      <c r="F537" s="765"/>
      <c r="G537" s="765"/>
      <c r="H537" s="765"/>
      <c r="I537" s="746" t="str">
        <f t="shared" si="25"/>
        <v/>
      </c>
      <c r="J537" s="731"/>
      <c r="K537" s="731" t="str">
        <f t="shared" si="24"/>
        <v/>
      </c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32"/>
      <c r="AB537" s="732"/>
      <c r="AC537" s="732"/>
      <c r="AD537" s="732"/>
      <c r="AE537" s="733"/>
      <c r="AF537" s="734" t="str">
        <f t="shared" si="26"/>
        <v/>
      </c>
      <c r="AG537" s="773"/>
    </row>
    <row r="538" spans="1:64" ht="18.75" x14ac:dyDescent="0.25">
      <c r="A538" s="758"/>
      <c r="B538" s="737"/>
      <c r="C538" s="730"/>
      <c r="D538" s="739"/>
      <c r="E538" s="765"/>
      <c r="F538" s="765"/>
      <c r="G538" s="765"/>
      <c r="H538" s="765"/>
      <c r="I538" s="746" t="str">
        <f t="shared" si="25"/>
        <v/>
      </c>
      <c r="J538" s="731"/>
      <c r="K538" s="731" t="str">
        <f t="shared" si="24"/>
        <v/>
      </c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32"/>
      <c r="AB538" s="732"/>
      <c r="AC538" s="732"/>
      <c r="AD538" s="732"/>
      <c r="AE538" s="733"/>
      <c r="AF538" s="734" t="str">
        <f t="shared" si="26"/>
        <v/>
      </c>
      <c r="AG538" s="773"/>
    </row>
    <row r="539" spans="1:64" ht="18.75" x14ac:dyDescent="0.25">
      <c r="A539" s="758"/>
      <c r="B539" s="737"/>
      <c r="C539" s="730"/>
      <c r="D539" s="739"/>
      <c r="E539" s="765"/>
      <c r="F539" s="765"/>
      <c r="G539" s="765"/>
      <c r="H539" s="765"/>
      <c r="I539" s="746" t="str">
        <f t="shared" si="25"/>
        <v/>
      </c>
      <c r="J539" s="731"/>
      <c r="K539" s="731" t="str">
        <f t="shared" si="24"/>
        <v/>
      </c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32"/>
      <c r="AB539" s="732"/>
      <c r="AC539" s="732"/>
      <c r="AD539" s="732"/>
      <c r="AE539" s="733"/>
      <c r="AF539" s="734" t="str">
        <f t="shared" si="26"/>
        <v/>
      </c>
      <c r="AG539" s="773"/>
    </row>
    <row r="540" spans="1:64" ht="18.75" x14ac:dyDescent="0.25">
      <c r="A540" s="758"/>
      <c r="B540" s="737"/>
      <c r="C540" s="730"/>
      <c r="D540" s="739"/>
      <c r="E540" s="765"/>
      <c r="F540" s="765"/>
      <c r="G540" s="765"/>
      <c r="H540" s="765"/>
      <c r="I540" s="746" t="str">
        <f t="shared" si="25"/>
        <v/>
      </c>
      <c r="J540" s="731"/>
      <c r="K540" s="731" t="str">
        <f t="shared" si="24"/>
        <v/>
      </c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32"/>
      <c r="AB540" s="732"/>
      <c r="AC540" s="732"/>
      <c r="AD540" s="732"/>
      <c r="AE540" s="733"/>
      <c r="AF540" s="734" t="str">
        <f t="shared" si="26"/>
        <v/>
      </c>
      <c r="AG540" s="773"/>
    </row>
    <row r="541" spans="1:64" ht="19.5" customHeight="1" x14ac:dyDescent="0.25">
      <c r="A541" s="758"/>
      <c r="B541" s="737"/>
      <c r="C541" s="730"/>
      <c r="D541" s="739"/>
      <c r="E541" s="765"/>
      <c r="F541" s="765"/>
      <c r="G541" s="765"/>
      <c r="H541" s="765"/>
      <c r="I541" s="746" t="str">
        <f t="shared" si="25"/>
        <v/>
      </c>
      <c r="J541" s="731"/>
      <c r="K541" s="731" t="str">
        <f t="shared" si="24"/>
        <v/>
      </c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32"/>
      <c r="AB541" s="732"/>
      <c r="AC541" s="732"/>
      <c r="AD541" s="732"/>
      <c r="AE541" s="733"/>
      <c r="AF541" s="734" t="str">
        <f t="shared" si="26"/>
        <v/>
      </c>
      <c r="AG541" s="773"/>
    </row>
    <row r="542" spans="1:64" ht="18.75" x14ac:dyDescent="0.25">
      <c r="A542" s="758"/>
      <c r="B542" s="737"/>
      <c r="C542" s="730"/>
      <c r="D542" s="739"/>
      <c r="E542" s="765"/>
      <c r="F542" s="765"/>
      <c r="G542" s="765"/>
      <c r="H542" s="765"/>
      <c r="I542" s="746" t="str">
        <f t="shared" si="25"/>
        <v/>
      </c>
      <c r="J542" s="731"/>
      <c r="K542" s="731" t="str">
        <f t="shared" si="24"/>
        <v/>
      </c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32"/>
      <c r="AB542" s="732"/>
      <c r="AC542" s="732"/>
      <c r="AD542" s="732"/>
      <c r="AE542" s="733"/>
      <c r="AF542" s="734" t="str">
        <f t="shared" si="26"/>
        <v/>
      </c>
      <c r="AG542" s="773"/>
    </row>
    <row r="543" spans="1:64" ht="18.75" x14ac:dyDescent="0.25">
      <c r="A543" s="758"/>
      <c r="B543" s="737"/>
      <c r="C543" s="730"/>
      <c r="D543" s="739"/>
      <c r="E543" s="765"/>
      <c r="F543" s="765"/>
      <c r="G543" s="765"/>
      <c r="H543" s="765"/>
      <c r="I543" s="746" t="str">
        <f t="shared" si="25"/>
        <v/>
      </c>
      <c r="J543" s="731"/>
      <c r="K543" s="731" t="str">
        <f t="shared" si="24"/>
        <v/>
      </c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32"/>
      <c r="AB543" s="732"/>
      <c r="AC543" s="732"/>
      <c r="AD543" s="732"/>
      <c r="AE543" s="733"/>
      <c r="AF543" s="734" t="str">
        <f t="shared" si="26"/>
        <v/>
      </c>
      <c r="AG543" s="773"/>
    </row>
    <row r="544" spans="1:64" ht="19.5" customHeight="1" x14ac:dyDescent="0.25">
      <c r="A544" s="758"/>
      <c r="B544" s="737"/>
      <c r="C544" s="730"/>
      <c r="D544" s="739"/>
      <c r="E544" s="765"/>
      <c r="F544" s="765"/>
      <c r="G544" s="765"/>
      <c r="H544" s="765"/>
      <c r="I544" s="746" t="str">
        <f t="shared" si="25"/>
        <v/>
      </c>
      <c r="J544" s="731"/>
      <c r="K544" s="731" t="str">
        <f t="shared" si="24"/>
        <v/>
      </c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32"/>
      <c r="AB544" s="732"/>
      <c r="AC544" s="732"/>
      <c r="AD544" s="732"/>
      <c r="AE544" s="733"/>
      <c r="AF544" s="734" t="str">
        <f t="shared" si="26"/>
        <v/>
      </c>
      <c r="AG544" s="775"/>
      <c r="AH544" s="779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</row>
    <row r="545" spans="1:64" ht="19.5" customHeight="1" x14ac:dyDescent="0.25">
      <c r="A545" s="758"/>
      <c r="B545" s="737"/>
      <c r="C545" s="730"/>
      <c r="D545" s="739"/>
      <c r="E545" s="765"/>
      <c r="F545" s="765"/>
      <c r="G545" s="765"/>
      <c r="H545" s="765"/>
      <c r="I545" s="746" t="str">
        <f t="shared" si="25"/>
        <v/>
      </c>
      <c r="J545" s="731"/>
      <c r="K545" s="731" t="str">
        <f t="shared" si="24"/>
        <v/>
      </c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32"/>
      <c r="AB545" s="732"/>
      <c r="AC545" s="732"/>
      <c r="AD545" s="732"/>
      <c r="AE545" s="733"/>
      <c r="AF545" s="734" t="str">
        <f t="shared" si="26"/>
        <v/>
      </c>
      <c r="AG545" s="775"/>
      <c r="AH545" s="779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</row>
    <row r="546" spans="1:64" ht="18.75" x14ac:dyDescent="0.25">
      <c r="A546" s="758"/>
      <c r="B546" s="737"/>
      <c r="C546" s="730"/>
      <c r="D546" s="739"/>
      <c r="E546" s="765"/>
      <c r="F546" s="765"/>
      <c r="G546" s="765"/>
      <c r="H546" s="765"/>
      <c r="I546" s="746" t="str">
        <f t="shared" si="25"/>
        <v/>
      </c>
      <c r="J546" s="731"/>
      <c r="K546" s="731" t="str">
        <f t="shared" si="24"/>
        <v/>
      </c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32"/>
      <c r="AB546" s="732"/>
      <c r="AC546" s="732"/>
      <c r="AD546" s="732"/>
      <c r="AE546" s="733"/>
      <c r="AF546" s="734" t="str">
        <f t="shared" si="26"/>
        <v/>
      </c>
      <c r="AG546" s="773"/>
    </row>
    <row r="547" spans="1:64" ht="18.75" x14ac:dyDescent="0.25">
      <c r="A547" s="758"/>
      <c r="B547" s="737"/>
      <c r="C547" s="730"/>
      <c r="D547" s="739"/>
      <c r="E547" s="765"/>
      <c r="F547" s="765"/>
      <c r="G547" s="765"/>
      <c r="H547" s="765"/>
      <c r="I547" s="746" t="str">
        <f t="shared" si="25"/>
        <v/>
      </c>
      <c r="J547" s="731"/>
      <c r="K547" s="731" t="str">
        <f t="shared" si="24"/>
        <v/>
      </c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32"/>
      <c r="AB547" s="732"/>
      <c r="AC547" s="732"/>
      <c r="AD547" s="732"/>
      <c r="AE547" s="733"/>
      <c r="AF547" s="734" t="str">
        <f t="shared" si="26"/>
        <v/>
      </c>
      <c r="AG547" s="773"/>
    </row>
    <row r="548" spans="1:64" ht="18.75" x14ac:dyDescent="0.25">
      <c r="A548" s="758"/>
      <c r="B548" s="737"/>
      <c r="C548" s="730"/>
      <c r="D548" s="739"/>
      <c r="E548" s="765"/>
      <c r="F548" s="765"/>
      <c r="G548" s="765"/>
      <c r="H548" s="765"/>
      <c r="I548" s="746" t="str">
        <f t="shared" si="25"/>
        <v/>
      </c>
      <c r="J548" s="731"/>
      <c r="K548" s="731" t="str">
        <f t="shared" si="24"/>
        <v/>
      </c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32"/>
      <c r="AB548" s="732"/>
      <c r="AC548" s="732"/>
      <c r="AD548" s="732"/>
      <c r="AE548" s="733"/>
      <c r="AF548" s="734" t="str">
        <f t="shared" si="26"/>
        <v/>
      </c>
      <c r="AG548" s="773"/>
    </row>
    <row r="549" spans="1:64" ht="18.75" x14ac:dyDescent="0.25">
      <c r="A549" s="758"/>
      <c r="B549" s="737"/>
      <c r="C549" s="730"/>
      <c r="D549" s="739"/>
      <c r="E549" s="765"/>
      <c r="F549" s="765"/>
      <c r="G549" s="765"/>
      <c r="H549" s="765"/>
      <c r="I549" s="746" t="str">
        <f t="shared" si="25"/>
        <v/>
      </c>
      <c r="J549" s="731"/>
      <c r="K549" s="731" t="str">
        <f t="shared" si="24"/>
        <v/>
      </c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32"/>
      <c r="AB549" s="732"/>
      <c r="AC549" s="732"/>
      <c r="AD549" s="732"/>
      <c r="AE549" s="733"/>
      <c r="AF549" s="734" t="str">
        <f t="shared" si="26"/>
        <v/>
      </c>
      <c r="AG549" s="773"/>
    </row>
    <row r="550" spans="1:64" ht="18.75" x14ac:dyDescent="0.25">
      <c r="A550" s="758"/>
      <c r="B550" s="737"/>
      <c r="C550" s="730"/>
      <c r="D550" s="739"/>
      <c r="E550" s="765"/>
      <c r="F550" s="765"/>
      <c r="G550" s="765"/>
      <c r="H550" s="765"/>
      <c r="I550" s="746" t="str">
        <f t="shared" si="25"/>
        <v/>
      </c>
      <c r="J550" s="731"/>
      <c r="K550" s="731" t="str">
        <f t="shared" si="24"/>
        <v/>
      </c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32"/>
      <c r="AB550" s="732"/>
      <c r="AC550" s="732"/>
      <c r="AD550" s="732"/>
      <c r="AE550" s="733"/>
      <c r="AF550" s="734" t="str">
        <f t="shared" si="26"/>
        <v/>
      </c>
      <c r="AG550" s="773"/>
    </row>
    <row r="551" spans="1:64" ht="18.75" x14ac:dyDescent="0.25">
      <c r="A551" s="758"/>
      <c r="B551" s="737"/>
      <c r="C551" s="730"/>
      <c r="D551" s="739"/>
      <c r="E551" s="765"/>
      <c r="F551" s="765"/>
      <c r="G551" s="765"/>
      <c r="H551" s="765"/>
      <c r="I551" s="746" t="str">
        <f t="shared" si="25"/>
        <v/>
      </c>
      <c r="J551" s="731"/>
      <c r="K551" s="731" t="str">
        <f t="shared" si="24"/>
        <v/>
      </c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32"/>
      <c r="AB551" s="732"/>
      <c r="AC551" s="732"/>
      <c r="AD551" s="732"/>
      <c r="AE551" s="733"/>
      <c r="AF551" s="734" t="str">
        <f t="shared" si="26"/>
        <v/>
      </c>
      <c r="AG551" s="773"/>
    </row>
    <row r="552" spans="1:64" ht="18.75" x14ac:dyDescent="0.25">
      <c r="A552" s="758"/>
      <c r="B552" s="737"/>
      <c r="C552" s="730"/>
      <c r="D552" s="739"/>
      <c r="E552" s="765"/>
      <c r="F552" s="765"/>
      <c r="G552" s="765"/>
      <c r="H552" s="765"/>
      <c r="I552" s="746" t="str">
        <f t="shared" si="25"/>
        <v/>
      </c>
      <c r="J552" s="731"/>
      <c r="K552" s="731" t="str">
        <f t="shared" si="24"/>
        <v/>
      </c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32"/>
      <c r="AB552" s="732"/>
      <c r="AC552" s="732"/>
      <c r="AD552" s="732"/>
      <c r="AE552" s="733"/>
      <c r="AF552" s="734" t="str">
        <f t="shared" si="26"/>
        <v/>
      </c>
      <c r="AG552" s="775"/>
      <c r="AH552" s="779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</row>
    <row r="553" spans="1:64" ht="18.75" x14ac:dyDescent="0.25">
      <c r="A553" s="758"/>
      <c r="B553" s="737"/>
      <c r="C553" s="730"/>
      <c r="D553" s="739"/>
      <c r="E553" s="765"/>
      <c r="F553" s="765"/>
      <c r="G553" s="765"/>
      <c r="H553" s="765"/>
      <c r="I553" s="746" t="str">
        <f t="shared" si="25"/>
        <v/>
      </c>
      <c r="J553" s="731"/>
      <c r="K553" s="731" t="str">
        <f t="shared" si="24"/>
        <v/>
      </c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32"/>
      <c r="AB553" s="732"/>
      <c r="AC553" s="732"/>
      <c r="AD553" s="732"/>
      <c r="AE553" s="733"/>
      <c r="AF553" s="734" t="str">
        <f t="shared" si="26"/>
        <v/>
      </c>
      <c r="AG553" s="773"/>
    </row>
    <row r="554" spans="1:64" ht="18.75" x14ac:dyDescent="0.25">
      <c r="A554" s="758"/>
      <c r="B554" s="737"/>
      <c r="C554" s="730"/>
      <c r="D554" s="739"/>
      <c r="E554" s="765"/>
      <c r="F554" s="765"/>
      <c r="G554" s="765"/>
      <c r="H554" s="765"/>
      <c r="I554" s="746" t="str">
        <f t="shared" si="25"/>
        <v/>
      </c>
      <c r="J554" s="731"/>
      <c r="K554" s="731" t="str">
        <f t="shared" si="24"/>
        <v/>
      </c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32"/>
      <c r="AB554" s="732"/>
      <c r="AC554" s="732"/>
      <c r="AD554" s="732"/>
      <c r="AE554" s="733"/>
      <c r="AF554" s="734" t="str">
        <f t="shared" si="26"/>
        <v/>
      </c>
      <c r="AG554" s="773"/>
    </row>
    <row r="555" spans="1:64" ht="18.75" x14ac:dyDescent="0.25">
      <c r="A555" s="758"/>
      <c r="B555" s="737"/>
      <c r="C555" s="730"/>
      <c r="D555" s="739"/>
      <c r="E555" s="765"/>
      <c r="F555" s="765"/>
      <c r="G555" s="765"/>
      <c r="H555" s="765"/>
      <c r="I555" s="746" t="str">
        <f t="shared" si="25"/>
        <v/>
      </c>
      <c r="J555" s="731"/>
      <c r="K555" s="731" t="str">
        <f t="shared" si="24"/>
        <v/>
      </c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32"/>
      <c r="AB555" s="732"/>
      <c r="AC555" s="732"/>
      <c r="AD555" s="732"/>
      <c r="AE555" s="733"/>
      <c r="AF555" s="734" t="str">
        <f t="shared" si="26"/>
        <v/>
      </c>
      <c r="AG555" s="773"/>
    </row>
    <row r="556" spans="1:64" ht="18.75" x14ac:dyDescent="0.25">
      <c r="A556" s="758"/>
      <c r="B556" s="737"/>
      <c r="C556" s="730"/>
      <c r="D556" s="739"/>
      <c r="E556" s="765"/>
      <c r="F556" s="765"/>
      <c r="G556" s="765"/>
      <c r="H556" s="765"/>
      <c r="I556" s="746" t="str">
        <f t="shared" si="25"/>
        <v/>
      </c>
      <c r="J556" s="731"/>
      <c r="K556" s="731" t="str">
        <f t="shared" si="24"/>
        <v/>
      </c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32"/>
      <c r="AB556" s="732"/>
      <c r="AC556" s="732"/>
      <c r="AD556" s="732"/>
      <c r="AE556" s="733"/>
      <c r="AF556" s="734" t="str">
        <f t="shared" si="26"/>
        <v/>
      </c>
      <c r="AG556" s="773"/>
    </row>
    <row r="557" spans="1:64" ht="18.75" x14ac:dyDescent="0.25">
      <c r="A557" s="758"/>
      <c r="B557" s="737"/>
      <c r="C557" s="730"/>
      <c r="D557" s="739"/>
      <c r="E557" s="765"/>
      <c r="F557" s="765"/>
      <c r="G557" s="765"/>
      <c r="H557" s="765"/>
      <c r="I557" s="746" t="str">
        <f t="shared" si="25"/>
        <v/>
      </c>
      <c r="J557" s="731"/>
      <c r="K557" s="731" t="str">
        <f t="shared" si="24"/>
        <v/>
      </c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32"/>
      <c r="AB557" s="732"/>
      <c r="AC557" s="732"/>
      <c r="AD557" s="732"/>
      <c r="AE557" s="733"/>
      <c r="AF557" s="734" t="str">
        <f t="shared" si="26"/>
        <v/>
      </c>
      <c r="AG557" s="773"/>
    </row>
    <row r="558" spans="1:64" ht="19.5" customHeight="1" x14ac:dyDescent="0.25">
      <c r="A558" s="758"/>
      <c r="B558" s="737"/>
      <c r="C558" s="730"/>
      <c r="D558" s="739"/>
      <c r="E558" s="765"/>
      <c r="F558" s="765"/>
      <c r="G558" s="765"/>
      <c r="H558" s="765"/>
      <c r="I558" s="746" t="str">
        <f t="shared" si="25"/>
        <v/>
      </c>
      <c r="J558" s="731"/>
      <c r="K558" s="731" t="str">
        <f t="shared" si="24"/>
        <v/>
      </c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32"/>
      <c r="AB558" s="732"/>
      <c r="AC558" s="732"/>
      <c r="AD558" s="732"/>
      <c r="AE558" s="733"/>
      <c r="AF558" s="734" t="str">
        <f t="shared" si="26"/>
        <v/>
      </c>
      <c r="AG558" s="775"/>
      <c r="AH558" s="779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</row>
    <row r="559" spans="1:64" ht="19.5" customHeight="1" x14ac:dyDescent="0.25">
      <c r="A559" s="758"/>
      <c r="B559" s="737"/>
      <c r="C559" s="730"/>
      <c r="D559" s="739"/>
      <c r="E559" s="765"/>
      <c r="F559" s="765"/>
      <c r="G559" s="765"/>
      <c r="H559" s="765"/>
      <c r="I559" s="746" t="str">
        <f t="shared" si="25"/>
        <v/>
      </c>
      <c r="J559" s="731"/>
      <c r="K559" s="731" t="str">
        <f t="shared" si="24"/>
        <v/>
      </c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32"/>
      <c r="AB559" s="732"/>
      <c r="AC559" s="732"/>
      <c r="AD559" s="732"/>
      <c r="AE559" s="733"/>
      <c r="AF559" s="734" t="str">
        <f t="shared" si="26"/>
        <v/>
      </c>
      <c r="AG559" s="775"/>
      <c r="AH559" s="779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</row>
    <row r="560" spans="1:64" ht="18.75" x14ac:dyDescent="0.25">
      <c r="A560" s="758"/>
      <c r="B560" s="737"/>
      <c r="C560" s="730"/>
      <c r="D560" s="739"/>
      <c r="E560" s="765"/>
      <c r="F560" s="765"/>
      <c r="G560" s="765"/>
      <c r="H560" s="765"/>
      <c r="I560" s="746" t="str">
        <f t="shared" si="25"/>
        <v/>
      </c>
      <c r="J560" s="731"/>
      <c r="K560" s="731" t="str">
        <f t="shared" si="24"/>
        <v/>
      </c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32"/>
      <c r="AB560" s="732"/>
      <c r="AC560" s="732"/>
      <c r="AD560" s="732"/>
      <c r="AE560" s="733"/>
      <c r="AF560" s="734" t="str">
        <f t="shared" si="26"/>
        <v/>
      </c>
      <c r="AG560" s="773"/>
    </row>
    <row r="561" spans="1:64" ht="18.75" x14ac:dyDescent="0.25">
      <c r="A561" s="758"/>
      <c r="B561" s="737"/>
      <c r="C561" s="730"/>
      <c r="D561" s="739"/>
      <c r="E561" s="765"/>
      <c r="F561" s="765"/>
      <c r="G561" s="765"/>
      <c r="H561" s="765"/>
      <c r="I561" s="746" t="str">
        <f t="shared" si="25"/>
        <v/>
      </c>
      <c r="J561" s="731"/>
      <c r="K561" s="731" t="str">
        <f t="shared" si="24"/>
        <v/>
      </c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32"/>
      <c r="AB561" s="732"/>
      <c r="AC561" s="732"/>
      <c r="AD561" s="732"/>
      <c r="AE561" s="733"/>
      <c r="AF561" s="734" t="str">
        <f t="shared" si="26"/>
        <v/>
      </c>
      <c r="AG561" s="773"/>
    </row>
    <row r="562" spans="1:64" ht="18.75" x14ac:dyDescent="0.25">
      <c r="A562" s="758"/>
      <c r="B562" s="737"/>
      <c r="C562" s="730"/>
      <c r="D562" s="739"/>
      <c r="E562" s="765"/>
      <c r="F562" s="765"/>
      <c r="G562" s="765"/>
      <c r="H562" s="765"/>
      <c r="I562" s="746" t="str">
        <f t="shared" si="25"/>
        <v/>
      </c>
      <c r="J562" s="731"/>
      <c r="K562" s="731" t="str">
        <f t="shared" si="24"/>
        <v/>
      </c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32"/>
      <c r="AB562" s="732"/>
      <c r="AC562" s="732"/>
      <c r="AD562" s="732"/>
      <c r="AE562" s="733"/>
      <c r="AF562" s="734" t="str">
        <f t="shared" si="26"/>
        <v/>
      </c>
      <c r="AG562" s="773"/>
    </row>
    <row r="563" spans="1:64" ht="18.75" x14ac:dyDescent="0.25">
      <c r="A563" s="758"/>
      <c r="B563" s="737"/>
      <c r="C563" s="730"/>
      <c r="D563" s="739"/>
      <c r="E563" s="765"/>
      <c r="F563" s="765"/>
      <c r="G563" s="765"/>
      <c r="H563" s="765"/>
      <c r="I563" s="746" t="str">
        <f t="shared" si="25"/>
        <v/>
      </c>
      <c r="J563" s="731"/>
      <c r="K563" s="731" t="str">
        <f t="shared" si="24"/>
        <v/>
      </c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32"/>
      <c r="AB563" s="732"/>
      <c r="AC563" s="732"/>
      <c r="AD563" s="732"/>
      <c r="AE563" s="733"/>
      <c r="AF563" s="734" t="str">
        <f t="shared" si="26"/>
        <v/>
      </c>
      <c r="AG563" s="773"/>
    </row>
    <row r="564" spans="1:64" ht="18.75" x14ac:dyDescent="0.25">
      <c r="A564" s="758"/>
      <c r="B564" s="737"/>
      <c r="C564" s="730"/>
      <c r="D564" s="739"/>
      <c r="E564" s="765"/>
      <c r="F564" s="765"/>
      <c r="G564" s="765"/>
      <c r="H564" s="765"/>
      <c r="I564" s="746" t="str">
        <f t="shared" si="25"/>
        <v/>
      </c>
      <c r="J564" s="731"/>
      <c r="K564" s="731" t="str">
        <f t="shared" si="24"/>
        <v/>
      </c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32"/>
      <c r="AB564" s="732"/>
      <c r="AC564" s="732"/>
      <c r="AD564" s="732"/>
      <c r="AE564" s="733"/>
      <c r="AF564" s="734" t="str">
        <f t="shared" si="26"/>
        <v/>
      </c>
      <c r="AG564" s="773"/>
    </row>
    <row r="565" spans="1:64" ht="18.75" x14ac:dyDescent="0.25">
      <c r="A565" s="758"/>
      <c r="B565" s="737"/>
      <c r="C565" s="730"/>
      <c r="D565" s="739"/>
      <c r="E565" s="765"/>
      <c r="F565" s="765"/>
      <c r="G565" s="765"/>
      <c r="H565" s="765"/>
      <c r="I565" s="746" t="str">
        <f t="shared" si="25"/>
        <v/>
      </c>
      <c r="J565" s="731"/>
      <c r="K565" s="731" t="str">
        <f t="shared" si="24"/>
        <v/>
      </c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32"/>
      <c r="AB565" s="732"/>
      <c r="AC565" s="732"/>
      <c r="AD565" s="732"/>
      <c r="AE565" s="733"/>
      <c r="AF565" s="734" t="str">
        <f t="shared" si="26"/>
        <v/>
      </c>
      <c r="AG565" s="773"/>
    </row>
    <row r="566" spans="1:64" ht="18.75" x14ac:dyDescent="0.25">
      <c r="A566" s="758"/>
      <c r="B566" s="737"/>
      <c r="C566" s="730"/>
      <c r="D566" s="739"/>
      <c r="E566" s="765"/>
      <c r="F566" s="765"/>
      <c r="G566" s="765"/>
      <c r="H566" s="765"/>
      <c r="I566" s="746" t="str">
        <f t="shared" si="25"/>
        <v/>
      </c>
      <c r="J566" s="731"/>
      <c r="K566" s="731" t="str">
        <f t="shared" si="24"/>
        <v/>
      </c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32"/>
      <c r="AB566" s="732"/>
      <c r="AC566" s="732"/>
      <c r="AD566" s="732"/>
      <c r="AE566" s="733"/>
      <c r="AF566" s="734" t="str">
        <f t="shared" si="26"/>
        <v/>
      </c>
      <c r="AG566" s="775"/>
      <c r="AH566" s="779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</row>
    <row r="567" spans="1:64" ht="18.75" x14ac:dyDescent="0.25">
      <c r="A567" s="758"/>
      <c r="B567" s="737"/>
      <c r="C567" s="730"/>
      <c r="D567" s="739"/>
      <c r="E567" s="765"/>
      <c r="F567" s="765"/>
      <c r="G567" s="765"/>
      <c r="H567" s="765"/>
      <c r="I567" s="746" t="str">
        <f t="shared" si="25"/>
        <v/>
      </c>
      <c r="J567" s="731"/>
      <c r="K567" s="731" t="str">
        <f t="shared" si="24"/>
        <v/>
      </c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32"/>
      <c r="AB567" s="732"/>
      <c r="AC567" s="732"/>
      <c r="AD567" s="732"/>
      <c r="AE567" s="733"/>
      <c r="AF567" s="734" t="str">
        <f t="shared" si="26"/>
        <v/>
      </c>
      <c r="AG567" s="773"/>
    </row>
    <row r="568" spans="1:64" ht="18.75" x14ac:dyDescent="0.25">
      <c r="A568" s="758"/>
      <c r="B568" s="737"/>
      <c r="C568" s="730"/>
      <c r="D568" s="739"/>
      <c r="E568" s="765"/>
      <c r="F568" s="765"/>
      <c r="G568" s="765"/>
      <c r="H568" s="765"/>
      <c r="I568" s="746" t="str">
        <f t="shared" si="25"/>
        <v/>
      </c>
      <c r="J568" s="731"/>
      <c r="K568" s="731" t="str">
        <f t="shared" si="24"/>
        <v/>
      </c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32"/>
      <c r="AB568" s="732"/>
      <c r="AC568" s="732"/>
      <c r="AD568" s="732"/>
      <c r="AE568" s="733"/>
      <c r="AF568" s="734" t="str">
        <f t="shared" si="26"/>
        <v/>
      </c>
      <c r="AG568" s="773"/>
    </row>
    <row r="569" spans="1:64" ht="18.75" x14ac:dyDescent="0.25">
      <c r="A569" s="758"/>
      <c r="B569" s="737"/>
      <c r="C569" s="730"/>
      <c r="D569" s="739"/>
      <c r="E569" s="765"/>
      <c r="F569" s="765"/>
      <c r="G569" s="765"/>
      <c r="H569" s="765"/>
      <c r="I569" s="746" t="str">
        <f t="shared" si="25"/>
        <v/>
      </c>
      <c r="J569" s="731"/>
      <c r="K569" s="731" t="str">
        <f t="shared" si="24"/>
        <v/>
      </c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32"/>
      <c r="AB569" s="732"/>
      <c r="AC569" s="732"/>
      <c r="AD569" s="732"/>
      <c r="AE569" s="733"/>
      <c r="AF569" s="734" t="str">
        <f t="shared" si="26"/>
        <v/>
      </c>
      <c r="AG569" s="773"/>
    </row>
    <row r="570" spans="1:64" ht="18.75" x14ac:dyDescent="0.25">
      <c r="A570" s="758"/>
      <c r="B570" s="737"/>
      <c r="C570" s="730"/>
      <c r="D570" s="739"/>
      <c r="E570" s="765"/>
      <c r="F570" s="765"/>
      <c r="G570" s="765"/>
      <c r="H570" s="765"/>
      <c r="I570" s="746" t="str">
        <f t="shared" si="25"/>
        <v/>
      </c>
      <c r="J570" s="731"/>
      <c r="K570" s="731" t="str">
        <f t="shared" si="24"/>
        <v/>
      </c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32"/>
      <c r="AB570" s="732"/>
      <c r="AC570" s="732"/>
      <c r="AD570" s="732"/>
      <c r="AE570" s="733"/>
      <c r="AF570" s="734" t="str">
        <f t="shared" si="26"/>
        <v/>
      </c>
      <c r="AG570" s="773"/>
    </row>
    <row r="571" spans="1:64" ht="18.75" x14ac:dyDescent="0.25">
      <c r="A571" s="758"/>
      <c r="B571" s="737"/>
      <c r="C571" s="730"/>
      <c r="D571" s="739"/>
      <c r="E571" s="765"/>
      <c r="F571" s="765"/>
      <c r="G571" s="765"/>
      <c r="H571" s="765"/>
      <c r="I571" s="746" t="str">
        <f t="shared" si="25"/>
        <v/>
      </c>
      <c r="J571" s="731"/>
      <c r="K571" s="731" t="str">
        <f t="shared" si="24"/>
        <v/>
      </c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32"/>
      <c r="AB571" s="732"/>
      <c r="AC571" s="732"/>
      <c r="AD571" s="732"/>
      <c r="AE571" s="733"/>
      <c r="AF571" s="734" t="str">
        <f t="shared" si="26"/>
        <v/>
      </c>
      <c r="AG571" s="773"/>
    </row>
    <row r="572" spans="1:64" ht="18.75" x14ac:dyDescent="0.25">
      <c r="A572" s="758"/>
      <c r="B572" s="737"/>
      <c r="C572" s="730"/>
      <c r="D572" s="739"/>
      <c r="E572" s="765"/>
      <c r="F572" s="765"/>
      <c r="G572" s="765"/>
      <c r="H572" s="765"/>
      <c r="I572" s="746" t="str">
        <f t="shared" si="25"/>
        <v/>
      </c>
      <c r="J572" s="731"/>
      <c r="K572" s="731" t="str">
        <f t="shared" si="24"/>
        <v/>
      </c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32"/>
      <c r="AB572" s="732"/>
      <c r="AC572" s="732"/>
      <c r="AD572" s="732"/>
      <c r="AE572" s="733"/>
      <c r="AF572" s="734" t="str">
        <f t="shared" si="26"/>
        <v/>
      </c>
      <c r="AG572" s="773"/>
    </row>
    <row r="573" spans="1:64" ht="19.5" customHeight="1" x14ac:dyDescent="0.25">
      <c r="A573" s="758"/>
      <c r="B573" s="737"/>
      <c r="C573" s="730"/>
      <c r="D573" s="739"/>
      <c r="E573" s="765"/>
      <c r="F573" s="765"/>
      <c r="G573" s="765"/>
      <c r="H573" s="765"/>
      <c r="I573" s="746" t="str">
        <f t="shared" si="25"/>
        <v/>
      </c>
      <c r="J573" s="731"/>
      <c r="K573" s="731" t="str">
        <f t="shared" si="24"/>
        <v/>
      </c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32"/>
      <c r="AB573" s="732"/>
      <c r="AC573" s="732"/>
      <c r="AD573" s="732"/>
      <c r="AE573" s="733"/>
      <c r="AF573" s="734" t="str">
        <f t="shared" si="26"/>
        <v/>
      </c>
      <c r="AG573" s="775"/>
      <c r="AH573" s="779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</row>
    <row r="574" spans="1:64" ht="19.5" customHeight="1" x14ac:dyDescent="0.25">
      <c r="A574" s="758"/>
      <c r="B574" s="737"/>
      <c r="C574" s="730"/>
      <c r="D574" s="739"/>
      <c r="E574" s="765"/>
      <c r="F574" s="765"/>
      <c r="G574" s="765"/>
      <c r="H574" s="765"/>
      <c r="I574" s="746" t="str">
        <f t="shared" si="25"/>
        <v/>
      </c>
      <c r="J574" s="731"/>
      <c r="K574" s="731" t="str">
        <f t="shared" si="24"/>
        <v/>
      </c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32"/>
      <c r="AB574" s="732"/>
      <c r="AC574" s="732"/>
      <c r="AD574" s="732"/>
      <c r="AE574" s="733"/>
      <c r="AF574" s="734" t="str">
        <f t="shared" si="26"/>
        <v/>
      </c>
      <c r="AG574" s="775"/>
      <c r="AH574" s="779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</row>
    <row r="575" spans="1:64" ht="18.75" x14ac:dyDescent="0.25">
      <c r="A575" s="758"/>
      <c r="B575" s="737"/>
      <c r="C575" s="730"/>
      <c r="D575" s="739"/>
      <c r="E575" s="765"/>
      <c r="F575" s="765"/>
      <c r="G575" s="765"/>
      <c r="H575" s="765"/>
      <c r="I575" s="746" t="str">
        <f t="shared" si="25"/>
        <v/>
      </c>
      <c r="J575" s="731"/>
      <c r="K575" s="731" t="str">
        <f t="shared" si="24"/>
        <v/>
      </c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32"/>
      <c r="AB575" s="732"/>
      <c r="AC575" s="732"/>
      <c r="AD575" s="732"/>
      <c r="AE575" s="733"/>
      <c r="AF575" s="734" t="str">
        <f t="shared" si="26"/>
        <v/>
      </c>
      <c r="AG575" s="773"/>
    </row>
    <row r="576" spans="1:64" ht="18.75" x14ac:dyDescent="0.25">
      <c r="A576" s="758"/>
      <c r="B576" s="737"/>
      <c r="C576" s="730"/>
      <c r="D576" s="739"/>
      <c r="E576" s="765"/>
      <c r="F576" s="765"/>
      <c r="G576" s="765"/>
      <c r="H576" s="765"/>
      <c r="I576" s="746" t="str">
        <f t="shared" si="25"/>
        <v/>
      </c>
      <c r="J576" s="731"/>
      <c r="K576" s="731" t="str">
        <f t="shared" si="24"/>
        <v/>
      </c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32"/>
      <c r="AB576" s="732"/>
      <c r="AC576" s="732"/>
      <c r="AD576" s="732"/>
      <c r="AE576" s="733"/>
      <c r="AF576" s="734" t="str">
        <f t="shared" si="26"/>
        <v/>
      </c>
      <c r="AG576" s="773"/>
    </row>
    <row r="577" spans="1:64" ht="18.75" x14ac:dyDescent="0.25">
      <c r="A577" s="758"/>
      <c r="B577" s="737"/>
      <c r="C577" s="730"/>
      <c r="D577" s="739"/>
      <c r="E577" s="765"/>
      <c r="F577" s="765"/>
      <c r="G577" s="765"/>
      <c r="H577" s="765"/>
      <c r="I577" s="746" t="str">
        <f t="shared" si="25"/>
        <v/>
      </c>
      <c r="J577" s="731"/>
      <c r="K577" s="731" t="str">
        <f t="shared" si="24"/>
        <v/>
      </c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32"/>
      <c r="AB577" s="732"/>
      <c r="AC577" s="732"/>
      <c r="AD577" s="732"/>
      <c r="AE577" s="733"/>
      <c r="AF577" s="734" t="str">
        <f t="shared" si="26"/>
        <v/>
      </c>
      <c r="AG577" s="773"/>
    </row>
    <row r="578" spans="1:64" ht="18.75" x14ac:dyDescent="0.25">
      <c r="A578" s="758"/>
      <c r="B578" s="737"/>
      <c r="C578" s="730"/>
      <c r="D578" s="739"/>
      <c r="E578" s="765"/>
      <c r="F578" s="765"/>
      <c r="G578" s="765"/>
      <c r="H578" s="765"/>
      <c r="I578" s="746" t="str">
        <f t="shared" si="25"/>
        <v/>
      </c>
      <c r="J578" s="731"/>
      <c r="K578" s="731" t="str">
        <f t="shared" si="24"/>
        <v/>
      </c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32"/>
      <c r="AB578" s="732"/>
      <c r="AC578" s="732"/>
      <c r="AD578" s="732"/>
      <c r="AE578" s="733"/>
      <c r="AF578" s="734" t="str">
        <f t="shared" si="26"/>
        <v/>
      </c>
      <c r="AG578" s="773"/>
    </row>
    <row r="579" spans="1:64" ht="18.75" x14ac:dyDescent="0.25">
      <c r="A579" s="758"/>
      <c r="B579" s="737"/>
      <c r="C579" s="730"/>
      <c r="D579" s="739"/>
      <c r="E579" s="765"/>
      <c r="F579" s="765"/>
      <c r="G579" s="765"/>
      <c r="H579" s="765"/>
      <c r="I579" s="746" t="str">
        <f t="shared" si="25"/>
        <v/>
      </c>
      <c r="J579" s="731"/>
      <c r="K579" s="731" t="str">
        <f t="shared" si="24"/>
        <v/>
      </c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32"/>
      <c r="AB579" s="732"/>
      <c r="AC579" s="732"/>
      <c r="AD579" s="732"/>
      <c r="AE579" s="733"/>
      <c r="AF579" s="734" t="str">
        <f t="shared" si="26"/>
        <v/>
      </c>
      <c r="AG579" s="773"/>
    </row>
    <row r="580" spans="1:64" ht="18.75" x14ac:dyDescent="0.25">
      <c r="A580" s="758"/>
      <c r="B580" s="737"/>
      <c r="C580" s="730"/>
      <c r="D580" s="739"/>
      <c r="E580" s="765"/>
      <c r="F580" s="765"/>
      <c r="G580" s="765"/>
      <c r="H580" s="765"/>
      <c r="I580" s="746" t="str">
        <f t="shared" si="25"/>
        <v/>
      </c>
      <c r="J580" s="731"/>
      <c r="K580" s="731" t="str">
        <f t="shared" ref="K580:K643" si="27">IF(AA580-AE580 = 0,"",AA580-AE580)</f>
        <v/>
      </c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32"/>
      <c r="AB580" s="732"/>
      <c r="AC580" s="732"/>
      <c r="AD580" s="732"/>
      <c r="AE580" s="733"/>
      <c r="AF580" s="734" t="str">
        <f t="shared" si="26"/>
        <v/>
      </c>
      <c r="AG580" s="773"/>
    </row>
    <row r="581" spans="1:64" ht="18.75" x14ac:dyDescent="0.25">
      <c r="A581" s="758"/>
      <c r="B581" s="737"/>
      <c r="C581" s="730"/>
      <c r="D581" s="739"/>
      <c r="E581" s="765"/>
      <c r="F581" s="765"/>
      <c r="G581" s="765"/>
      <c r="H581" s="765"/>
      <c r="I581" s="746" t="str">
        <f t="shared" ref="I581:I644" si="28">AF581</f>
        <v/>
      </c>
      <c r="J581" s="731"/>
      <c r="K581" s="731" t="str">
        <f t="shared" si="27"/>
        <v/>
      </c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32"/>
      <c r="AB581" s="732"/>
      <c r="AC581" s="732"/>
      <c r="AD581" s="732"/>
      <c r="AE581" s="733"/>
      <c r="AF581" s="734" t="str">
        <f t="shared" ref="AF581:AF644" si="29">IF(AE581 &lt;&gt;"", AE581/AA581,"")</f>
        <v/>
      </c>
      <c r="AG581" s="775"/>
      <c r="AH581" s="779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</row>
    <row r="582" spans="1:64" ht="18.75" x14ac:dyDescent="0.25">
      <c r="A582" s="758"/>
      <c r="B582" s="737"/>
      <c r="C582" s="730"/>
      <c r="D582" s="739"/>
      <c r="E582" s="765"/>
      <c r="F582" s="765"/>
      <c r="G582" s="765"/>
      <c r="H582" s="765"/>
      <c r="I582" s="746" t="str">
        <f t="shared" si="28"/>
        <v/>
      </c>
      <c r="J582" s="731"/>
      <c r="K582" s="731" t="str">
        <f t="shared" si="27"/>
        <v/>
      </c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32"/>
      <c r="AB582" s="732"/>
      <c r="AC582" s="732"/>
      <c r="AD582" s="732"/>
      <c r="AE582" s="733"/>
      <c r="AF582" s="734" t="str">
        <f t="shared" si="29"/>
        <v/>
      </c>
      <c r="AG582" s="773"/>
    </row>
    <row r="583" spans="1:64" ht="18.75" x14ac:dyDescent="0.25">
      <c r="A583" s="758"/>
      <c r="B583" s="737"/>
      <c r="C583" s="730"/>
      <c r="D583" s="739"/>
      <c r="E583" s="765"/>
      <c r="F583" s="765"/>
      <c r="G583" s="765"/>
      <c r="H583" s="765"/>
      <c r="I583" s="746" t="str">
        <f t="shared" si="28"/>
        <v/>
      </c>
      <c r="J583" s="731"/>
      <c r="K583" s="731" t="str">
        <f t="shared" si="27"/>
        <v/>
      </c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32"/>
      <c r="AB583" s="732"/>
      <c r="AC583" s="732"/>
      <c r="AD583" s="732"/>
      <c r="AE583" s="733"/>
      <c r="AF583" s="734" t="str">
        <f t="shared" si="29"/>
        <v/>
      </c>
      <c r="AG583" s="773"/>
    </row>
    <row r="584" spans="1:64" ht="18.75" x14ac:dyDescent="0.25">
      <c r="A584" s="758"/>
      <c r="B584" s="737"/>
      <c r="C584" s="730"/>
      <c r="D584" s="739"/>
      <c r="E584" s="765"/>
      <c r="F584" s="765"/>
      <c r="G584" s="765"/>
      <c r="H584" s="765"/>
      <c r="I584" s="746" t="str">
        <f t="shared" si="28"/>
        <v/>
      </c>
      <c r="J584" s="731"/>
      <c r="K584" s="731" t="str">
        <f t="shared" si="27"/>
        <v/>
      </c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32"/>
      <c r="AB584" s="732"/>
      <c r="AC584" s="732"/>
      <c r="AD584" s="732"/>
      <c r="AE584" s="733"/>
      <c r="AF584" s="734" t="str">
        <f t="shared" si="29"/>
        <v/>
      </c>
      <c r="AG584" s="773"/>
    </row>
    <row r="585" spans="1:64" ht="18.75" x14ac:dyDescent="0.25">
      <c r="A585" s="758"/>
      <c r="B585" s="737"/>
      <c r="C585" s="730"/>
      <c r="D585" s="739"/>
      <c r="E585" s="765"/>
      <c r="F585" s="765"/>
      <c r="G585" s="765"/>
      <c r="H585" s="765"/>
      <c r="I585" s="746" t="str">
        <f t="shared" si="28"/>
        <v/>
      </c>
      <c r="J585" s="731"/>
      <c r="K585" s="731" t="str">
        <f t="shared" si="27"/>
        <v/>
      </c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32"/>
      <c r="AB585" s="732"/>
      <c r="AC585" s="732"/>
      <c r="AD585" s="732"/>
      <c r="AE585" s="733"/>
      <c r="AF585" s="734" t="str">
        <f t="shared" si="29"/>
        <v/>
      </c>
      <c r="AG585" s="773"/>
    </row>
    <row r="586" spans="1:64" ht="18.75" x14ac:dyDescent="0.25">
      <c r="A586" s="758"/>
      <c r="B586" s="737"/>
      <c r="C586" s="730"/>
      <c r="D586" s="739"/>
      <c r="E586" s="765"/>
      <c r="F586" s="765"/>
      <c r="G586" s="765"/>
      <c r="H586" s="765"/>
      <c r="I586" s="746" t="str">
        <f t="shared" si="28"/>
        <v/>
      </c>
      <c r="J586" s="731"/>
      <c r="K586" s="731" t="str">
        <f t="shared" si="27"/>
        <v/>
      </c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32"/>
      <c r="AB586" s="732"/>
      <c r="AC586" s="732"/>
      <c r="AD586" s="732"/>
      <c r="AE586" s="733"/>
      <c r="AF586" s="734" t="str">
        <f t="shared" si="29"/>
        <v/>
      </c>
      <c r="AG586" s="773"/>
    </row>
    <row r="587" spans="1:64" ht="18.75" customHeight="1" x14ac:dyDescent="0.25">
      <c r="A587" s="758"/>
      <c r="B587" s="737"/>
      <c r="C587" s="730"/>
      <c r="D587" s="739"/>
      <c r="E587" s="765"/>
      <c r="F587" s="765"/>
      <c r="G587" s="765"/>
      <c r="H587" s="765"/>
      <c r="I587" s="746" t="str">
        <f t="shared" si="28"/>
        <v/>
      </c>
      <c r="J587" s="731"/>
      <c r="K587" s="731" t="str">
        <f t="shared" si="27"/>
        <v/>
      </c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32"/>
      <c r="AB587" s="732"/>
      <c r="AC587" s="732"/>
      <c r="AD587" s="732"/>
      <c r="AE587" s="733"/>
      <c r="AF587" s="734" t="str">
        <f t="shared" si="29"/>
        <v/>
      </c>
      <c r="AG587" s="772"/>
      <c r="AH587" s="777"/>
      <c r="AI587" s="735"/>
      <c r="AJ587" s="735"/>
      <c r="AK587" s="735"/>
      <c r="AL587" s="735"/>
      <c r="AM587" s="735"/>
      <c r="AN587" s="735"/>
      <c r="AO587" s="735"/>
      <c r="AP587" s="735"/>
      <c r="AQ587" s="735"/>
      <c r="AR587" s="735"/>
      <c r="AS587" s="735"/>
      <c r="AT587" s="735"/>
      <c r="AU587" s="735"/>
      <c r="AV587" s="735"/>
      <c r="AW587" s="735"/>
      <c r="AX587" s="735"/>
      <c r="AY587" s="735"/>
      <c r="AZ587" s="735"/>
      <c r="BA587" s="735"/>
      <c r="BB587" s="735"/>
      <c r="BC587" s="735"/>
      <c r="BD587" s="735"/>
      <c r="BE587" s="735"/>
      <c r="BF587" s="735"/>
      <c r="BG587" s="735"/>
      <c r="BH587" s="735"/>
      <c r="BI587" s="735"/>
      <c r="BJ587" s="735"/>
      <c r="BK587" s="735"/>
      <c r="BL587" s="735"/>
    </row>
    <row r="588" spans="1:64" ht="19.5" customHeight="1" x14ac:dyDescent="0.25">
      <c r="A588" s="758"/>
      <c r="B588" s="737"/>
      <c r="C588" s="730"/>
      <c r="D588" s="739"/>
      <c r="E588" s="765"/>
      <c r="F588" s="765"/>
      <c r="G588" s="765"/>
      <c r="H588" s="765"/>
      <c r="I588" s="746" t="str">
        <f t="shared" si="28"/>
        <v/>
      </c>
      <c r="J588" s="731"/>
      <c r="K588" s="731" t="str">
        <f t="shared" si="27"/>
        <v/>
      </c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32"/>
      <c r="AB588" s="732"/>
      <c r="AC588" s="732"/>
      <c r="AD588" s="732"/>
      <c r="AE588" s="733"/>
      <c r="AF588" s="734" t="str">
        <f t="shared" si="29"/>
        <v/>
      </c>
      <c r="AG588" s="772"/>
      <c r="AH588" s="777"/>
      <c r="AI588" s="735"/>
      <c r="AJ588" s="735"/>
      <c r="AK588" s="735"/>
      <c r="AL588" s="735"/>
      <c r="AM588" s="735"/>
      <c r="AN588" s="735"/>
      <c r="AO588" s="735"/>
      <c r="AP588" s="735"/>
      <c r="AQ588" s="735"/>
      <c r="AR588" s="735"/>
      <c r="AS588" s="735"/>
      <c r="AT588" s="735"/>
      <c r="AU588" s="735"/>
      <c r="AV588" s="735"/>
      <c r="AW588" s="735"/>
      <c r="AX588" s="735"/>
      <c r="AY588" s="735"/>
      <c r="AZ588" s="735"/>
      <c r="BA588" s="735"/>
      <c r="BB588" s="735"/>
      <c r="BC588" s="735"/>
      <c r="BD588" s="735"/>
      <c r="BE588" s="735"/>
      <c r="BF588" s="735"/>
      <c r="BG588" s="735"/>
      <c r="BH588" s="735"/>
      <c r="BI588" s="735"/>
      <c r="BJ588" s="735"/>
      <c r="BK588" s="735"/>
      <c r="BL588" s="735"/>
    </row>
    <row r="589" spans="1:64" ht="19.5" customHeight="1" x14ac:dyDescent="0.25">
      <c r="A589" s="758"/>
      <c r="B589" s="737"/>
      <c r="C589" s="730"/>
      <c r="D589" s="739"/>
      <c r="E589" s="765"/>
      <c r="F589" s="765"/>
      <c r="G589" s="765"/>
      <c r="H589" s="765"/>
      <c r="I589" s="746" t="str">
        <f t="shared" si="28"/>
        <v/>
      </c>
      <c r="J589" s="731"/>
      <c r="K589" s="731" t="str">
        <f t="shared" si="27"/>
        <v/>
      </c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32"/>
      <c r="AB589" s="732"/>
      <c r="AC589" s="732"/>
      <c r="AD589" s="732"/>
      <c r="AE589" s="733"/>
      <c r="AF589" s="734" t="str">
        <f t="shared" si="29"/>
        <v/>
      </c>
      <c r="AG589" s="772"/>
      <c r="AH589" s="777"/>
      <c r="AI589" s="735"/>
      <c r="AJ589" s="735"/>
      <c r="AK589" s="735"/>
      <c r="AL589" s="735"/>
      <c r="AM589" s="735"/>
      <c r="AN589" s="735"/>
      <c r="AO589" s="735"/>
      <c r="AP589" s="735"/>
      <c r="AQ589" s="735"/>
      <c r="AR589" s="735"/>
      <c r="AS589" s="735"/>
      <c r="AT589" s="735"/>
      <c r="AU589" s="735"/>
      <c r="AV589" s="735"/>
      <c r="AW589" s="735"/>
      <c r="AX589" s="735"/>
      <c r="AY589" s="735"/>
      <c r="AZ589" s="735"/>
      <c r="BA589" s="735"/>
      <c r="BB589" s="735"/>
      <c r="BC589" s="735"/>
      <c r="BD589" s="735"/>
      <c r="BE589" s="735"/>
      <c r="BF589" s="735"/>
      <c r="BG589" s="735"/>
      <c r="BH589" s="735"/>
      <c r="BI589" s="735"/>
      <c r="BJ589" s="735"/>
      <c r="BK589" s="735"/>
      <c r="BL589" s="735"/>
    </row>
    <row r="590" spans="1:64" ht="19.5" customHeight="1" x14ac:dyDescent="0.25">
      <c r="A590" s="758"/>
      <c r="B590" s="737"/>
      <c r="C590" s="730"/>
      <c r="D590" s="739"/>
      <c r="E590" s="765"/>
      <c r="F590" s="765"/>
      <c r="G590" s="765"/>
      <c r="H590" s="765"/>
      <c r="I590" s="746" t="str">
        <f t="shared" si="28"/>
        <v/>
      </c>
      <c r="J590" s="731"/>
      <c r="K590" s="731" t="str">
        <f t="shared" si="27"/>
        <v/>
      </c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32"/>
      <c r="AB590" s="732"/>
      <c r="AC590" s="732"/>
      <c r="AD590" s="732"/>
      <c r="AE590" s="733"/>
      <c r="AF590" s="734" t="str">
        <f t="shared" si="29"/>
        <v/>
      </c>
      <c r="AG590" s="772"/>
      <c r="AH590" s="777"/>
      <c r="AI590" s="735"/>
      <c r="AJ590" s="735"/>
      <c r="AK590" s="735"/>
      <c r="AL590" s="735"/>
      <c r="AM590" s="735"/>
      <c r="AN590" s="735"/>
      <c r="AO590" s="735"/>
      <c r="AP590" s="735"/>
      <c r="AQ590" s="735"/>
      <c r="AR590" s="735"/>
      <c r="AS590" s="735"/>
      <c r="AT590" s="735"/>
      <c r="AU590" s="735"/>
      <c r="AV590" s="735"/>
      <c r="AW590" s="735"/>
      <c r="AX590" s="735"/>
      <c r="AY590" s="735"/>
      <c r="AZ590" s="735"/>
      <c r="BA590" s="735"/>
      <c r="BB590" s="735"/>
      <c r="BC590" s="735"/>
      <c r="BD590" s="735"/>
      <c r="BE590" s="735"/>
      <c r="BF590" s="735"/>
      <c r="BG590" s="735"/>
      <c r="BH590" s="735"/>
      <c r="BI590" s="735"/>
      <c r="BJ590" s="735"/>
      <c r="BK590" s="735"/>
      <c r="BL590" s="735"/>
    </row>
    <row r="591" spans="1:64" ht="18.75" x14ac:dyDescent="0.25">
      <c r="A591" s="758"/>
      <c r="B591" s="737"/>
      <c r="C591" s="730"/>
      <c r="D591" s="739"/>
      <c r="E591" s="765"/>
      <c r="F591" s="765"/>
      <c r="G591" s="765"/>
      <c r="H591" s="765"/>
      <c r="I591" s="746" t="str">
        <f t="shared" si="28"/>
        <v/>
      </c>
      <c r="J591" s="731"/>
      <c r="K591" s="731" t="str">
        <f t="shared" si="27"/>
        <v/>
      </c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32"/>
      <c r="AB591" s="732"/>
      <c r="AC591" s="732"/>
      <c r="AD591" s="732"/>
      <c r="AE591" s="733"/>
      <c r="AF591" s="734" t="str">
        <f t="shared" si="29"/>
        <v/>
      </c>
      <c r="AG591" s="773"/>
    </row>
    <row r="592" spans="1:64" ht="18.75" x14ac:dyDescent="0.25">
      <c r="A592" s="758"/>
      <c r="B592" s="737"/>
      <c r="C592" s="730"/>
      <c r="D592" s="739"/>
      <c r="E592" s="765"/>
      <c r="F592" s="765"/>
      <c r="G592" s="765"/>
      <c r="H592" s="765"/>
      <c r="I592" s="746" t="str">
        <f t="shared" si="28"/>
        <v/>
      </c>
      <c r="J592" s="731"/>
      <c r="K592" s="731" t="str">
        <f t="shared" si="27"/>
        <v/>
      </c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32"/>
      <c r="AB592" s="732"/>
      <c r="AC592" s="732"/>
      <c r="AD592" s="732"/>
      <c r="AE592" s="733"/>
      <c r="AF592" s="734" t="str">
        <f t="shared" si="29"/>
        <v/>
      </c>
      <c r="AG592" s="773"/>
    </row>
    <row r="593" spans="1:64" ht="18.75" x14ac:dyDescent="0.25">
      <c r="A593" s="758"/>
      <c r="B593" s="737"/>
      <c r="C593" s="730"/>
      <c r="D593" s="739"/>
      <c r="E593" s="765"/>
      <c r="F593" s="765"/>
      <c r="G593" s="765"/>
      <c r="H593" s="765"/>
      <c r="I593" s="746" t="str">
        <f t="shared" si="28"/>
        <v/>
      </c>
      <c r="J593" s="731"/>
      <c r="K593" s="731" t="str">
        <f t="shared" si="27"/>
        <v/>
      </c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32"/>
      <c r="AB593" s="732"/>
      <c r="AC593" s="732"/>
      <c r="AD593" s="732"/>
      <c r="AE593" s="733"/>
      <c r="AF593" s="734" t="str">
        <f t="shared" si="29"/>
        <v/>
      </c>
      <c r="AG593" s="773"/>
    </row>
    <row r="594" spans="1:64" ht="18.75" x14ac:dyDescent="0.25">
      <c r="A594" s="758"/>
      <c r="B594" s="737"/>
      <c r="C594" s="730"/>
      <c r="D594" s="739"/>
      <c r="E594" s="765"/>
      <c r="F594" s="765"/>
      <c r="G594" s="765"/>
      <c r="H594" s="765"/>
      <c r="I594" s="746" t="str">
        <f t="shared" si="28"/>
        <v/>
      </c>
      <c r="J594" s="731"/>
      <c r="K594" s="731" t="str">
        <f t="shared" si="27"/>
        <v/>
      </c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32"/>
      <c r="AB594" s="732"/>
      <c r="AC594" s="732"/>
      <c r="AD594" s="732"/>
      <c r="AE594" s="733"/>
      <c r="AF594" s="734" t="str">
        <f t="shared" si="29"/>
        <v/>
      </c>
      <c r="AG594" s="773"/>
    </row>
    <row r="595" spans="1:64" ht="18.75" x14ac:dyDescent="0.25">
      <c r="A595" s="758"/>
      <c r="B595" s="737"/>
      <c r="C595" s="730"/>
      <c r="D595" s="739"/>
      <c r="E595" s="765"/>
      <c r="F595" s="765"/>
      <c r="G595" s="765"/>
      <c r="H595" s="765"/>
      <c r="I595" s="746" t="str">
        <f t="shared" si="28"/>
        <v/>
      </c>
      <c r="J595" s="731"/>
      <c r="K595" s="731" t="str">
        <f t="shared" si="27"/>
        <v/>
      </c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32"/>
      <c r="AB595" s="732"/>
      <c r="AC595" s="732"/>
      <c r="AD595" s="732"/>
      <c r="AE595" s="733"/>
      <c r="AF595" s="734" t="str">
        <f t="shared" si="29"/>
        <v/>
      </c>
      <c r="AG595" s="773"/>
    </row>
    <row r="596" spans="1:64" ht="18.75" x14ac:dyDescent="0.25">
      <c r="A596" s="758"/>
      <c r="B596" s="737"/>
      <c r="C596" s="730"/>
      <c r="D596" s="739"/>
      <c r="E596" s="765"/>
      <c r="F596" s="765"/>
      <c r="G596" s="765"/>
      <c r="H596" s="765"/>
      <c r="I596" s="746" t="str">
        <f t="shared" si="28"/>
        <v/>
      </c>
      <c r="J596" s="731"/>
      <c r="K596" s="731" t="str">
        <f t="shared" si="27"/>
        <v/>
      </c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32"/>
      <c r="AB596" s="732"/>
      <c r="AC596" s="732"/>
      <c r="AD596" s="732"/>
      <c r="AE596" s="733"/>
      <c r="AF596" s="734" t="str">
        <f t="shared" si="29"/>
        <v/>
      </c>
      <c r="AG596" s="773"/>
    </row>
    <row r="597" spans="1:64" ht="18.75" x14ac:dyDescent="0.25">
      <c r="A597" s="758"/>
      <c r="B597" s="737"/>
      <c r="C597" s="730"/>
      <c r="D597" s="739"/>
      <c r="E597" s="765"/>
      <c r="F597" s="765"/>
      <c r="G597" s="765"/>
      <c r="H597" s="765"/>
      <c r="I597" s="746" t="str">
        <f t="shared" si="28"/>
        <v/>
      </c>
      <c r="J597" s="731"/>
      <c r="K597" s="731" t="str">
        <f t="shared" si="27"/>
        <v/>
      </c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32"/>
      <c r="AB597" s="732"/>
      <c r="AC597" s="732"/>
      <c r="AD597" s="732"/>
      <c r="AE597" s="733"/>
      <c r="AF597" s="734" t="str">
        <f t="shared" si="29"/>
        <v/>
      </c>
      <c r="AG597" s="773"/>
    </row>
    <row r="598" spans="1:64" ht="18.75" x14ac:dyDescent="0.25">
      <c r="A598" s="758"/>
      <c r="B598" s="737"/>
      <c r="C598" s="730"/>
      <c r="D598" s="739"/>
      <c r="E598" s="765"/>
      <c r="F598" s="765"/>
      <c r="G598" s="765"/>
      <c r="H598" s="765"/>
      <c r="I598" s="746" t="str">
        <f t="shared" si="28"/>
        <v/>
      </c>
      <c r="J598" s="731"/>
      <c r="K598" s="731" t="str">
        <f t="shared" si="27"/>
        <v/>
      </c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32"/>
      <c r="AB598" s="732"/>
      <c r="AC598" s="732"/>
      <c r="AD598" s="732"/>
      <c r="AE598" s="733"/>
      <c r="AF598" s="734" t="str">
        <f t="shared" si="29"/>
        <v/>
      </c>
      <c r="AG598" s="773"/>
    </row>
    <row r="599" spans="1:64" ht="18.75" x14ac:dyDescent="0.25">
      <c r="A599" s="758"/>
      <c r="B599" s="737"/>
      <c r="C599" s="730"/>
      <c r="D599" s="739"/>
      <c r="E599" s="765"/>
      <c r="F599" s="765"/>
      <c r="G599" s="765"/>
      <c r="H599" s="765"/>
      <c r="I599" s="746" t="str">
        <f t="shared" si="28"/>
        <v/>
      </c>
      <c r="J599" s="731"/>
      <c r="K599" s="731" t="str">
        <f t="shared" si="27"/>
        <v/>
      </c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32"/>
      <c r="AB599" s="732"/>
      <c r="AC599" s="732"/>
      <c r="AD599" s="732"/>
      <c r="AE599" s="733"/>
      <c r="AF599" s="734" t="str">
        <f t="shared" si="29"/>
        <v/>
      </c>
      <c r="AG599" s="773"/>
    </row>
    <row r="600" spans="1:64" ht="18.75" x14ac:dyDescent="0.25">
      <c r="A600" s="758"/>
      <c r="B600" s="737"/>
      <c r="C600" s="730"/>
      <c r="D600" s="739"/>
      <c r="E600" s="765"/>
      <c r="F600" s="765"/>
      <c r="G600" s="765"/>
      <c r="H600" s="765"/>
      <c r="I600" s="746" t="str">
        <f t="shared" si="28"/>
        <v/>
      </c>
      <c r="J600" s="731"/>
      <c r="K600" s="731" t="str">
        <f t="shared" si="27"/>
        <v/>
      </c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32"/>
      <c r="AB600" s="732"/>
      <c r="AC600" s="732"/>
      <c r="AD600" s="732"/>
      <c r="AE600" s="733"/>
      <c r="AF600" s="734" t="str">
        <f t="shared" si="29"/>
        <v/>
      </c>
      <c r="AG600" s="773"/>
    </row>
    <row r="601" spans="1:64" ht="18.75" x14ac:dyDescent="0.25">
      <c r="A601" s="758"/>
      <c r="B601" s="737"/>
      <c r="C601" s="730"/>
      <c r="D601" s="739"/>
      <c r="E601" s="765"/>
      <c r="F601" s="765"/>
      <c r="G601" s="765"/>
      <c r="H601" s="765"/>
      <c r="I601" s="746" t="str">
        <f t="shared" si="28"/>
        <v/>
      </c>
      <c r="J601" s="731"/>
      <c r="K601" s="731" t="str">
        <f t="shared" si="27"/>
        <v/>
      </c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32"/>
      <c r="AB601" s="732"/>
      <c r="AC601" s="732"/>
      <c r="AD601" s="732"/>
      <c r="AE601" s="733"/>
      <c r="AF601" s="734" t="str">
        <f t="shared" si="29"/>
        <v/>
      </c>
      <c r="AG601" s="773"/>
    </row>
    <row r="602" spans="1:64" ht="18.75" x14ac:dyDescent="0.25">
      <c r="A602" s="758"/>
      <c r="B602" s="737"/>
      <c r="C602" s="730"/>
      <c r="D602" s="739"/>
      <c r="E602" s="765"/>
      <c r="F602" s="765"/>
      <c r="G602" s="765"/>
      <c r="H602" s="765"/>
      <c r="I602" s="746" t="str">
        <f t="shared" si="28"/>
        <v/>
      </c>
      <c r="J602" s="731"/>
      <c r="K602" s="731" t="str">
        <f t="shared" si="27"/>
        <v/>
      </c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32"/>
      <c r="AB602" s="732"/>
      <c r="AC602" s="732"/>
      <c r="AD602" s="732"/>
      <c r="AE602" s="733"/>
      <c r="AF602" s="734" t="str">
        <f t="shared" si="29"/>
        <v/>
      </c>
      <c r="AG602" s="773"/>
    </row>
    <row r="603" spans="1:64" ht="18.75" x14ac:dyDescent="0.25">
      <c r="A603" s="758"/>
      <c r="B603" s="737"/>
      <c r="C603" s="730"/>
      <c r="D603" s="739"/>
      <c r="E603" s="765"/>
      <c r="F603" s="765"/>
      <c r="G603" s="765"/>
      <c r="H603" s="765"/>
      <c r="I603" s="746" t="str">
        <f t="shared" si="28"/>
        <v/>
      </c>
      <c r="J603" s="731"/>
      <c r="K603" s="731" t="str">
        <f t="shared" si="27"/>
        <v/>
      </c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32"/>
      <c r="AB603" s="732"/>
      <c r="AC603" s="732"/>
      <c r="AD603" s="732"/>
      <c r="AE603" s="733"/>
      <c r="AF603" s="734" t="str">
        <f t="shared" si="29"/>
        <v/>
      </c>
      <c r="AG603" s="773"/>
    </row>
    <row r="604" spans="1:64" ht="18.75" x14ac:dyDescent="0.25">
      <c r="A604" s="758"/>
      <c r="B604" s="737"/>
      <c r="C604" s="730"/>
      <c r="D604" s="739"/>
      <c r="E604" s="765"/>
      <c r="F604" s="765"/>
      <c r="G604" s="765"/>
      <c r="H604" s="765"/>
      <c r="I604" s="746" t="str">
        <f t="shared" si="28"/>
        <v/>
      </c>
      <c r="J604" s="731"/>
      <c r="K604" s="731" t="str">
        <f t="shared" si="27"/>
        <v/>
      </c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32"/>
      <c r="AB604" s="732"/>
      <c r="AC604" s="732"/>
      <c r="AD604" s="732"/>
      <c r="AE604" s="733"/>
      <c r="AF604" s="734" t="str">
        <f t="shared" si="29"/>
        <v/>
      </c>
      <c r="AG604" s="773"/>
    </row>
    <row r="605" spans="1:64" ht="18.75" x14ac:dyDescent="0.25">
      <c r="A605" s="758"/>
      <c r="B605" s="737"/>
      <c r="C605" s="730"/>
      <c r="D605" s="739"/>
      <c r="E605" s="765"/>
      <c r="F605" s="765"/>
      <c r="G605" s="765"/>
      <c r="H605" s="765"/>
      <c r="I605" s="746" t="str">
        <f t="shared" si="28"/>
        <v/>
      </c>
      <c r="J605" s="731"/>
      <c r="K605" s="731" t="str">
        <f t="shared" si="27"/>
        <v/>
      </c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32"/>
      <c r="AB605" s="732"/>
      <c r="AC605" s="732"/>
      <c r="AD605" s="732"/>
      <c r="AE605" s="733"/>
      <c r="AF605" s="734" t="str">
        <f t="shared" si="29"/>
        <v/>
      </c>
      <c r="AG605" s="773"/>
    </row>
    <row r="606" spans="1:64" ht="18.75" x14ac:dyDescent="0.25">
      <c r="A606" s="758"/>
      <c r="B606" s="737"/>
      <c r="C606" s="730"/>
      <c r="D606" s="739"/>
      <c r="E606" s="765"/>
      <c r="F606" s="765"/>
      <c r="G606" s="765"/>
      <c r="H606" s="765"/>
      <c r="I606" s="746" t="str">
        <f t="shared" si="28"/>
        <v/>
      </c>
      <c r="J606" s="731"/>
      <c r="K606" s="731" t="str">
        <f t="shared" si="27"/>
        <v/>
      </c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32"/>
      <c r="AB606" s="732"/>
      <c r="AC606" s="732"/>
      <c r="AD606" s="732"/>
      <c r="AE606" s="733"/>
      <c r="AF606" s="734" t="str">
        <f t="shared" si="29"/>
        <v/>
      </c>
      <c r="AG606" s="773"/>
    </row>
    <row r="607" spans="1:64" ht="18.75" x14ac:dyDescent="0.25">
      <c r="A607" s="758"/>
      <c r="B607" s="737"/>
      <c r="C607" s="730"/>
      <c r="D607" s="739"/>
      <c r="E607" s="765"/>
      <c r="F607" s="765"/>
      <c r="G607" s="765"/>
      <c r="H607" s="765"/>
      <c r="I607" s="746" t="str">
        <f t="shared" si="28"/>
        <v/>
      </c>
      <c r="J607" s="731"/>
      <c r="K607" s="731" t="str">
        <f t="shared" si="27"/>
        <v/>
      </c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32"/>
      <c r="AB607" s="732"/>
      <c r="AC607" s="732"/>
      <c r="AD607" s="732"/>
      <c r="AE607" s="733"/>
      <c r="AF607" s="734" t="str">
        <f t="shared" si="29"/>
        <v/>
      </c>
      <c r="AG607" s="773"/>
    </row>
    <row r="608" spans="1:64" ht="18.75" x14ac:dyDescent="0.25">
      <c r="A608" s="758"/>
      <c r="B608" s="737"/>
      <c r="C608" s="730"/>
      <c r="D608" s="739"/>
      <c r="E608" s="765"/>
      <c r="F608" s="765"/>
      <c r="G608" s="765"/>
      <c r="H608" s="765"/>
      <c r="I608" s="746" t="str">
        <f t="shared" si="28"/>
        <v/>
      </c>
      <c r="J608" s="731"/>
      <c r="K608" s="731" t="str">
        <f t="shared" si="27"/>
        <v/>
      </c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32"/>
      <c r="AB608" s="732"/>
      <c r="AC608" s="732"/>
      <c r="AD608" s="732"/>
      <c r="AE608" s="733"/>
      <c r="AF608" s="734" t="str">
        <f t="shared" si="29"/>
        <v/>
      </c>
      <c r="AG608" s="774"/>
      <c r="AH608" s="778"/>
      <c r="AI608" s="736"/>
      <c r="AJ608" s="736"/>
      <c r="AK608" s="736"/>
      <c r="AL608" s="736"/>
      <c r="AM608" s="736"/>
      <c r="AN608" s="736"/>
      <c r="AO608" s="736"/>
      <c r="AP608" s="736"/>
      <c r="AQ608" s="736"/>
      <c r="AR608" s="736"/>
      <c r="AS608" s="736"/>
      <c r="AT608" s="736"/>
      <c r="AU608" s="736"/>
      <c r="AV608" s="736"/>
      <c r="AW608" s="736"/>
      <c r="AX608" s="736"/>
      <c r="AY608" s="736"/>
      <c r="AZ608" s="736"/>
      <c r="BA608" s="736"/>
      <c r="BB608" s="736"/>
      <c r="BC608" s="736"/>
      <c r="BD608" s="736"/>
      <c r="BE608" s="736"/>
      <c r="BF608" s="736"/>
      <c r="BG608" s="736"/>
      <c r="BH608" s="736"/>
      <c r="BI608" s="736"/>
      <c r="BJ608" s="736"/>
      <c r="BK608" s="736"/>
      <c r="BL608" s="736"/>
    </row>
    <row r="609" spans="1:64" ht="18.75" x14ac:dyDescent="0.25">
      <c r="A609" s="758"/>
      <c r="B609" s="737"/>
      <c r="C609" s="730"/>
      <c r="D609" s="739"/>
      <c r="E609" s="765"/>
      <c r="F609" s="765"/>
      <c r="G609" s="765"/>
      <c r="H609" s="765"/>
      <c r="I609" s="746" t="str">
        <f t="shared" si="28"/>
        <v/>
      </c>
      <c r="J609" s="731"/>
      <c r="K609" s="731" t="str">
        <f t="shared" si="27"/>
        <v/>
      </c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32"/>
      <c r="AB609" s="732"/>
      <c r="AC609" s="732"/>
      <c r="AD609" s="732"/>
      <c r="AE609" s="733"/>
      <c r="AF609" s="734" t="str">
        <f t="shared" si="29"/>
        <v/>
      </c>
      <c r="AG609" s="774"/>
      <c r="AH609" s="778"/>
      <c r="AI609" s="736"/>
      <c r="AJ609" s="736"/>
      <c r="AK609" s="736"/>
      <c r="AL609" s="736"/>
      <c r="AM609" s="736"/>
      <c r="AN609" s="736"/>
      <c r="AO609" s="736"/>
      <c r="AP609" s="736"/>
      <c r="AQ609" s="736"/>
      <c r="AR609" s="736"/>
      <c r="AS609" s="736"/>
      <c r="AT609" s="736"/>
      <c r="AU609" s="736"/>
      <c r="AV609" s="736"/>
      <c r="AW609" s="736"/>
      <c r="AX609" s="736"/>
      <c r="AY609" s="736"/>
      <c r="AZ609" s="736"/>
      <c r="BA609" s="736"/>
      <c r="BB609" s="736"/>
      <c r="BC609" s="736"/>
      <c r="BD609" s="736"/>
      <c r="BE609" s="736"/>
      <c r="BF609" s="736"/>
      <c r="BG609" s="736"/>
      <c r="BH609" s="736"/>
      <c r="BI609" s="736"/>
      <c r="BJ609" s="736"/>
      <c r="BK609" s="736"/>
      <c r="BL609" s="736"/>
    </row>
    <row r="610" spans="1:64" ht="18.75" x14ac:dyDescent="0.25">
      <c r="A610" s="758"/>
      <c r="B610" s="737"/>
      <c r="C610" s="730"/>
      <c r="D610" s="739"/>
      <c r="E610" s="765"/>
      <c r="F610" s="765"/>
      <c r="G610" s="765"/>
      <c r="H610" s="765"/>
      <c r="I610" s="746" t="str">
        <f t="shared" si="28"/>
        <v/>
      </c>
      <c r="J610" s="731"/>
      <c r="K610" s="731" t="str">
        <f t="shared" si="27"/>
        <v/>
      </c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32"/>
      <c r="AB610" s="732"/>
      <c r="AC610" s="732"/>
      <c r="AD610" s="732"/>
      <c r="AE610" s="733"/>
      <c r="AF610" s="734" t="str">
        <f t="shared" si="29"/>
        <v/>
      </c>
      <c r="AG610" s="773"/>
    </row>
    <row r="611" spans="1:64" ht="18.75" x14ac:dyDescent="0.25">
      <c r="A611" s="758"/>
      <c r="B611" s="737"/>
      <c r="C611" s="730"/>
      <c r="D611" s="739"/>
      <c r="E611" s="765"/>
      <c r="F611" s="765"/>
      <c r="G611" s="765"/>
      <c r="H611" s="765"/>
      <c r="I611" s="746" t="str">
        <f t="shared" si="28"/>
        <v/>
      </c>
      <c r="J611" s="731"/>
      <c r="K611" s="731" t="str">
        <f t="shared" si="27"/>
        <v/>
      </c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32"/>
      <c r="AB611" s="732"/>
      <c r="AC611" s="732"/>
      <c r="AD611" s="732"/>
      <c r="AE611" s="733"/>
      <c r="AF611" s="734" t="str">
        <f t="shared" si="29"/>
        <v/>
      </c>
      <c r="AG611" s="773"/>
    </row>
    <row r="612" spans="1:64" ht="18.75" x14ac:dyDescent="0.25">
      <c r="A612" s="758"/>
      <c r="B612" s="737"/>
      <c r="C612" s="730"/>
      <c r="D612" s="739"/>
      <c r="E612" s="765"/>
      <c r="F612" s="765"/>
      <c r="G612" s="765"/>
      <c r="H612" s="765"/>
      <c r="I612" s="746" t="str">
        <f t="shared" si="28"/>
        <v/>
      </c>
      <c r="J612" s="731"/>
      <c r="K612" s="731" t="str">
        <f t="shared" si="27"/>
        <v/>
      </c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32"/>
      <c r="AB612" s="732"/>
      <c r="AC612" s="732"/>
      <c r="AD612" s="732"/>
      <c r="AE612" s="733"/>
      <c r="AF612" s="734" t="str">
        <f t="shared" si="29"/>
        <v/>
      </c>
      <c r="AG612" s="774"/>
      <c r="AH612" s="778"/>
      <c r="AI612" s="736"/>
      <c r="AJ612" s="736"/>
      <c r="AK612" s="736"/>
      <c r="AL612" s="736"/>
      <c r="AM612" s="736"/>
      <c r="AN612" s="736"/>
      <c r="AO612" s="736"/>
      <c r="AP612" s="736"/>
      <c r="AQ612" s="736"/>
      <c r="AR612" s="736"/>
      <c r="AS612" s="736"/>
      <c r="AT612" s="736"/>
      <c r="AU612" s="736"/>
      <c r="AV612" s="736"/>
      <c r="AW612" s="736"/>
      <c r="AX612" s="736"/>
      <c r="AY612" s="736"/>
      <c r="AZ612" s="736"/>
      <c r="BA612" s="736"/>
      <c r="BB612" s="736"/>
      <c r="BC612" s="736"/>
      <c r="BD612" s="736"/>
      <c r="BE612" s="736"/>
      <c r="BF612" s="736"/>
      <c r="BG612" s="736"/>
      <c r="BH612" s="736"/>
      <c r="BI612" s="736"/>
      <c r="BJ612" s="736"/>
      <c r="BK612" s="736"/>
      <c r="BL612" s="736"/>
    </row>
    <row r="613" spans="1:64" ht="18.75" x14ac:dyDescent="0.25">
      <c r="A613" s="758"/>
      <c r="B613" s="737"/>
      <c r="C613" s="730"/>
      <c r="D613" s="739"/>
      <c r="E613" s="765"/>
      <c r="F613" s="765"/>
      <c r="G613" s="765"/>
      <c r="H613" s="765"/>
      <c r="I613" s="746" t="str">
        <f t="shared" si="28"/>
        <v/>
      </c>
      <c r="J613" s="731"/>
      <c r="K613" s="731" t="str">
        <f t="shared" si="27"/>
        <v/>
      </c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32"/>
      <c r="AB613" s="732"/>
      <c r="AC613" s="732"/>
      <c r="AD613" s="732"/>
      <c r="AE613" s="733"/>
      <c r="AF613" s="734" t="str">
        <f t="shared" si="29"/>
        <v/>
      </c>
      <c r="AG613" s="773"/>
    </row>
    <row r="614" spans="1:64" ht="18.75" x14ac:dyDescent="0.25">
      <c r="A614" s="758"/>
      <c r="B614" s="737"/>
      <c r="C614" s="730"/>
      <c r="D614" s="739"/>
      <c r="E614" s="765"/>
      <c r="F614" s="765"/>
      <c r="G614" s="765"/>
      <c r="H614" s="765"/>
      <c r="I614" s="746" t="str">
        <f t="shared" si="28"/>
        <v/>
      </c>
      <c r="J614" s="731"/>
      <c r="K614" s="731" t="str">
        <f t="shared" si="27"/>
        <v/>
      </c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32"/>
      <c r="AB614" s="732"/>
      <c r="AC614" s="732"/>
      <c r="AD614" s="732"/>
      <c r="AE614" s="733"/>
      <c r="AF614" s="734" t="str">
        <f t="shared" si="29"/>
        <v/>
      </c>
      <c r="AG614" s="773"/>
    </row>
    <row r="615" spans="1:64" ht="18.75" x14ac:dyDescent="0.25">
      <c r="A615" s="758"/>
      <c r="B615" s="737"/>
      <c r="C615" s="730"/>
      <c r="D615" s="739"/>
      <c r="E615" s="765"/>
      <c r="F615" s="765"/>
      <c r="G615" s="765"/>
      <c r="H615" s="765"/>
      <c r="I615" s="746" t="str">
        <f t="shared" si="28"/>
        <v/>
      </c>
      <c r="J615" s="731"/>
      <c r="K615" s="731" t="str">
        <f t="shared" si="27"/>
        <v/>
      </c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32"/>
      <c r="AB615" s="732"/>
      <c r="AC615" s="732"/>
      <c r="AD615" s="732"/>
      <c r="AE615" s="733"/>
      <c r="AF615" s="734" t="str">
        <f t="shared" si="29"/>
        <v/>
      </c>
      <c r="AG615" s="774"/>
      <c r="AH615" s="778"/>
      <c r="AI615" s="736"/>
      <c r="AJ615" s="736"/>
      <c r="AK615" s="736"/>
      <c r="AL615" s="736"/>
      <c r="AM615" s="736"/>
      <c r="AN615" s="736"/>
      <c r="AO615" s="736"/>
      <c r="AP615" s="736"/>
      <c r="AQ615" s="736"/>
      <c r="AR615" s="736"/>
      <c r="AS615" s="736"/>
      <c r="AT615" s="736"/>
      <c r="AU615" s="736"/>
      <c r="AV615" s="736"/>
      <c r="AW615" s="736"/>
      <c r="AX615" s="736"/>
      <c r="AY615" s="736"/>
      <c r="AZ615" s="736"/>
      <c r="BA615" s="736"/>
      <c r="BB615" s="736"/>
      <c r="BC615" s="736"/>
      <c r="BD615" s="736"/>
      <c r="BE615" s="736"/>
      <c r="BF615" s="736"/>
      <c r="BG615" s="736"/>
      <c r="BH615" s="736"/>
      <c r="BI615" s="736"/>
      <c r="BJ615" s="736"/>
      <c r="BK615" s="736"/>
      <c r="BL615" s="736"/>
    </row>
    <row r="616" spans="1:64" ht="18.75" x14ac:dyDescent="0.25">
      <c r="A616" s="758"/>
      <c r="B616" s="737"/>
      <c r="C616" s="730"/>
      <c r="D616" s="739"/>
      <c r="E616" s="765"/>
      <c r="F616" s="765"/>
      <c r="G616" s="765"/>
      <c r="H616" s="765"/>
      <c r="I616" s="746" t="str">
        <f t="shared" si="28"/>
        <v/>
      </c>
      <c r="J616" s="731"/>
      <c r="K616" s="731" t="str">
        <f t="shared" si="27"/>
        <v/>
      </c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32"/>
      <c r="AB616" s="732"/>
      <c r="AC616" s="732"/>
      <c r="AD616" s="732"/>
      <c r="AE616" s="733"/>
      <c r="AF616" s="734" t="str">
        <f t="shared" si="29"/>
        <v/>
      </c>
      <c r="AG616" s="773"/>
    </row>
    <row r="617" spans="1:64" ht="18.75" x14ac:dyDescent="0.25">
      <c r="A617" s="758"/>
      <c r="B617" s="737"/>
      <c r="C617" s="730"/>
      <c r="D617" s="739"/>
      <c r="E617" s="765"/>
      <c r="F617" s="765"/>
      <c r="G617" s="765"/>
      <c r="H617" s="765"/>
      <c r="I617" s="746" t="str">
        <f t="shared" si="28"/>
        <v/>
      </c>
      <c r="J617" s="731"/>
      <c r="K617" s="731" t="str">
        <f t="shared" si="27"/>
        <v/>
      </c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32"/>
      <c r="AB617" s="732"/>
      <c r="AC617" s="732"/>
      <c r="AD617" s="732"/>
      <c r="AE617" s="733"/>
      <c r="AF617" s="734" t="str">
        <f t="shared" si="29"/>
        <v/>
      </c>
      <c r="AG617" s="774"/>
      <c r="AH617" s="778"/>
      <c r="AI617" s="736"/>
      <c r="AJ617" s="736"/>
      <c r="AK617" s="736"/>
      <c r="AL617" s="736"/>
      <c r="AM617" s="736"/>
      <c r="AN617" s="736"/>
      <c r="AO617" s="736"/>
      <c r="AP617" s="736"/>
      <c r="AQ617" s="736"/>
      <c r="AR617" s="736"/>
      <c r="AS617" s="736"/>
      <c r="AT617" s="736"/>
      <c r="AU617" s="736"/>
      <c r="AV617" s="736"/>
      <c r="AW617" s="736"/>
      <c r="AX617" s="736"/>
      <c r="AY617" s="736"/>
      <c r="AZ617" s="736"/>
      <c r="BA617" s="736"/>
      <c r="BB617" s="736"/>
      <c r="BC617" s="736"/>
      <c r="BD617" s="736"/>
      <c r="BE617" s="736"/>
      <c r="BF617" s="736"/>
      <c r="BG617" s="736"/>
      <c r="BH617" s="736"/>
      <c r="BI617" s="736"/>
      <c r="BJ617" s="736"/>
      <c r="BK617" s="736"/>
      <c r="BL617" s="736"/>
    </row>
    <row r="618" spans="1:64" ht="18.75" x14ac:dyDescent="0.25">
      <c r="A618" s="758"/>
      <c r="B618" s="737"/>
      <c r="C618" s="730"/>
      <c r="D618" s="739"/>
      <c r="E618" s="765"/>
      <c r="F618" s="765"/>
      <c r="G618" s="765"/>
      <c r="H618" s="765"/>
      <c r="I618" s="746" t="str">
        <f t="shared" si="28"/>
        <v/>
      </c>
      <c r="J618" s="731"/>
      <c r="K618" s="731" t="str">
        <f t="shared" si="27"/>
        <v/>
      </c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32"/>
      <c r="AB618" s="732"/>
      <c r="AC618" s="732"/>
      <c r="AD618" s="732"/>
      <c r="AE618" s="733"/>
      <c r="AF618" s="734" t="str">
        <f t="shared" si="29"/>
        <v/>
      </c>
      <c r="AG618" s="774"/>
      <c r="AH618" s="778"/>
      <c r="AI618" s="736"/>
      <c r="AJ618" s="736"/>
      <c r="AK618" s="736"/>
      <c r="AL618" s="736"/>
      <c r="AM618" s="736"/>
      <c r="AN618" s="736"/>
      <c r="AO618" s="736"/>
      <c r="AP618" s="736"/>
      <c r="AQ618" s="736"/>
      <c r="AR618" s="736"/>
      <c r="AS618" s="736"/>
      <c r="AT618" s="736"/>
      <c r="AU618" s="736"/>
      <c r="AV618" s="736"/>
      <c r="AW618" s="736"/>
      <c r="AX618" s="736"/>
      <c r="AY618" s="736"/>
      <c r="AZ618" s="736"/>
      <c r="BA618" s="736"/>
      <c r="BB618" s="736"/>
      <c r="BC618" s="736"/>
      <c r="BD618" s="736"/>
      <c r="BE618" s="736"/>
      <c r="BF618" s="736"/>
      <c r="BG618" s="736"/>
      <c r="BH618" s="736"/>
      <c r="BI618" s="736"/>
      <c r="BJ618" s="736"/>
      <c r="BK618" s="736"/>
      <c r="BL618" s="736"/>
    </row>
    <row r="619" spans="1:64" ht="18.75" x14ac:dyDescent="0.25">
      <c r="A619" s="758"/>
      <c r="B619" s="737"/>
      <c r="C619" s="730"/>
      <c r="D619" s="739"/>
      <c r="E619" s="765"/>
      <c r="F619" s="765"/>
      <c r="G619" s="765"/>
      <c r="H619" s="765"/>
      <c r="I619" s="746" t="str">
        <f t="shared" si="28"/>
        <v/>
      </c>
      <c r="J619" s="731"/>
      <c r="K619" s="731" t="str">
        <f t="shared" si="27"/>
        <v/>
      </c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32"/>
      <c r="AB619" s="732"/>
      <c r="AC619" s="732"/>
      <c r="AD619" s="732"/>
      <c r="AE619" s="733"/>
      <c r="AF619" s="734" t="str">
        <f t="shared" si="29"/>
        <v/>
      </c>
      <c r="AG619" s="773"/>
    </row>
    <row r="620" spans="1:64" ht="18.75" x14ac:dyDescent="0.25">
      <c r="A620" s="758"/>
      <c r="B620" s="737"/>
      <c r="C620" s="730"/>
      <c r="D620" s="739"/>
      <c r="E620" s="765"/>
      <c r="F620" s="765"/>
      <c r="G620" s="765"/>
      <c r="H620" s="765"/>
      <c r="I620" s="746" t="str">
        <f t="shared" si="28"/>
        <v/>
      </c>
      <c r="J620" s="731"/>
      <c r="K620" s="731" t="str">
        <f t="shared" si="27"/>
        <v/>
      </c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32"/>
      <c r="AB620" s="732"/>
      <c r="AC620" s="732"/>
      <c r="AD620" s="732"/>
      <c r="AE620" s="733"/>
      <c r="AF620" s="734" t="str">
        <f t="shared" si="29"/>
        <v/>
      </c>
      <c r="AG620" s="774"/>
      <c r="AH620" s="778"/>
      <c r="AI620" s="736"/>
      <c r="AJ620" s="736"/>
      <c r="AK620" s="736"/>
      <c r="AL620" s="736"/>
      <c r="AM620" s="736"/>
      <c r="AN620" s="736"/>
      <c r="AO620" s="736"/>
      <c r="AP620" s="736"/>
      <c r="AQ620" s="736"/>
      <c r="AR620" s="736"/>
      <c r="AS620" s="736"/>
      <c r="AT620" s="736"/>
      <c r="AU620" s="736"/>
      <c r="AV620" s="736"/>
      <c r="AW620" s="736"/>
      <c r="AX620" s="736"/>
      <c r="AY620" s="736"/>
      <c r="AZ620" s="736"/>
      <c r="BA620" s="736"/>
      <c r="BB620" s="736"/>
      <c r="BC620" s="736"/>
      <c r="BD620" s="736"/>
      <c r="BE620" s="736"/>
      <c r="BF620" s="736"/>
      <c r="BG620" s="736"/>
      <c r="BH620" s="736"/>
      <c r="BI620" s="736"/>
      <c r="BJ620" s="736"/>
      <c r="BK620" s="736"/>
      <c r="BL620" s="736"/>
    </row>
    <row r="621" spans="1:64" ht="18.75" x14ac:dyDescent="0.25">
      <c r="A621" s="758"/>
      <c r="B621" s="737"/>
      <c r="C621" s="730"/>
      <c r="D621" s="739"/>
      <c r="E621" s="765"/>
      <c r="F621" s="765"/>
      <c r="G621" s="765"/>
      <c r="H621" s="765"/>
      <c r="I621" s="746" t="str">
        <f t="shared" si="28"/>
        <v/>
      </c>
      <c r="J621" s="731"/>
      <c r="K621" s="731" t="str">
        <f t="shared" si="27"/>
        <v/>
      </c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32"/>
      <c r="AB621" s="732"/>
      <c r="AC621" s="732"/>
      <c r="AD621" s="732"/>
      <c r="AE621" s="733"/>
      <c r="AF621" s="734" t="str">
        <f t="shared" si="29"/>
        <v/>
      </c>
      <c r="AG621" s="773"/>
    </row>
    <row r="622" spans="1:64" ht="18.75" x14ac:dyDescent="0.25">
      <c r="A622" s="758"/>
      <c r="B622" s="737"/>
      <c r="C622" s="730"/>
      <c r="D622" s="739"/>
      <c r="E622" s="765"/>
      <c r="F622" s="765"/>
      <c r="G622" s="765"/>
      <c r="H622" s="765"/>
      <c r="I622" s="746" t="str">
        <f t="shared" si="28"/>
        <v/>
      </c>
      <c r="J622" s="731"/>
      <c r="K622" s="731" t="str">
        <f t="shared" si="27"/>
        <v/>
      </c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32"/>
      <c r="AB622" s="732"/>
      <c r="AC622" s="732"/>
      <c r="AD622" s="732"/>
      <c r="AE622" s="733"/>
      <c r="AF622" s="734" t="str">
        <f t="shared" si="29"/>
        <v/>
      </c>
      <c r="AG622" s="774"/>
      <c r="AH622" s="778"/>
      <c r="AI622" s="736"/>
      <c r="AJ622" s="736"/>
      <c r="AK622" s="736"/>
      <c r="AL622" s="736"/>
      <c r="AM622" s="736"/>
      <c r="AN622" s="736"/>
      <c r="AO622" s="736"/>
      <c r="AP622" s="736"/>
      <c r="AQ622" s="736"/>
      <c r="AR622" s="736"/>
      <c r="AS622" s="736"/>
      <c r="AT622" s="736"/>
      <c r="AU622" s="736"/>
      <c r="AV622" s="736"/>
      <c r="AW622" s="736"/>
      <c r="AX622" s="736"/>
      <c r="AY622" s="736"/>
      <c r="AZ622" s="736"/>
      <c r="BA622" s="736"/>
      <c r="BB622" s="736"/>
      <c r="BC622" s="736"/>
      <c r="BD622" s="736"/>
      <c r="BE622" s="736"/>
      <c r="BF622" s="736"/>
      <c r="BG622" s="736"/>
      <c r="BH622" s="736"/>
      <c r="BI622" s="736"/>
      <c r="BJ622" s="736"/>
      <c r="BK622" s="736"/>
      <c r="BL622" s="736"/>
    </row>
    <row r="623" spans="1:64" ht="18.75" x14ac:dyDescent="0.25">
      <c r="A623" s="758"/>
      <c r="B623" s="737"/>
      <c r="C623" s="730"/>
      <c r="D623" s="739"/>
      <c r="E623" s="765"/>
      <c r="F623" s="765"/>
      <c r="G623" s="765"/>
      <c r="H623" s="765"/>
      <c r="I623" s="746" t="str">
        <f t="shared" si="28"/>
        <v/>
      </c>
      <c r="J623" s="731"/>
      <c r="K623" s="731" t="str">
        <f t="shared" si="27"/>
        <v/>
      </c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32"/>
      <c r="AB623" s="732"/>
      <c r="AC623" s="732"/>
      <c r="AD623" s="732"/>
      <c r="AE623" s="733"/>
      <c r="AF623" s="734" t="str">
        <f t="shared" si="29"/>
        <v/>
      </c>
      <c r="AG623" s="774"/>
      <c r="AH623" s="778"/>
      <c r="AI623" s="736"/>
      <c r="AJ623" s="736"/>
      <c r="AK623" s="736"/>
      <c r="AL623" s="736"/>
      <c r="AM623" s="736"/>
      <c r="AN623" s="736"/>
      <c r="AO623" s="736"/>
      <c r="AP623" s="736"/>
      <c r="AQ623" s="736"/>
      <c r="AR623" s="736"/>
      <c r="AS623" s="736"/>
      <c r="AT623" s="736"/>
      <c r="AU623" s="736"/>
      <c r="AV623" s="736"/>
      <c r="AW623" s="736"/>
      <c r="AX623" s="736"/>
      <c r="AY623" s="736"/>
      <c r="AZ623" s="736"/>
      <c r="BA623" s="736"/>
      <c r="BB623" s="736"/>
      <c r="BC623" s="736"/>
      <c r="BD623" s="736"/>
      <c r="BE623" s="736"/>
      <c r="BF623" s="736"/>
      <c r="BG623" s="736"/>
      <c r="BH623" s="736"/>
      <c r="BI623" s="736"/>
      <c r="BJ623" s="736"/>
      <c r="BK623" s="736"/>
      <c r="BL623" s="736"/>
    </row>
    <row r="624" spans="1:64" ht="18.75" x14ac:dyDescent="0.25">
      <c r="A624" s="758"/>
      <c r="B624" s="737"/>
      <c r="C624" s="730"/>
      <c r="D624" s="739"/>
      <c r="E624" s="765"/>
      <c r="F624" s="765"/>
      <c r="G624" s="765"/>
      <c r="H624" s="765"/>
      <c r="I624" s="746" t="str">
        <f t="shared" si="28"/>
        <v/>
      </c>
      <c r="J624" s="731"/>
      <c r="K624" s="731" t="str">
        <f t="shared" si="27"/>
        <v/>
      </c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32"/>
      <c r="AB624" s="732"/>
      <c r="AC624" s="732"/>
      <c r="AD624" s="732"/>
      <c r="AE624" s="733"/>
      <c r="AF624" s="734" t="str">
        <f t="shared" si="29"/>
        <v/>
      </c>
      <c r="AG624" s="774"/>
      <c r="AH624" s="778"/>
      <c r="AI624" s="736"/>
      <c r="AJ624" s="736"/>
      <c r="AK624" s="736"/>
      <c r="AL624" s="736"/>
      <c r="AM624" s="736"/>
      <c r="AN624" s="736"/>
      <c r="AO624" s="736"/>
      <c r="AP624" s="736"/>
      <c r="AQ624" s="736"/>
      <c r="AR624" s="736"/>
      <c r="AS624" s="736"/>
      <c r="AT624" s="736"/>
      <c r="AU624" s="736"/>
      <c r="AV624" s="736"/>
      <c r="AW624" s="736"/>
      <c r="AX624" s="736"/>
      <c r="AY624" s="736"/>
      <c r="AZ624" s="736"/>
      <c r="BA624" s="736"/>
      <c r="BB624" s="736"/>
      <c r="BC624" s="736"/>
      <c r="BD624" s="736"/>
      <c r="BE624" s="736"/>
      <c r="BF624" s="736"/>
      <c r="BG624" s="736"/>
      <c r="BH624" s="736"/>
      <c r="BI624" s="736"/>
      <c r="BJ624" s="736"/>
      <c r="BK624" s="736"/>
      <c r="BL624" s="736"/>
    </row>
    <row r="625" spans="1:64" ht="18.75" x14ac:dyDescent="0.25">
      <c r="A625" s="758"/>
      <c r="B625" s="737"/>
      <c r="C625" s="730"/>
      <c r="D625" s="739"/>
      <c r="E625" s="765"/>
      <c r="F625" s="765"/>
      <c r="G625" s="765"/>
      <c r="H625" s="765"/>
      <c r="I625" s="746" t="str">
        <f t="shared" si="28"/>
        <v/>
      </c>
      <c r="J625" s="731"/>
      <c r="K625" s="731" t="str">
        <f t="shared" si="27"/>
        <v/>
      </c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32"/>
      <c r="AB625" s="732"/>
      <c r="AC625" s="732"/>
      <c r="AD625" s="732"/>
      <c r="AE625" s="733"/>
      <c r="AF625" s="734" t="str">
        <f t="shared" si="29"/>
        <v/>
      </c>
      <c r="AG625" s="774"/>
      <c r="AH625" s="778"/>
      <c r="AI625" s="736"/>
      <c r="AJ625" s="736"/>
      <c r="AK625" s="736"/>
      <c r="AL625" s="736"/>
      <c r="AM625" s="736"/>
      <c r="AN625" s="736"/>
      <c r="AO625" s="736"/>
      <c r="AP625" s="736"/>
      <c r="AQ625" s="736"/>
      <c r="AR625" s="736"/>
      <c r="AS625" s="736"/>
      <c r="AT625" s="736"/>
      <c r="AU625" s="736"/>
      <c r="AV625" s="736"/>
      <c r="AW625" s="736"/>
      <c r="AX625" s="736"/>
      <c r="AY625" s="736"/>
      <c r="AZ625" s="736"/>
      <c r="BA625" s="736"/>
      <c r="BB625" s="736"/>
      <c r="BC625" s="736"/>
      <c r="BD625" s="736"/>
      <c r="BE625" s="736"/>
      <c r="BF625" s="736"/>
      <c r="BG625" s="736"/>
      <c r="BH625" s="736"/>
      <c r="BI625" s="736"/>
      <c r="BJ625" s="736"/>
      <c r="BK625" s="736"/>
      <c r="BL625" s="736"/>
    </row>
    <row r="626" spans="1:64" ht="18.75" x14ac:dyDescent="0.25">
      <c r="A626" s="758"/>
      <c r="B626" s="737"/>
      <c r="C626" s="730"/>
      <c r="D626" s="739"/>
      <c r="E626" s="765"/>
      <c r="F626" s="765"/>
      <c r="G626" s="765"/>
      <c r="H626" s="765"/>
      <c r="I626" s="746" t="str">
        <f t="shared" si="28"/>
        <v/>
      </c>
      <c r="J626" s="731"/>
      <c r="K626" s="731" t="str">
        <f t="shared" si="27"/>
        <v/>
      </c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32"/>
      <c r="AB626" s="732"/>
      <c r="AC626" s="732"/>
      <c r="AD626" s="732"/>
      <c r="AE626" s="733"/>
      <c r="AF626" s="734" t="str">
        <f t="shared" si="29"/>
        <v/>
      </c>
      <c r="AG626" s="774"/>
      <c r="AH626" s="778"/>
      <c r="AI626" s="736"/>
      <c r="AJ626" s="736"/>
      <c r="AK626" s="736"/>
      <c r="AL626" s="736"/>
      <c r="AM626" s="736"/>
      <c r="AN626" s="736"/>
      <c r="AO626" s="736"/>
      <c r="AP626" s="736"/>
      <c r="AQ626" s="736"/>
      <c r="AR626" s="736"/>
      <c r="AS626" s="736"/>
      <c r="AT626" s="736"/>
      <c r="AU626" s="736"/>
      <c r="AV626" s="736"/>
      <c r="AW626" s="736"/>
      <c r="AX626" s="736"/>
      <c r="AY626" s="736"/>
      <c r="AZ626" s="736"/>
      <c r="BA626" s="736"/>
      <c r="BB626" s="736"/>
      <c r="BC626" s="736"/>
      <c r="BD626" s="736"/>
      <c r="BE626" s="736"/>
      <c r="BF626" s="736"/>
      <c r="BG626" s="736"/>
      <c r="BH626" s="736"/>
      <c r="BI626" s="736"/>
      <c r="BJ626" s="736"/>
      <c r="BK626" s="736"/>
      <c r="BL626" s="736"/>
    </row>
    <row r="627" spans="1:64" ht="18.75" x14ac:dyDescent="0.25">
      <c r="A627" s="758"/>
      <c r="B627" s="737"/>
      <c r="C627" s="730"/>
      <c r="D627" s="739"/>
      <c r="E627" s="765"/>
      <c r="F627" s="765"/>
      <c r="G627" s="765"/>
      <c r="H627" s="765"/>
      <c r="I627" s="746" t="str">
        <f t="shared" si="28"/>
        <v/>
      </c>
      <c r="J627" s="731"/>
      <c r="K627" s="731" t="str">
        <f t="shared" si="27"/>
        <v/>
      </c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32"/>
      <c r="AB627" s="732"/>
      <c r="AC627" s="732"/>
      <c r="AD627" s="732"/>
      <c r="AE627" s="733"/>
      <c r="AF627" s="734" t="str">
        <f t="shared" si="29"/>
        <v/>
      </c>
      <c r="AG627" s="774"/>
      <c r="AH627" s="778"/>
      <c r="AI627" s="736"/>
      <c r="AJ627" s="736"/>
      <c r="AK627" s="736"/>
      <c r="AL627" s="736"/>
      <c r="AM627" s="736"/>
      <c r="AN627" s="736"/>
      <c r="AO627" s="736"/>
      <c r="AP627" s="736"/>
      <c r="AQ627" s="736"/>
      <c r="AR627" s="736"/>
      <c r="AS627" s="736"/>
      <c r="AT627" s="736"/>
      <c r="AU627" s="736"/>
      <c r="AV627" s="736"/>
      <c r="AW627" s="736"/>
      <c r="AX627" s="736"/>
      <c r="AY627" s="736"/>
      <c r="AZ627" s="736"/>
      <c r="BA627" s="736"/>
      <c r="BB627" s="736"/>
      <c r="BC627" s="736"/>
      <c r="BD627" s="736"/>
      <c r="BE627" s="736"/>
      <c r="BF627" s="736"/>
      <c r="BG627" s="736"/>
      <c r="BH627" s="736"/>
      <c r="BI627" s="736"/>
      <c r="BJ627" s="736"/>
      <c r="BK627" s="736"/>
      <c r="BL627" s="736"/>
    </row>
    <row r="628" spans="1:64" ht="18.75" x14ac:dyDescent="0.25">
      <c r="A628" s="758"/>
      <c r="B628" s="737"/>
      <c r="C628" s="730"/>
      <c r="D628" s="739"/>
      <c r="E628" s="765"/>
      <c r="F628" s="765"/>
      <c r="G628" s="765"/>
      <c r="H628" s="765"/>
      <c r="I628" s="746" t="str">
        <f t="shared" si="28"/>
        <v/>
      </c>
      <c r="J628" s="731"/>
      <c r="K628" s="731" t="str">
        <f t="shared" si="27"/>
        <v/>
      </c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32"/>
      <c r="AB628" s="732"/>
      <c r="AC628" s="732"/>
      <c r="AD628" s="732"/>
      <c r="AE628" s="733"/>
      <c r="AF628" s="734" t="str">
        <f t="shared" si="29"/>
        <v/>
      </c>
      <c r="AG628" s="774"/>
      <c r="AH628" s="778"/>
      <c r="AI628" s="736"/>
      <c r="AJ628" s="736"/>
      <c r="AK628" s="736"/>
      <c r="AL628" s="736"/>
      <c r="AM628" s="736"/>
      <c r="AN628" s="736"/>
      <c r="AO628" s="736"/>
      <c r="AP628" s="736"/>
      <c r="AQ628" s="736"/>
      <c r="AR628" s="736"/>
      <c r="AS628" s="736"/>
      <c r="AT628" s="736"/>
      <c r="AU628" s="736"/>
      <c r="AV628" s="736"/>
      <c r="AW628" s="736"/>
      <c r="AX628" s="736"/>
      <c r="AY628" s="736"/>
      <c r="AZ628" s="736"/>
      <c r="BA628" s="736"/>
      <c r="BB628" s="736"/>
      <c r="BC628" s="736"/>
      <c r="BD628" s="736"/>
      <c r="BE628" s="736"/>
      <c r="BF628" s="736"/>
      <c r="BG628" s="736"/>
      <c r="BH628" s="736"/>
      <c r="BI628" s="736"/>
      <c r="BJ628" s="736"/>
      <c r="BK628" s="736"/>
      <c r="BL628" s="736"/>
    </row>
    <row r="629" spans="1:64" ht="18.75" x14ac:dyDescent="0.25">
      <c r="A629" s="758"/>
      <c r="B629" s="737"/>
      <c r="C629" s="730"/>
      <c r="D629" s="739"/>
      <c r="E629" s="765"/>
      <c r="F629" s="765"/>
      <c r="G629" s="765"/>
      <c r="H629" s="765"/>
      <c r="I629" s="746" t="str">
        <f t="shared" si="28"/>
        <v/>
      </c>
      <c r="J629" s="731"/>
      <c r="K629" s="731" t="str">
        <f t="shared" si="27"/>
        <v/>
      </c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32"/>
      <c r="AB629" s="732"/>
      <c r="AC629" s="732"/>
      <c r="AD629" s="732"/>
      <c r="AE629" s="733"/>
      <c r="AF629" s="734" t="str">
        <f t="shared" si="29"/>
        <v/>
      </c>
      <c r="AG629" s="773"/>
    </row>
    <row r="630" spans="1:64" ht="18.75" x14ac:dyDescent="0.25">
      <c r="A630" s="758"/>
      <c r="B630" s="737"/>
      <c r="C630" s="730"/>
      <c r="D630" s="739"/>
      <c r="E630" s="765"/>
      <c r="F630" s="765"/>
      <c r="G630" s="765"/>
      <c r="H630" s="765"/>
      <c r="I630" s="746" t="str">
        <f t="shared" si="28"/>
        <v/>
      </c>
      <c r="J630" s="731"/>
      <c r="K630" s="731" t="str">
        <f t="shared" si="27"/>
        <v/>
      </c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32"/>
      <c r="AB630" s="732"/>
      <c r="AC630" s="732"/>
      <c r="AD630" s="732"/>
      <c r="AE630" s="733"/>
      <c r="AF630" s="734" t="str">
        <f t="shared" si="29"/>
        <v/>
      </c>
      <c r="AG630" s="774"/>
      <c r="AH630" s="778"/>
      <c r="AI630" s="736"/>
      <c r="AJ630" s="736"/>
      <c r="AK630" s="736"/>
      <c r="AL630" s="736"/>
      <c r="AM630" s="736"/>
      <c r="AN630" s="736"/>
      <c r="AO630" s="736"/>
      <c r="AP630" s="736"/>
      <c r="AQ630" s="736"/>
      <c r="AR630" s="736"/>
      <c r="AS630" s="736"/>
      <c r="AT630" s="736"/>
      <c r="AU630" s="736"/>
      <c r="AV630" s="736"/>
      <c r="AW630" s="736"/>
      <c r="AX630" s="736"/>
      <c r="AY630" s="736"/>
      <c r="AZ630" s="736"/>
      <c r="BA630" s="736"/>
      <c r="BB630" s="736"/>
      <c r="BC630" s="736"/>
      <c r="BD630" s="736"/>
      <c r="BE630" s="736"/>
      <c r="BF630" s="736"/>
      <c r="BG630" s="736"/>
      <c r="BH630" s="736"/>
      <c r="BI630" s="736"/>
      <c r="BJ630" s="736"/>
      <c r="BK630" s="736"/>
      <c r="BL630" s="736"/>
    </row>
    <row r="631" spans="1:64" ht="18.75" x14ac:dyDescent="0.25">
      <c r="A631" s="758"/>
      <c r="B631" s="737"/>
      <c r="C631" s="730"/>
      <c r="D631" s="739"/>
      <c r="E631" s="765"/>
      <c r="F631" s="765"/>
      <c r="G631" s="765"/>
      <c r="H631" s="765"/>
      <c r="I631" s="746" t="str">
        <f t="shared" si="28"/>
        <v/>
      </c>
      <c r="J631" s="731"/>
      <c r="K631" s="731" t="str">
        <f t="shared" si="27"/>
        <v/>
      </c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32"/>
      <c r="AB631" s="732"/>
      <c r="AC631" s="732"/>
      <c r="AD631" s="732"/>
      <c r="AE631" s="733"/>
      <c r="AF631" s="734" t="str">
        <f t="shared" si="29"/>
        <v/>
      </c>
      <c r="AG631" s="774"/>
      <c r="AH631" s="778"/>
      <c r="AI631" s="736"/>
      <c r="AJ631" s="736"/>
      <c r="AK631" s="736"/>
      <c r="AL631" s="736"/>
      <c r="AM631" s="736"/>
      <c r="AN631" s="736"/>
      <c r="AO631" s="736"/>
      <c r="AP631" s="736"/>
      <c r="AQ631" s="736"/>
      <c r="AR631" s="736"/>
      <c r="AS631" s="736"/>
      <c r="AT631" s="736"/>
      <c r="AU631" s="736"/>
      <c r="AV631" s="736"/>
      <c r="AW631" s="736"/>
      <c r="AX631" s="736"/>
      <c r="AY631" s="736"/>
      <c r="AZ631" s="736"/>
      <c r="BA631" s="736"/>
      <c r="BB631" s="736"/>
      <c r="BC631" s="736"/>
      <c r="BD631" s="736"/>
      <c r="BE631" s="736"/>
      <c r="BF631" s="736"/>
      <c r="BG631" s="736"/>
      <c r="BH631" s="736"/>
      <c r="BI631" s="736"/>
      <c r="BJ631" s="736"/>
      <c r="BK631" s="736"/>
      <c r="BL631" s="736"/>
    </row>
    <row r="632" spans="1:64" ht="18.75" x14ac:dyDescent="0.25">
      <c r="A632" s="758"/>
      <c r="B632" s="737"/>
      <c r="C632" s="730"/>
      <c r="D632" s="739"/>
      <c r="E632" s="765"/>
      <c r="F632" s="765"/>
      <c r="G632" s="765"/>
      <c r="H632" s="765"/>
      <c r="I632" s="746" t="str">
        <f t="shared" si="28"/>
        <v/>
      </c>
      <c r="J632" s="731"/>
      <c r="K632" s="731" t="str">
        <f t="shared" si="27"/>
        <v/>
      </c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32"/>
      <c r="AB632" s="732"/>
      <c r="AC632" s="732"/>
      <c r="AD632" s="732"/>
      <c r="AE632" s="733"/>
      <c r="AF632" s="734" t="str">
        <f t="shared" si="29"/>
        <v/>
      </c>
      <c r="AG632" s="774"/>
      <c r="AH632" s="778"/>
      <c r="AI632" s="736"/>
      <c r="AJ632" s="736"/>
      <c r="AK632" s="736"/>
      <c r="AL632" s="736"/>
      <c r="AM632" s="736"/>
      <c r="AN632" s="736"/>
      <c r="AO632" s="736"/>
      <c r="AP632" s="736"/>
      <c r="AQ632" s="736"/>
      <c r="AR632" s="736"/>
      <c r="AS632" s="736"/>
      <c r="AT632" s="736"/>
      <c r="AU632" s="736"/>
      <c r="AV632" s="736"/>
      <c r="AW632" s="736"/>
      <c r="AX632" s="736"/>
      <c r="AY632" s="736"/>
      <c r="AZ632" s="736"/>
      <c r="BA632" s="736"/>
      <c r="BB632" s="736"/>
      <c r="BC632" s="736"/>
      <c r="BD632" s="736"/>
      <c r="BE632" s="736"/>
      <c r="BF632" s="736"/>
      <c r="BG632" s="736"/>
      <c r="BH632" s="736"/>
      <c r="BI632" s="736"/>
      <c r="BJ632" s="736"/>
      <c r="BK632" s="736"/>
      <c r="BL632" s="736"/>
    </row>
    <row r="633" spans="1:64" ht="18.75" x14ac:dyDescent="0.25">
      <c r="A633" s="758"/>
      <c r="B633" s="737"/>
      <c r="C633" s="730"/>
      <c r="D633" s="739"/>
      <c r="E633" s="765"/>
      <c r="F633" s="765"/>
      <c r="G633" s="765"/>
      <c r="H633" s="765"/>
      <c r="I633" s="746" t="str">
        <f t="shared" si="28"/>
        <v/>
      </c>
      <c r="J633" s="731"/>
      <c r="K633" s="731" t="str">
        <f t="shared" si="27"/>
        <v/>
      </c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32"/>
      <c r="AB633" s="732"/>
      <c r="AC633" s="732"/>
      <c r="AD633" s="732"/>
      <c r="AE633" s="733"/>
      <c r="AF633" s="734" t="str">
        <f t="shared" si="29"/>
        <v/>
      </c>
      <c r="AG633" s="774"/>
      <c r="AH633" s="778"/>
      <c r="AI633" s="736"/>
      <c r="AJ633" s="736"/>
      <c r="AK633" s="736"/>
      <c r="AL633" s="736"/>
      <c r="AM633" s="736"/>
      <c r="AN633" s="736"/>
      <c r="AO633" s="736"/>
      <c r="AP633" s="736"/>
      <c r="AQ633" s="736"/>
      <c r="AR633" s="736"/>
      <c r="AS633" s="736"/>
      <c r="AT633" s="736"/>
      <c r="AU633" s="736"/>
      <c r="AV633" s="736"/>
      <c r="AW633" s="736"/>
      <c r="AX633" s="736"/>
      <c r="AY633" s="736"/>
      <c r="AZ633" s="736"/>
      <c r="BA633" s="736"/>
      <c r="BB633" s="736"/>
      <c r="BC633" s="736"/>
      <c r="BD633" s="736"/>
      <c r="BE633" s="736"/>
      <c r="BF633" s="736"/>
      <c r="BG633" s="736"/>
      <c r="BH633" s="736"/>
      <c r="BI633" s="736"/>
      <c r="BJ633" s="736"/>
      <c r="BK633" s="736"/>
      <c r="BL633" s="736"/>
    </row>
    <row r="634" spans="1:64" ht="18.75" x14ac:dyDescent="0.25">
      <c r="A634" s="758"/>
      <c r="B634" s="737"/>
      <c r="C634" s="730"/>
      <c r="D634" s="739"/>
      <c r="E634" s="765"/>
      <c r="F634" s="765"/>
      <c r="G634" s="765"/>
      <c r="H634" s="765"/>
      <c r="I634" s="746" t="str">
        <f t="shared" si="28"/>
        <v/>
      </c>
      <c r="J634" s="731"/>
      <c r="K634" s="731" t="str">
        <f t="shared" si="27"/>
        <v/>
      </c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32"/>
      <c r="AB634" s="732"/>
      <c r="AC634" s="732"/>
      <c r="AD634" s="732"/>
      <c r="AE634" s="733"/>
      <c r="AF634" s="734" t="str">
        <f t="shared" si="29"/>
        <v/>
      </c>
      <c r="AG634" s="774"/>
      <c r="AH634" s="778"/>
      <c r="AI634" s="736"/>
      <c r="AJ634" s="736"/>
      <c r="AK634" s="736"/>
      <c r="AL634" s="736"/>
      <c r="AM634" s="736"/>
      <c r="AN634" s="736"/>
      <c r="AO634" s="736"/>
      <c r="AP634" s="736"/>
      <c r="AQ634" s="736"/>
      <c r="AR634" s="736"/>
      <c r="AS634" s="736"/>
      <c r="AT634" s="736"/>
      <c r="AU634" s="736"/>
      <c r="AV634" s="736"/>
      <c r="AW634" s="736"/>
      <c r="AX634" s="736"/>
      <c r="AY634" s="736"/>
      <c r="AZ634" s="736"/>
      <c r="BA634" s="736"/>
      <c r="BB634" s="736"/>
      <c r="BC634" s="736"/>
      <c r="BD634" s="736"/>
      <c r="BE634" s="736"/>
      <c r="BF634" s="736"/>
      <c r="BG634" s="736"/>
      <c r="BH634" s="736"/>
      <c r="BI634" s="736"/>
      <c r="BJ634" s="736"/>
      <c r="BK634" s="736"/>
      <c r="BL634" s="736"/>
    </row>
    <row r="635" spans="1:64" ht="18.75" x14ac:dyDescent="0.25">
      <c r="A635" s="758"/>
      <c r="B635" s="737"/>
      <c r="C635" s="730"/>
      <c r="D635" s="739"/>
      <c r="E635" s="765"/>
      <c r="F635" s="765"/>
      <c r="G635" s="765"/>
      <c r="H635" s="765"/>
      <c r="I635" s="746" t="str">
        <f t="shared" si="28"/>
        <v/>
      </c>
      <c r="J635" s="731"/>
      <c r="K635" s="731" t="str">
        <f t="shared" si="27"/>
        <v/>
      </c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32"/>
      <c r="AB635" s="732"/>
      <c r="AC635" s="732"/>
      <c r="AD635" s="732"/>
      <c r="AE635" s="733"/>
      <c r="AF635" s="734" t="str">
        <f t="shared" si="29"/>
        <v/>
      </c>
      <c r="AG635" s="774"/>
      <c r="AH635" s="778"/>
      <c r="AI635" s="736"/>
      <c r="AJ635" s="736"/>
      <c r="AK635" s="736"/>
      <c r="AL635" s="736"/>
      <c r="AM635" s="736"/>
      <c r="AN635" s="736"/>
      <c r="AO635" s="736"/>
      <c r="AP635" s="736"/>
      <c r="AQ635" s="736"/>
      <c r="AR635" s="736"/>
      <c r="AS635" s="736"/>
      <c r="AT635" s="736"/>
      <c r="AU635" s="736"/>
      <c r="AV635" s="736"/>
      <c r="AW635" s="736"/>
      <c r="AX635" s="736"/>
      <c r="AY635" s="736"/>
      <c r="AZ635" s="736"/>
      <c r="BA635" s="736"/>
      <c r="BB635" s="736"/>
      <c r="BC635" s="736"/>
      <c r="BD635" s="736"/>
      <c r="BE635" s="736"/>
      <c r="BF635" s="736"/>
      <c r="BG635" s="736"/>
      <c r="BH635" s="736"/>
      <c r="BI635" s="736"/>
      <c r="BJ635" s="736"/>
      <c r="BK635" s="736"/>
      <c r="BL635" s="736"/>
    </row>
    <row r="636" spans="1:64" ht="18.75" x14ac:dyDescent="0.25">
      <c r="A636" s="758"/>
      <c r="B636" s="737"/>
      <c r="C636" s="730"/>
      <c r="D636" s="739"/>
      <c r="E636" s="765"/>
      <c r="F636" s="765"/>
      <c r="G636" s="765"/>
      <c r="H636" s="765"/>
      <c r="I636" s="746" t="str">
        <f t="shared" si="28"/>
        <v/>
      </c>
      <c r="J636" s="731"/>
      <c r="K636" s="731" t="str">
        <f t="shared" si="27"/>
        <v/>
      </c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32"/>
      <c r="AB636" s="732"/>
      <c r="AC636" s="732"/>
      <c r="AD636" s="732"/>
      <c r="AE636" s="733"/>
      <c r="AF636" s="734" t="str">
        <f t="shared" si="29"/>
        <v/>
      </c>
      <c r="AG636" s="773"/>
    </row>
    <row r="637" spans="1:64" ht="18.75" x14ac:dyDescent="0.25">
      <c r="A637" s="758"/>
      <c r="B637" s="737"/>
      <c r="C637" s="730"/>
      <c r="D637" s="739"/>
      <c r="E637" s="765"/>
      <c r="F637" s="765"/>
      <c r="G637" s="765"/>
      <c r="H637" s="765"/>
      <c r="I637" s="746" t="str">
        <f t="shared" si="28"/>
        <v/>
      </c>
      <c r="J637" s="731"/>
      <c r="K637" s="731" t="str">
        <f t="shared" si="27"/>
        <v/>
      </c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32"/>
      <c r="AB637" s="732"/>
      <c r="AC637" s="732"/>
      <c r="AD637" s="732"/>
      <c r="AE637" s="733"/>
      <c r="AF637" s="734" t="str">
        <f t="shared" si="29"/>
        <v/>
      </c>
      <c r="AG637" s="774"/>
      <c r="AH637" s="778"/>
      <c r="AI637" s="736"/>
      <c r="AJ637" s="736"/>
      <c r="AK637" s="736"/>
      <c r="AL637" s="736"/>
      <c r="AM637" s="736"/>
      <c r="AN637" s="736"/>
      <c r="AO637" s="736"/>
      <c r="AP637" s="736"/>
      <c r="AQ637" s="736"/>
      <c r="AR637" s="736"/>
      <c r="AS637" s="736"/>
      <c r="AT637" s="736"/>
      <c r="AU637" s="736"/>
      <c r="AV637" s="736"/>
      <c r="AW637" s="736"/>
      <c r="AX637" s="736"/>
      <c r="AY637" s="736"/>
      <c r="AZ637" s="736"/>
      <c r="BA637" s="736"/>
      <c r="BB637" s="736"/>
      <c r="BC637" s="736"/>
      <c r="BD637" s="736"/>
      <c r="BE637" s="736"/>
      <c r="BF637" s="736"/>
      <c r="BG637" s="736"/>
      <c r="BH637" s="736"/>
      <c r="BI637" s="736"/>
      <c r="BJ637" s="736"/>
      <c r="BK637" s="736"/>
      <c r="BL637" s="736"/>
    </row>
    <row r="638" spans="1:64" ht="18.75" x14ac:dyDescent="0.25">
      <c r="A638" s="758"/>
      <c r="B638" s="737"/>
      <c r="C638" s="730"/>
      <c r="D638" s="739"/>
      <c r="E638" s="765"/>
      <c r="F638" s="765"/>
      <c r="G638" s="765"/>
      <c r="H638" s="765"/>
      <c r="I638" s="746" t="str">
        <f t="shared" si="28"/>
        <v/>
      </c>
      <c r="J638" s="731"/>
      <c r="K638" s="731" t="str">
        <f t="shared" si="27"/>
        <v/>
      </c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32"/>
      <c r="AB638" s="732"/>
      <c r="AC638" s="732"/>
      <c r="AD638" s="732"/>
      <c r="AE638" s="733"/>
      <c r="AF638" s="734" t="str">
        <f t="shared" si="29"/>
        <v/>
      </c>
      <c r="AG638" s="773"/>
    </row>
    <row r="639" spans="1:64" ht="18.75" x14ac:dyDescent="0.25">
      <c r="A639" s="758"/>
      <c r="B639" s="737"/>
      <c r="C639" s="730"/>
      <c r="D639" s="739"/>
      <c r="E639" s="765"/>
      <c r="F639" s="765"/>
      <c r="G639" s="765"/>
      <c r="H639" s="765"/>
      <c r="I639" s="746" t="str">
        <f t="shared" si="28"/>
        <v/>
      </c>
      <c r="J639" s="731"/>
      <c r="K639" s="731" t="str">
        <f t="shared" si="27"/>
        <v/>
      </c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32"/>
      <c r="AB639" s="732"/>
      <c r="AC639" s="732"/>
      <c r="AD639" s="732"/>
      <c r="AE639" s="733"/>
      <c r="AF639" s="734" t="str">
        <f t="shared" si="29"/>
        <v/>
      </c>
      <c r="AG639" s="773"/>
    </row>
    <row r="640" spans="1:64" ht="18.75" x14ac:dyDescent="0.25">
      <c r="A640" s="758"/>
      <c r="B640" s="737"/>
      <c r="C640" s="730"/>
      <c r="D640" s="739"/>
      <c r="E640" s="765"/>
      <c r="F640" s="765"/>
      <c r="G640" s="765"/>
      <c r="H640" s="765"/>
      <c r="I640" s="746" t="str">
        <f t="shared" si="28"/>
        <v/>
      </c>
      <c r="J640" s="731"/>
      <c r="K640" s="731" t="str">
        <f t="shared" si="27"/>
        <v/>
      </c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32"/>
      <c r="AB640" s="732"/>
      <c r="AC640" s="732"/>
      <c r="AD640" s="732"/>
      <c r="AE640" s="733"/>
      <c r="AF640" s="734" t="str">
        <f t="shared" si="29"/>
        <v/>
      </c>
      <c r="AG640" s="774"/>
      <c r="AH640" s="778"/>
      <c r="AI640" s="736"/>
      <c r="AJ640" s="736"/>
      <c r="AK640" s="736"/>
      <c r="AL640" s="736"/>
      <c r="AM640" s="736"/>
      <c r="AN640" s="736"/>
      <c r="AO640" s="736"/>
      <c r="AP640" s="736"/>
      <c r="AQ640" s="736"/>
      <c r="AR640" s="736"/>
      <c r="AS640" s="736"/>
      <c r="AT640" s="736"/>
      <c r="AU640" s="736"/>
      <c r="AV640" s="736"/>
      <c r="AW640" s="736"/>
      <c r="AX640" s="736"/>
      <c r="AY640" s="736"/>
      <c r="AZ640" s="736"/>
      <c r="BA640" s="736"/>
      <c r="BB640" s="736"/>
      <c r="BC640" s="736"/>
      <c r="BD640" s="736"/>
      <c r="BE640" s="736"/>
      <c r="BF640" s="736"/>
      <c r="BG640" s="736"/>
      <c r="BH640" s="736"/>
      <c r="BI640" s="736"/>
      <c r="BJ640" s="736"/>
      <c r="BK640" s="736"/>
      <c r="BL640" s="736"/>
    </row>
    <row r="641" spans="1:64" ht="18.75" x14ac:dyDescent="0.25">
      <c r="A641" s="758"/>
      <c r="B641" s="737"/>
      <c r="C641" s="730"/>
      <c r="D641" s="739"/>
      <c r="E641" s="765"/>
      <c r="F641" s="765"/>
      <c r="G641" s="765"/>
      <c r="H641" s="765"/>
      <c r="I641" s="746" t="str">
        <f t="shared" si="28"/>
        <v/>
      </c>
      <c r="J641" s="731"/>
      <c r="K641" s="731" t="str">
        <f t="shared" si="27"/>
        <v/>
      </c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32"/>
      <c r="AB641" s="732"/>
      <c r="AC641" s="732"/>
      <c r="AD641" s="732"/>
      <c r="AE641" s="733"/>
      <c r="AF641" s="734" t="str">
        <f t="shared" si="29"/>
        <v/>
      </c>
      <c r="AG641" s="774"/>
      <c r="AH641" s="778"/>
      <c r="AI641" s="736"/>
      <c r="AJ641" s="736"/>
      <c r="AK641" s="736"/>
      <c r="AL641" s="736"/>
      <c r="AM641" s="736"/>
      <c r="AN641" s="736"/>
      <c r="AO641" s="736"/>
      <c r="AP641" s="736"/>
      <c r="AQ641" s="736"/>
      <c r="AR641" s="736"/>
      <c r="AS641" s="736"/>
      <c r="AT641" s="736"/>
      <c r="AU641" s="736"/>
      <c r="AV641" s="736"/>
      <c r="AW641" s="736"/>
      <c r="AX641" s="736"/>
      <c r="AY641" s="736"/>
      <c r="AZ641" s="736"/>
      <c r="BA641" s="736"/>
      <c r="BB641" s="736"/>
      <c r="BC641" s="736"/>
      <c r="BD641" s="736"/>
      <c r="BE641" s="736"/>
      <c r="BF641" s="736"/>
      <c r="BG641" s="736"/>
      <c r="BH641" s="736"/>
      <c r="BI641" s="736"/>
      <c r="BJ641" s="736"/>
      <c r="BK641" s="736"/>
      <c r="BL641" s="736"/>
    </row>
    <row r="642" spans="1:64" ht="18.75" x14ac:dyDescent="0.25">
      <c r="A642" s="758"/>
      <c r="B642" s="737"/>
      <c r="C642" s="730"/>
      <c r="D642" s="739"/>
      <c r="E642" s="765"/>
      <c r="F642" s="765"/>
      <c r="G642" s="765"/>
      <c r="H642" s="765"/>
      <c r="I642" s="746" t="str">
        <f t="shared" si="28"/>
        <v/>
      </c>
      <c r="J642" s="731"/>
      <c r="K642" s="731" t="str">
        <f t="shared" si="27"/>
        <v/>
      </c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32"/>
      <c r="AB642" s="732"/>
      <c r="AC642" s="732"/>
      <c r="AD642" s="732"/>
      <c r="AE642" s="733"/>
      <c r="AF642" s="734" t="str">
        <f t="shared" si="29"/>
        <v/>
      </c>
      <c r="AG642" s="774"/>
      <c r="AH642" s="778"/>
      <c r="AI642" s="736"/>
      <c r="AJ642" s="736"/>
      <c r="AK642" s="736"/>
      <c r="AL642" s="736"/>
      <c r="AM642" s="736"/>
      <c r="AN642" s="736"/>
      <c r="AO642" s="736"/>
      <c r="AP642" s="736"/>
      <c r="AQ642" s="736"/>
      <c r="AR642" s="736"/>
      <c r="AS642" s="736"/>
      <c r="AT642" s="736"/>
      <c r="AU642" s="736"/>
      <c r="AV642" s="736"/>
      <c r="AW642" s="736"/>
      <c r="AX642" s="736"/>
      <c r="AY642" s="736"/>
      <c r="AZ642" s="736"/>
      <c r="BA642" s="736"/>
      <c r="BB642" s="736"/>
      <c r="BC642" s="736"/>
      <c r="BD642" s="736"/>
      <c r="BE642" s="736"/>
      <c r="BF642" s="736"/>
      <c r="BG642" s="736"/>
      <c r="BH642" s="736"/>
      <c r="BI642" s="736"/>
      <c r="BJ642" s="736"/>
      <c r="BK642" s="736"/>
      <c r="BL642" s="736"/>
    </row>
    <row r="643" spans="1:64" ht="18.75" x14ac:dyDescent="0.25">
      <c r="A643" s="758"/>
      <c r="B643" s="737"/>
      <c r="C643" s="730"/>
      <c r="D643" s="739"/>
      <c r="E643" s="765"/>
      <c r="F643" s="765"/>
      <c r="G643" s="765"/>
      <c r="H643" s="765"/>
      <c r="I643" s="746" t="str">
        <f t="shared" si="28"/>
        <v/>
      </c>
      <c r="J643" s="731"/>
      <c r="K643" s="731" t="str">
        <f t="shared" si="27"/>
        <v/>
      </c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32"/>
      <c r="AB643" s="732"/>
      <c r="AC643" s="732"/>
      <c r="AD643" s="732"/>
      <c r="AE643" s="733"/>
      <c r="AF643" s="734" t="str">
        <f t="shared" si="29"/>
        <v/>
      </c>
      <c r="AG643" s="773"/>
    </row>
    <row r="644" spans="1:64" ht="18.75" x14ac:dyDescent="0.25">
      <c r="A644" s="758"/>
      <c r="B644" s="737"/>
      <c r="C644" s="730"/>
      <c r="D644" s="739"/>
      <c r="E644" s="765"/>
      <c r="F644" s="765"/>
      <c r="G644" s="765"/>
      <c r="H644" s="765"/>
      <c r="I644" s="746" t="str">
        <f t="shared" si="28"/>
        <v/>
      </c>
      <c r="J644" s="731"/>
      <c r="K644" s="731" t="str">
        <f t="shared" ref="K644:K707" si="30">IF(AA644-AE644 = 0,"",AA644-AE644)</f>
        <v/>
      </c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32"/>
      <c r="AB644" s="732"/>
      <c r="AC644" s="732"/>
      <c r="AD644" s="732"/>
      <c r="AE644" s="733"/>
      <c r="AF644" s="734" t="str">
        <f t="shared" si="29"/>
        <v/>
      </c>
      <c r="AG644" s="773"/>
    </row>
    <row r="645" spans="1:64" ht="18.75" x14ac:dyDescent="0.25">
      <c r="A645" s="758"/>
      <c r="B645" s="737"/>
      <c r="C645" s="730"/>
      <c r="D645" s="739"/>
      <c r="E645" s="765"/>
      <c r="F645" s="765"/>
      <c r="G645" s="765"/>
      <c r="H645" s="765"/>
      <c r="I645" s="746" t="str">
        <f t="shared" ref="I645:I708" si="31">AF645</f>
        <v/>
      </c>
      <c r="J645" s="731"/>
      <c r="K645" s="731" t="str">
        <f t="shared" si="30"/>
        <v/>
      </c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32"/>
      <c r="AB645" s="732"/>
      <c r="AC645" s="732"/>
      <c r="AD645" s="732"/>
      <c r="AE645" s="733"/>
      <c r="AF645" s="734" t="str">
        <f t="shared" ref="AF645:AF708" si="32">IF(AE645 &lt;&gt;"", AE645/AA645,"")</f>
        <v/>
      </c>
      <c r="AG645" s="773"/>
    </row>
    <row r="646" spans="1:64" ht="18.75" x14ac:dyDescent="0.25">
      <c r="A646" s="758"/>
      <c r="B646" s="737"/>
      <c r="C646" s="730"/>
      <c r="D646" s="739"/>
      <c r="E646" s="765"/>
      <c r="F646" s="765"/>
      <c r="G646" s="765"/>
      <c r="H646" s="765"/>
      <c r="I646" s="746" t="str">
        <f t="shared" si="31"/>
        <v/>
      </c>
      <c r="J646" s="731"/>
      <c r="K646" s="731" t="str">
        <f t="shared" si="30"/>
        <v/>
      </c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32"/>
      <c r="AB646" s="732"/>
      <c r="AC646" s="732"/>
      <c r="AD646" s="732"/>
      <c r="AE646" s="733"/>
      <c r="AF646" s="734" t="str">
        <f t="shared" si="32"/>
        <v/>
      </c>
      <c r="AG646" s="774"/>
      <c r="AH646" s="778"/>
      <c r="AI646" s="736"/>
      <c r="AJ646" s="736"/>
      <c r="AK646" s="736"/>
      <c r="AL646" s="736"/>
      <c r="AM646" s="736"/>
      <c r="AN646" s="736"/>
      <c r="AO646" s="736"/>
      <c r="AP646" s="736"/>
      <c r="AQ646" s="736"/>
      <c r="AR646" s="736"/>
      <c r="AS646" s="736"/>
      <c r="AT646" s="736"/>
      <c r="AU646" s="736"/>
      <c r="AV646" s="736"/>
      <c r="AW646" s="736"/>
      <c r="AX646" s="736"/>
      <c r="AY646" s="736"/>
      <c r="AZ646" s="736"/>
      <c r="BA646" s="736"/>
      <c r="BB646" s="736"/>
      <c r="BC646" s="736"/>
      <c r="BD646" s="736"/>
      <c r="BE646" s="736"/>
      <c r="BF646" s="736"/>
      <c r="BG646" s="736"/>
      <c r="BH646" s="736"/>
      <c r="BI646" s="736"/>
      <c r="BJ646" s="736"/>
      <c r="BK646" s="736"/>
      <c r="BL646" s="736"/>
    </row>
    <row r="647" spans="1:64" ht="18.75" x14ac:dyDescent="0.25">
      <c r="A647" s="758"/>
      <c r="B647" s="737"/>
      <c r="C647" s="730"/>
      <c r="D647" s="739"/>
      <c r="E647" s="765"/>
      <c r="F647" s="765"/>
      <c r="G647" s="765"/>
      <c r="H647" s="765"/>
      <c r="I647" s="746" t="str">
        <f t="shared" si="31"/>
        <v/>
      </c>
      <c r="J647" s="731"/>
      <c r="K647" s="731" t="str">
        <f t="shared" si="30"/>
        <v/>
      </c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32"/>
      <c r="AB647" s="732"/>
      <c r="AC647" s="732"/>
      <c r="AD647" s="732"/>
      <c r="AE647" s="733"/>
      <c r="AF647" s="734" t="str">
        <f t="shared" si="32"/>
        <v/>
      </c>
      <c r="AG647" s="773"/>
    </row>
    <row r="648" spans="1:64" ht="18.75" x14ac:dyDescent="0.25">
      <c r="A648" s="758"/>
      <c r="B648" s="737"/>
      <c r="C648" s="730"/>
      <c r="D648" s="739"/>
      <c r="E648" s="765"/>
      <c r="F648" s="765"/>
      <c r="G648" s="765"/>
      <c r="H648" s="765"/>
      <c r="I648" s="746" t="str">
        <f t="shared" si="31"/>
        <v/>
      </c>
      <c r="J648" s="731"/>
      <c r="K648" s="731" t="str">
        <f t="shared" si="30"/>
        <v/>
      </c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32"/>
      <c r="AB648" s="732"/>
      <c r="AC648" s="732"/>
      <c r="AD648" s="732"/>
      <c r="AE648" s="733"/>
      <c r="AF648" s="734" t="str">
        <f t="shared" si="32"/>
        <v/>
      </c>
      <c r="AG648" s="773"/>
    </row>
    <row r="649" spans="1:64" ht="18.75" x14ac:dyDescent="0.25">
      <c r="A649" s="758"/>
      <c r="B649" s="737"/>
      <c r="C649" s="730"/>
      <c r="D649" s="739"/>
      <c r="E649" s="765"/>
      <c r="F649" s="765"/>
      <c r="G649" s="765"/>
      <c r="H649" s="765"/>
      <c r="I649" s="746" t="str">
        <f t="shared" si="31"/>
        <v/>
      </c>
      <c r="J649" s="731"/>
      <c r="K649" s="731" t="str">
        <f t="shared" si="30"/>
        <v/>
      </c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32"/>
      <c r="AB649" s="732"/>
      <c r="AC649" s="732"/>
      <c r="AD649" s="732"/>
      <c r="AE649" s="733"/>
      <c r="AF649" s="734" t="str">
        <f t="shared" si="32"/>
        <v/>
      </c>
      <c r="AG649" s="773"/>
    </row>
    <row r="650" spans="1:64" ht="18.75" x14ac:dyDescent="0.25">
      <c r="A650" s="758"/>
      <c r="B650" s="737"/>
      <c r="C650" s="730"/>
      <c r="D650" s="739"/>
      <c r="E650" s="765"/>
      <c r="F650" s="765"/>
      <c r="G650" s="765"/>
      <c r="H650" s="765"/>
      <c r="I650" s="746" t="str">
        <f t="shared" si="31"/>
        <v/>
      </c>
      <c r="J650" s="731"/>
      <c r="K650" s="731" t="str">
        <f t="shared" si="30"/>
        <v/>
      </c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32"/>
      <c r="AB650" s="732"/>
      <c r="AC650" s="732"/>
      <c r="AD650" s="732"/>
      <c r="AE650" s="733"/>
      <c r="AF650" s="734" t="str">
        <f t="shared" si="32"/>
        <v/>
      </c>
      <c r="AG650" s="773"/>
    </row>
    <row r="651" spans="1:64" ht="18.75" x14ac:dyDescent="0.25">
      <c r="A651" s="758"/>
      <c r="B651" s="737"/>
      <c r="C651" s="730"/>
      <c r="D651" s="739"/>
      <c r="E651" s="765"/>
      <c r="F651" s="765"/>
      <c r="G651" s="765"/>
      <c r="H651" s="765"/>
      <c r="I651" s="746" t="str">
        <f t="shared" si="31"/>
        <v/>
      </c>
      <c r="J651" s="731"/>
      <c r="K651" s="731" t="str">
        <f t="shared" si="30"/>
        <v/>
      </c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32"/>
      <c r="AB651" s="732"/>
      <c r="AC651" s="732"/>
      <c r="AD651" s="732"/>
      <c r="AE651" s="733"/>
      <c r="AF651" s="734" t="str">
        <f t="shared" si="32"/>
        <v/>
      </c>
      <c r="AG651" s="773"/>
    </row>
    <row r="652" spans="1:64" ht="18.75" x14ac:dyDescent="0.25">
      <c r="A652" s="758"/>
      <c r="B652" s="737"/>
      <c r="C652" s="730"/>
      <c r="D652" s="739"/>
      <c r="E652" s="765"/>
      <c r="F652" s="765"/>
      <c r="G652" s="765"/>
      <c r="H652" s="765"/>
      <c r="I652" s="746" t="str">
        <f t="shared" si="31"/>
        <v/>
      </c>
      <c r="J652" s="731"/>
      <c r="K652" s="731" t="str">
        <f t="shared" si="30"/>
        <v/>
      </c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32"/>
      <c r="AB652" s="732"/>
      <c r="AC652" s="732"/>
      <c r="AD652" s="732"/>
      <c r="AE652" s="733"/>
      <c r="AF652" s="734" t="str">
        <f t="shared" si="32"/>
        <v/>
      </c>
      <c r="AG652" s="773"/>
    </row>
    <row r="653" spans="1:64" ht="18.75" x14ac:dyDescent="0.25">
      <c r="A653" s="758"/>
      <c r="B653" s="737"/>
      <c r="C653" s="730"/>
      <c r="D653" s="739"/>
      <c r="E653" s="765"/>
      <c r="F653" s="765"/>
      <c r="G653" s="765"/>
      <c r="H653" s="765"/>
      <c r="I653" s="746" t="str">
        <f t="shared" si="31"/>
        <v/>
      </c>
      <c r="J653" s="731"/>
      <c r="K653" s="731" t="str">
        <f t="shared" si="30"/>
        <v/>
      </c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32"/>
      <c r="AB653" s="732"/>
      <c r="AC653" s="732"/>
      <c r="AD653" s="732"/>
      <c r="AE653" s="733"/>
      <c r="AF653" s="734" t="str">
        <f t="shared" si="32"/>
        <v/>
      </c>
      <c r="AG653" s="773"/>
    </row>
    <row r="654" spans="1:64" ht="18.75" x14ac:dyDescent="0.25">
      <c r="A654" s="758"/>
      <c r="B654" s="737"/>
      <c r="C654" s="730"/>
      <c r="D654" s="739"/>
      <c r="E654" s="765"/>
      <c r="F654" s="765"/>
      <c r="G654" s="765"/>
      <c r="H654" s="765"/>
      <c r="I654" s="746" t="str">
        <f t="shared" si="31"/>
        <v/>
      </c>
      <c r="J654" s="731"/>
      <c r="K654" s="731" t="str">
        <f t="shared" si="30"/>
        <v/>
      </c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32"/>
      <c r="AB654" s="732"/>
      <c r="AC654" s="732"/>
      <c r="AD654" s="732"/>
      <c r="AE654" s="733"/>
      <c r="AF654" s="734" t="str">
        <f t="shared" si="32"/>
        <v/>
      </c>
      <c r="AG654" s="773"/>
    </row>
    <row r="655" spans="1:64" ht="18.75" x14ac:dyDescent="0.25">
      <c r="A655" s="758"/>
      <c r="B655" s="737"/>
      <c r="C655" s="730"/>
      <c r="D655" s="739"/>
      <c r="E655" s="765"/>
      <c r="F655" s="765"/>
      <c r="G655" s="765"/>
      <c r="H655" s="765"/>
      <c r="I655" s="746" t="str">
        <f t="shared" si="31"/>
        <v/>
      </c>
      <c r="J655" s="731"/>
      <c r="K655" s="731" t="str">
        <f t="shared" si="30"/>
        <v/>
      </c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32"/>
      <c r="AB655" s="732"/>
      <c r="AC655" s="732"/>
      <c r="AD655" s="732"/>
      <c r="AE655" s="733"/>
      <c r="AF655" s="734" t="str">
        <f t="shared" si="32"/>
        <v/>
      </c>
      <c r="AG655" s="773"/>
    </row>
    <row r="656" spans="1:64" ht="18.75" x14ac:dyDescent="0.25">
      <c r="A656" s="758"/>
      <c r="B656" s="737"/>
      <c r="C656" s="730"/>
      <c r="D656" s="739"/>
      <c r="E656" s="765"/>
      <c r="F656" s="765"/>
      <c r="G656" s="765"/>
      <c r="H656" s="765"/>
      <c r="I656" s="746" t="str">
        <f t="shared" si="31"/>
        <v/>
      </c>
      <c r="J656" s="731"/>
      <c r="K656" s="731" t="str">
        <f t="shared" si="30"/>
        <v/>
      </c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32"/>
      <c r="AB656" s="732"/>
      <c r="AC656" s="732"/>
      <c r="AD656" s="732"/>
      <c r="AE656" s="733"/>
      <c r="AF656" s="734" t="str">
        <f t="shared" si="32"/>
        <v/>
      </c>
      <c r="AG656" s="773"/>
    </row>
    <row r="657" spans="1:64" ht="18.75" x14ac:dyDescent="0.25">
      <c r="A657" s="758"/>
      <c r="B657" s="737"/>
      <c r="C657" s="730"/>
      <c r="D657" s="739"/>
      <c r="E657" s="765"/>
      <c r="F657" s="765"/>
      <c r="G657" s="765"/>
      <c r="H657" s="765"/>
      <c r="I657" s="746" t="str">
        <f t="shared" si="31"/>
        <v/>
      </c>
      <c r="J657" s="731"/>
      <c r="K657" s="731" t="str">
        <f t="shared" si="30"/>
        <v/>
      </c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32"/>
      <c r="AB657" s="732"/>
      <c r="AC657" s="732"/>
      <c r="AD657" s="732"/>
      <c r="AE657" s="733"/>
      <c r="AF657" s="734" t="str">
        <f t="shared" si="32"/>
        <v/>
      </c>
      <c r="AG657" s="773"/>
    </row>
    <row r="658" spans="1:64" ht="19.5" customHeight="1" x14ac:dyDescent="0.25">
      <c r="A658" s="758"/>
      <c r="B658" s="737"/>
      <c r="C658" s="730"/>
      <c r="D658" s="739"/>
      <c r="E658" s="765"/>
      <c r="F658" s="765"/>
      <c r="G658" s="765"/>
      <c r="H658" s="765"/>
      <c r="I658" s="746" t="str">
        <f t="shared" si="31"/>
        <v/>
      </c>
      <c r="J658" s="731"/>
      <c r="K658" s="731" t="str">
        <f t="shared" si="30"/>
        <v/>
      </c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32"/>
      <c r="AB658" s="732"/>
      <c r="AC658" s="732"/>
      <c r="AD658" s="732"/>
      <c r="AE658" s="733"/>
      <c r="AF658" s="734" t="str">
        <f t="shared" si="32"/>
        <v/>
      </c>
      <c r="AG658" s="773"/>
    </row>
    <row r="659" spans="1:64" ht="18.75" x14ac:dyDescent="0.25">
      <c r="A659" s="758"/>
      <c r="B659" s="737"/>
      <c r="C659" s="730"/>
      <c r="D659" s="739"/>
      <c r="E659" s="765"/>
      <c r="F659" s="765"/>
      <c r="G659" s="765"/>
      <c r="H659" s="765"/>
      <c r="I659" s="746" t="str">
        <f t="shared" si="31"/>
        <v/>
      </c>
      <c r="J659" s="731"/>
      <c r="K659" s="731" t="str">
        <f t="shared" si="30"/>
        <v/>
      </c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32"/>
      <c r="AB659" s="732"/>
      <c r="AC659" s="732"/>
      <c r="AD659" s="732"/>
      <c r="AE659" s="733"/>
      <c r="AF659" s="734" t="str">
        <f t="shared" si="32"/>
        <v/>
      </c>
      <c r="AG659" s="773"/>
    </row>
    <row r="660" spans="1:64" ht="18.75" x14ac:dyDescent="0.25">
      <c r="A660" s="758"/>
      <c r="B660" s="737"/>
      <c r="C660" s="730"/>
      <c r="D660" s="739"/>
      <c r="E660" s="765"/>
      <c r="F660" s="765"/>
      <c r="G660" s="765"/>
      <c r="H660" s="765"/>
      <c r="I660" s="746" t="str">
        <f t="shared" si="31"/>
        <v/>
      </c>
      <c r="J660" s="731"/>
      <c r="K660" s="731" t="str">
        <f t="shared" si="30"/>
        <v/>
      </c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32"/>
      <c r="AB660" s="732"/>
      <c r="AC660" s="732"/>
      <c r="AD660" s="732"/>
      <c r="AE660" s="733"/>
      <c r="AF660" s="734" t="str">
        <f t="shared" si="32"/>
        <v/>
      </c>
      <c r="AG660" s="773"/>
    </row>
    <row r="661" spans="1:64" ht="19.5" customHeight="1" x14ac:dyDescent="0.25">
      <c r="A661" s="758"/>
      <c r="B661" s="737"/>
      <c r="C661" s="730"/>
      <c r="D661" s="739"/>
      <c r="E661" s="765"/>
      <c r="F661" s="765"/>
      <c r="G661" s="765"/>
      <c r="H661" s="765"/>
      <c r="I661" s="746" t="str">
        <f t="shared" si="31"/>
        <v/>
      </c>
      <c r="J661" s="731"/>
      <c r="K661" s="731" t="str">
        <f t="shared" si="30"/>
        <v/>
      </c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32"/>
      <c r="AB661" s="732"/>
      <c r="AC661" s="732"/>
      <c r="AD661" s="732"/>
      <c r="AE661" s="733"/>
      <c r="AF661" s="734" t="str">
        <f t="shared" si="32"/>
        <v/>
      </c>
      <c r="AG661" s="775"/>
      <c r="AH661" s="779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</row>
    <row r="662" spans="1:64" ht="19.5" customHeight="1" x14ac:dyDescent="0.25">
      <c r="A662" s="758"/>
      <c r="B662" s="737"/>
      <c r="C662" s="730"/>
      <c r="D662" s="739"/>
      <c r="E662" s="765"/>
      <c r="F662" s="765"/>
      <c r="G662" s="765"/>
      <c r="H662" s="765"/>
      <c r="I662" s="746" t="str">
        <f t="shared" si="31"/>
        <v/>
      </c>
      <c r="J662" s="731"/>
      <c r="K662" s="731" t="str">
        <f t="shared" si="30"/>
        <v/>
      </c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32"/>
      <c r="AB662" s="732"/>
      <c r="AC662" s="732"/>
      <c r="AD662" s="732"/>
      <c r="AE662" s="733"/>
      <c r="AF662" s="734" t="str">
        <f t="shared" si="32"/>
        <v/>
      </c>
      <c r="AG662" s="775"/>
      <c r="AH662" s="779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</row>
    <row r="663" spans="1:64" ht="18.75" x14ac:dyDescent="0.25">
      <c r="A663" s="758"/>
      <c r="B663" s="737"/>
      <c r="C663" s="730"/>
      <c r="D663" s="739"/>
      <c r="E663" s="765"/>
      <c r="F663" s="765"/>
      <c r="G663" s="765"/>
      <c r="H663" s="765"/>
      <c r="I663" s="746" t="str">
        <f t="shared" si="31"/>
        <v/>
      </c>
      <c r="J663" s="731"/>
      <c r="K663" s="731" t="str">
        <f t="shared" si="30"/>
        <v/>
      </c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32"/>
      <c r="AB663" s="732"/>
      <c r="AC663" s="732"/>
      <c r="AD663" s="732"/>
      <c r="AE663" s="733"/>
      <c r="AF663" s="734" t="str">
        <f t="shared" si="32"/>
        <v/>
      </c>
      <c r="AG663" s="773"/>
    </row>
    <row r="664" spans="1:64" ht="18.75" x14ac:dyDescent="0.25">
      <c r="A664" s="758"/>
      <c r="B664" s="737"/>
      <c r="C664" s="730"/>
      <c r="D664" s="739"/>
      <c r="E664" s="765"/>
      <c r="F664" s="765"/>
      <c r="G664" s="765"/>
      <c r="H664" s="765"/>
      <c r="I664" s="746" t="str">
        <f t="shared" si="31"/>
        <v/>
      </c>
      <c r="J664" s="731"/>
      <c r="K664" s="731" t="str">
        <f t="shared" si="30"/>
        <v/>
      </c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32"/>
      <c r="AB664" s="732"/>
      <c r="AC664" s="732"/>
      <c r="AD664" s="732"/>
      <c r="AE664" s="733"/>
      <c r="AF664" s="734" t="str">
        <f t="shared" si="32"/>
        <v/>
      </c>
      <c r="AG664" s="773"/>
    </row>
    <row r="665" spans="1:64" ht="18.75" x14ac:dyDescent="0.25">
      <c r="A665" s="758"/>
      <c r="B665" s="737"/>
      <c r="C665" s="730"/>
      <c r="D665" s="739"/>
      <c r="E665" s="765"/>
      <c r="F665" s="765"/>
      <c r="G665" s="765"/>
      <c r="H665" s="765"/>
      <c r="I665" s="746" t="str">
        <f t="shared" si="31"/>
        <v/>
      </c>
      <c r="J665" s="731"/>
      <c r="K665" s="731" t="str">
        <f t="shared" si="30"/>
        <v/>
      </c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32"/>
      <c r="AB665" s="732"/>
      <c r="AC665" s="732"/>
      <c r="AD665" s="732"/>
      <c r="AE665" s="733"/>
      <c r="AF665" s="734" t="str">
        <f t="shared" si="32"/>
        <v/>
      </c>
      <c r="AG665" s="773"/>
    </row>
    <row r="666" spans="1:64" ht="18.75" x14ac:dyDescent="0.25">
      <c r="A666" s="758"/>
      <c r="B666" s="737"/>
      <c r="C666" s="730"/>
      <c r="D666" s="739"/>
      <c r="E666" s="765"/>
      <c r="F666" s="765"/>
      <c r="G666" s="765"/>
      <c r="H666" s="765"/>
      <c r="I666" s="746" t="str">
        <f t="shared" si="31"/>
        <v/>
      </c>
      <c r="J666" s="731"/>
      <c r="K666" s="731" t="str">
        <f t="shared" si="30"/>
        <v/>
      </c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32"/>
      <c r="AB666" s="732"/>
      <c r="AC666" s="732"/>
      <c r="AD666" s="732"/>
      <c r="AE666" s="733"/>
      <c r="AF666" s="734" t="str">
        <f t="shared" si="32"/>
        <v/>
      </c>
      <c r="AG666" s="773"/>
    </row>
    <row r="667" spans="1:64" ht="18.75" x14ac:dyDescent="0.25">
      <c r="A667" s="758"/>
      <c r="B667" s="737"/>
      <c r="C667" s="730"/>
      <c r="D667" s="739"/>
      <c r="E667" s="765"/>
      <c r="F667" s="765"/>
      <c r="G667" s="765"/>
      <c r="H667" s="765"/>
      <c r="I667" s="746" t="str">
        <f t="shared" si="31"/>
        <v/>
      </c>
      <c r="J667" s="731"/>
      <c r="K667" s="731" t="str">
        <f t="shared" si="30"/>
        <v/>
      </c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32"/>
      <c r="AB667" s="732"/>
      <c r="AC667" s="732"/>
      <c r="AD667" s="732"/>
      <c r="AE667" s="733"/>
      <c r="AF667" s="734" t="str">
        <f t="shared" si="32"/>
        <v/>
      </c>
      <c r="AG667" s="773"/>
    </row>
    <row r="668" spans="1:64" ht="18.75" x14ac:dyDescent="0.25">
      <c r="A668" s="758"/>
      <c r="B668" s="737"/>
      <c r="C668" s="730"/>
      <c r="D668" s="739"/>
      <c r="E668" s="765"/>
      <c r="F668" s="765"/>
      <c r="G668" s="765"/>
      <c r="H668" s="765"/>
      <c r="I668" s="746" t="str">
        <f t="shared" si="31"/>
        <v/>
      </c>
      <c r="J668" s="731"/>
      <c r="K668" s="731" t="str">
        <f t="shared" si="30"/>
        <v/>
      </c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32"/>
      <c r="AB668" s="732"/>
      <c r="AC668" s="732"/>
      <c r="AD668" s="732"/>
      <c r="AE668" s="733"/>
      <c r="AF668" s="734" t="str">
        <f t="shared" si="32"/>
        <v/>
      </c>
      <c r="AG668" s="773"/>
    </row>
    <row r="669" spans="1:64" ht="18.75" x14ac:dyDescent="0.25">
      <c r="A669" s="758"/>
      <c r="B669" s="737"/>
      <c r="C669" s="730"/>
      <c r="D669" s="739"/>
      <c r="E669" s="765"/>
      <c r="F669" s="765"/>
      <c r="G669" s="765"/>
      <c r="H669" s="765"/>
      <c r="I669" s="746" t="str">
        <f t="shared" si="31"/>
        <v/>
      </c>
      <c r="J669" s="731"/>
      <c r="K669" s="731" t="str">
        <f t="shared" si="30"/>
        <v/>
      </c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32"/>
      <c r="AB669" s="732"/>
      <c r="AC669" s="732"/>
      <c r="AD669" s="732"/>
      <c r="AE669" s="733"/>
      <c r="AF669" s="734" t="str">
        <f t="shared" si="32"/>
        <v/>
      </c>
      <c r="AG669" s="775"/>
      <c r="AH669" s="779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</row>
    <row r="670" spans="1:64" ht="18.75" x14ac:dyDescent="0.25">
      <c r="A670" s="758"/>
      <c r="B670" s="737"/>
      <c r="C670" s="730"/>
      <c r="D670" s="739"/>
      <c r="E670" s="765"/>
      <c r="F670" s="765"/>
      <c r="G670" s="765"/>
      <c r="H670" s="765"/>
      <c r="I670" s="746" t="str">
        <f t="shared" si="31"/>
        <v/>
      </c>
      <c r="J670" s="731"/>
      <c r="K670" s="731" t="str">
        <f t="shared" si="30"/>
        <v/>
      </c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32"/>
      <c r="AB670" s="732"/>
      <c r="AC670" s="732"/>
      <c r="AD670" s="732"/>
      <c r="AE670" s="733"/>
      <c r="AF670" s="734" t="str">
        <f t="shared" si="32"/>
        <v/>
      </c>
      <c r="AG670" s="773"/>
    </row>
    <row r="671" spans="1:64" ht="18.75" x14ac:dyDescent="0.25">
      <c r="A671" s="758"/>
      <c r="B671" s="737"/>
      <c r="C671" s="730"/>
      <c r="D671" s="739"/>
      <c r="E671" s="765"/>
      <c r="F671" s="765"/>
      <c r="G671" s="765"/>
      <c r="H671" s="765"/>
      <c r="I671" s="746" t="str">
        <f t="shared" si="31"/>
        <v/>
      </c>
      <c r="J671" s="731"/>
      <c r="K671" s="731" t="str">
        <f t="shared" si="30"/>
        <v/>
      </c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32"/>
      <c r="AB671" s="732"/>
      <c r="AC671" s="732"/>
      <c r="AD671" s="732"/>
      <c r="AE671" s="733"/>
      <c r="AF671" s="734" t="str">
        <f t="shared" si="32"/>
        <v/>
      </c>
      <c r="AG671" s="773"/>
    </row>
    <row r="672" spans="1:64" ht="18.75" x14ac:dyDescent="0.25">
      <c r="A672" s="758"/>
      <c r="B672" s="737"/>
      <c r="C672" s="730"/>
      <c r="D672" s="739"/>
      <c r="E672" s="765"/>
      <c r="F672" s="765"/>
      <c r="G672" s="765"/>
      <c r="H672" s="765"/>
      <c r="I672" s="746" t="str">
        <f t="shared" si="31"/>
        <v/>
      </c>
      <c r="J672" s="731"/>
      <c r="K672" s="731" t="str">
        <f t="shared" si="30"/>
        <v/>
      </c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32"/>
      <c r="AB672" s="732"/>
      <c r="AC672" s="732"/>
      <c r="AD672" s="732"/>
      <c r="AE672" s="733"/>
      <c r="AF672" s="734" t="str">
        <f t="shared" si="32"/>
        <v/>
      </c>
      <c r="AG672" s="773"/>
    </row>
    <row r="673" spans="1:64" ht="18.75" x14ac:dyDescent="0.25">
      <c r="A673" s="758"/>
      <c r="B673" s="737"/>
      <c r="C673" s="730"/>
      <c r="D673" s="739"/>
      <c r="E673" s="765"/>
      <c r="F673" s="765"/>
      <c r="G673" s="765"/>
      <c r="H673" s="765"/>
      <c r="I673" s="746" t="str">
        <f t="shared" si="31"/>
        <v/>
      </c>
      <c r="J673" s="731"/>
      <c r="K673" s="731" t="str">
        <f t="shared" si="30"/>
        <v/>
      </c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32"/>
      <c r="AB673" s="732"/>
      <c r="AC673" s="732"/>
      <c r="AD673" s="732"/>
      <c r="AE673" s="733"/>
      <c r="AF673" s="734" t="str">
        <f t="shared" si="32"/>
        <v/>
      </c>
      <c r="AG673" s="773"/>
    </row>
    <row r="674" spans="1:64" ht="18.75" x14ac:dyDescent="0.25">
      <c r="A674" s="758"/>
      <c r="B674" s="737"/>
      <c r="C674" s="730"/>
      <c r="D674" s="739"/>
      <c r="E674" s="765"/>
      <c r="F674" s="765"/>
      <c r="G674" s="765"/>
      <c r="H674" s="765"/>
      <c r="I674" s="746" t="str">
        <f t="shared" si="31"/>
        <v/>
      </c>
      <c r="J674" s="731"/>
      <c r="K674" s="731" t="str">
        <f t="shared" si="30"/>
        <v/>
      </c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32"/>
      <c r="AB674" s="732"/>
      <c r="AC674" s="732"/>
      <c r="AD674" s="732"/>
      <c r="AE674" s="733"/>
      <c r="AF674" s="734" t="str">
        <f t="shared" si="32"/>
        <v/>
      </c>
      <c r="AG674" s="773"/>
    </row>
    <row r="675" spans="1:64" ht="19.5" customHeight="1" x14ac:dyDescent="0.25">
      <c r="A675" s="758"/>
      <c r="B675" s="737"/>
      <c r="C675" s="730"/>
      <c r="D675" s="739"/>
      <c r="E675" s="765"/>
      <c r="F675" s="765"/>
      <c r="G675" s="765"/>
      <c r="H675" s="765"/>
      <c r="I675" s="746" t="str">
        <f t="shared" si="31"/>
        <v/>
      </c>
      <c r="J675" s="731"/>
      <c r="K675" s="731" t="str">
        <f t="shared" si="30"/>
        <v/>
      </c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32"/>
      <c r="AB675" s="732"/>
      <c r="AC675" s="732"/>
      <c r="AD675" s="732"/>
      <c r="AE675" s="733"/>
      <c r="AF675" s="734" t="str">
        <f t="shared" si="32"/>
        <v/>
      </c>
      <c r="AG675" s="775"/>
      <c r="AH675" s="779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</row>
    <row r="676" spans="1:64" ht="19.5" customHeight="1" x14ac:dyDescent="0.25">
      <c r="A676" s="758"/>
      <c r="B676" s="737"/>
      <c r="C676" s="730"/>
      <c r="D676" s="739"/>
      <c r="E676" s="765"/>
      <c r="F676" s="765"/>
      <c r="G676" s="765"/>
      <c r="H676" s="765"/>
      <c r="I676" s="746" t="str">
        <f t="shared" si="31"/>
        <v/>
      </c>
      <c r="J676" s="731"/>
      <c r="K676" s="731" t="str">
        <f t="shared" si="30"/>
        <v/>
      </c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32"/>
      <c r="AB676" s="732"/>
      <c r="AC676" s="732"/>
      <c r="AD676" s="732"/>
      <c r="AE676" s="733"/>
      <c r="AF676" s="734" t="str">
        <f t="shared" si="32"/>
        <v/>
      </c>
      <c r="AG676" s="775"/>
      <c r="AH676" s="779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</row>
    <row r="677" spans="1:64" ht="18.75" x14ac:dyDescent="0.25">
      <c r="A677" s="758"/>
      <c r="B677" s="737"/>
      <c r="C677" s="730"/>
      <c r="D677" s="739"/>
      <c r="E677" s="765"/>
      <c r="F677" s="765"/>
      <c r="G677" s="765"/>
      <c r="H677" s="765"/>
      <c r="I677" s="746" t="str">
        <f t="shared" si="31"/>
        <v/>
      </c>
      <c r="J677" s="731"/>
      <c r="K677" s="731" t="str">
        <f t="shared" si="30"/>
        <v/>
      </c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32"/>
      <c r="AB677" s="732"/>
      <c r="AC677" s="732"/>
      <c r="AD677" s="732"/>
      <c r="AE677" s="733"/>
      <c r="AF677" s="734" t="str">
        <f t="shared" si="32"/>
        <v/>
      </c>
      <c r="AG677" s="773"/>
    </row>
    <row r="678" spans="1:64" ht="18.75" x14ac:dyDescent="0.25">
      <c r="A678" s="758"/>
      <c r="B678" s="737"/>
      <c r="C678" s="730"/>
      <c r="D678" s="739"/>
      <c r="E678" s="765"/>
      <c r="F678" s="765"/>
      <c r="G678" s="765"/>
      <c r="H678" s="765"/>
      <c r="I678" s="746" t="str">
        <f t="shared" si="31"/>
        <v/>
      </c>
      <c r="J678" s="731"/>
      <c r="K678" s="731" t="str">
        <f t="shared" si="30"/>
        <v/>
      </c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32"/>
      <c r="AB678" s="732"/>
      <c r="AC678" s="732"/>
      <c r="AD678" s="732"/>
      <c r="AE678" s="733"/>
      <c r="AF678" s="734" t="str">
        <f t="shared" si="32"/>
        <v/>
      </c>
      <c r="AG678" s="773"/>
    </row>
    <row r="679" spans="1:64" ht="18.75" x14ac:dyDescent="0.25">
      <c r="A679" s="758"/>
      <c r="B679" s="737"/>
      <c r="C679" s="730"/>
      <c r="D679" s="739"/>
      <c r="E679" s="765"/>
      <c r="F679" s="765"/>
      <c r="G679" s="765"/>
      <c r="H679" s="765"/>
      <c r="I679" s="746" t="str">
        <f t="shared" si="31"/>
        <v/>
      </c>
      <c r="J679" s="731"/>
      <c r="K679" s="731" t="str">
        <f t="shared" si="30"/>
        <v/>
      </c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32"/>
      <c r="AB679" s="732"/>
      <c r="AC679" s="732"/>
      <c r="AD679" s="732"/>
      <c r="AE679" s="733"/>
      <c r="AF679" s="734" t="str">
        <f t="shared" si="32"/>
        <v/>
      </c>
      <c r="AG679" s="773"/>
    </row>
    <row r="680" spans="1:64" ht="18.75" x14ac:dyDescent="0.25">
      <c r="A680" s="758"/>
      <c r="B680" s="737"/>
      <c r="C680" s="730"/>
      <c r="D680" s="739"/>
      <c r="E680" s="765"/>
      <c r="F680" s="765"/>
      <c r="G680" s="765"/>
      <c r="H680" s="765"/>
      <c r="I680" s="746" t="str">
        <f t="shared" si="31"/>
        <v/>
      </c>
      <c r="J680" s="731"/>
      <c r="K680" s="731" t="str">
        <f t="shared" si="30"/>
        <v/>
      </c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32"/>
      <c r="AB680" s="732"/>
      <c r="AC680" s="732"/>
      <c r="AD680" s="732"/>
      <c r="AE680" s="733"/>
      <c r="AF680" s="734" t="str">
        <f t="shared" si="32"/>
        <v/>
      </c>
      <c r="AG680" s="773"/>
    </row>
    <row r="681" spans="1:64" ht="18.75" x14ac:dyDescent="0.25">
      <c r="A681" s="758"/>
      <c r="B681" s="737"/>
      <c r="C681" s="730"/>
      <c r="D681" s="739"/>
      <c r="E681" s="765"/>
      <c r="F681" s="765"/>
      <c r="G681" s="765"/>
      <c r="H681" s="765"/>
      <c r="I681" s="746" t="str">
        <f t="shared" si="31"/>
        <v/>
      </c>
      <c r="J681" s="731"/>
      <c r="K681" s="731" t="str">
        <f t="shared" si="30"/>
        <v/>
      </c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32"/>
      <c r="AB681" s="732"/>
      <c r="AC681" s="732"/>
      <c r="AD681" s="732"/>
      <c r="AE681" s="733"/>
      <c r="AF681" s="734" t="str">
        <f t="shared" si="32"/>
        <v/>
      </c>
      <c r="AG681" s="773"/>
    </row>
    <row r="682" spans="1:64" ht="18.75" x14ac:dyDescent="0.25">
      <c r="A682" s="758"/>
      <c r="B682" s="737"/>
      <c r="C682" s="730"/>
      <c r="D682" s="739"/>
      <c r="E682" s="765"/>
      <c r="F682" s="765"/>
      <c r="G682" s="765"/>
      <c r="H682" s="765"/>
      <c r="I682" s="746" t="str">
        <f t="shared" si="31"/>
        <v/>
      </c>
      <c r="J682" s="731"/>
      <c r="K682" s="731" t="str">
        <f t="shared" si="30"/>
        <v/>
      </c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32"/>
      <c r="AB682" s="732"/>
      <c r="AC682" s="732"/>
      <c r="AD682" s="732"/>
      <c r="AE682" s="733"/>
      <c r="AF682" s="734" t="str">
        <f t="shared" si="32"/>
        <v/>
      </c>
      <c r="AG682" s="773"/>
    </row>
    <row r="683" spans="1:64" ht="18.75" x14ac:dyDescent="0.25">
      <c r="A683" s="758"/>
      <c r="B683" s="737"/>
      <c r="C683" s="730"/>
      <c r="D683" s="739"/>
      <c r="E683" s="765"/>
      <c r="F683" s="765"/>
      <c r="G683" s="765"/>
      <c r="H683" s="765"/>
      <c r="I683" s="746" t="str">
        <f t="shared" si="31"/>
        <v/>
      </c>
      <c r="J683" s="731"/>
      <c r="K683" s="731" t="str">
        <f t="shared" si="30"/>
        <v/>
      </c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32"/>
      <c r="AB683" s="732"/>
      <c r="AC683" s="732"/>
      <c r="AD683" s="732"/>
      <c r="AE683" s="733"/>
      <c r="AF683" s="734" t="str">
        <f t="shared" si="32"/>
        <v/>
      </c>
      <c r="AG683" s="775"/>
      <c r="AH683" s="779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</row>
    <row r="684" spans="1:64" ht="18.75" x14ac:dyDescent="0.25">
      <c r="A684" s="758"/>
      <c r="B684" s="737"/>
      <c r="C684" s="730"/>
      <c r="D684" s="739"/>
      <c r="E684" s="765"/>
      <c r="F684" s="765"/>
      <c r="G684" s="765"/>
      <c r="H684" s="765"/>
      <c r="I684" s="746" t="str">
        <f t="shared" si="31"/>
        <v/>
      </c>
      <c r="J684" s="731"/>
      <c r="K684" s="731" t="str">
        <f t="shared" si="30"/>
        <v/>
      </c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32"/>
      <c r="AB684" s="732"/>
      <c r="AC684" s="732"/>
      <c r="AD684" s="732"/>
      <c r="AE684" s="733"/>
      <c r="AF684" s="734" t="str">
        <f t="shared" si="32"/>
        <v/>
      </c>
      <c r="AG684" s="773"/>
    </row>
    <row r="685" spans="1:64" ht="18.75" x14ac:dyDescent="0.25">
      <c r="A685" s="758"/>
      <c r="B685" s="737"/>
      <c r="C685" s="730"/>
      <c r="D685" s="739"/>
      <c r="E685" s="765"/>
      <c r="F685" s="765"/>
      <c r="G685" s="765"/>
      <c r="H685" s="765"/>
      <c r="I685" s="746" t="str">
        <f t="shared" si="31"/>
        <v/>
      </c>
      <c r="J685" s="731"/>
      <c r="K685" s="731" t="str">
        <f t="shared" si="30"/>
        <v/>
      </c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32"/>
      <c r="AB685" s="732"/>
      <c r="AC685" s="732"/>
      <c r="AD685" s="732"/>
      <c r="AE685" s="733"/>
      <c r="AF685" s="734" t="str">
        <f t="shared" si="32"/>
        <v/>
      </c>
      <c r="AG685" s="773"/>
    </row>
    <row r="686" spans="1:64" ht="18.75" x14ac:dyDescent="0.25">
      <c r="A686" s="758"/>
      <c r="B686" s="737"/>
      <c r="C686" s="730"/>
      <c r="D686" s="739"/>
      <c r="E686" s="765"/>
      <c r="F686" s="765"/>
      <c r="G686" s="765"/>
      <c r="H686" s="765"/>
      <c r="I686" s="746" t="str">
        <f t="shared" si="31"/>
        <v/>
      </c>
      <c r="J686" s="731"/>
      <c r="K686" s="731" t="str">
        <f t="shared" si="30"/>
        <v/>
      </c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32"/>
      <c r="AB686" s="732"/>
      <c r="AC686" s="732"/>
      <c r="AD686" s="732"/>
      <c r="AE686" s="733"/>
      <c r="AF686" s="734" t="str">
        <f t="shared" si="32"/>
        <v/>
      </c>
      <c r="AG686" s="773"/>
    </row>
    <row r="687" spans="1:64" ht="18.75" x14ac:dyDescent="0.25">
      <c r="A687" s="758"/>
      <c r="B687" s="737"/>
      <c r="C687" s="730"/>
      <c r="D687" s="739"/>
      <c r="E687" s="765"/>
      <c r="F687" s="765"/>
      <c r="G687" s="765"/>
      <c r="H687" s="765"/>
      <c r="I687" s="746" t="str">
        <f t="shared" si="31"/>
        <v/>
      </c>
      <c r="J687" s="731"/>
      <c r="K687" s="731" t="str">
        <f t="shared" si="30"/>
        <v/>
      </c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32"/>
      <c r="AB687" s="732"/>
      <c r="AC687" s="732"/>
      <c r="AD687" s="732"/>
      <c r="AE687" s="733"/>
      <c r="AF687" s="734" t="str">
        <f t="shared" si="32"/>
        <v/>
      </c>
      <c r="AG687" s="773"/>
    </row>
    <row r="688" spans="1:64" ht="18.75" x14ac:dyDescent="0.25">
      <c r="A688" s="758"/>
      <c r="B688" s="737"/>
      <c r="C688" s="730"/>
      <c r="D688" s="739"/>
      <c r="E688" s="765"/>
      <c r="F688" s="765"/>
      <c r="G688" s="765"/>
      <c r="H688" s="765"/>
      <c r="I688" s="746" t="str">
        <f t="shared" si="31"/>
        <v/>
      </c>
      <c r="J688" s="731"/>
      <c r="K688" s="731" t="str">
        <f t="shared" si="30"/>
        <v/>
      </c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32"/>
      <c r="AB688" s="732"/>
      <c r="AC688" s="732"/>
      <c r="AD688" s="732"/>
      <c r="AE688" s="733"/>
      <c r="AF688" s="734" t="str">
        <f t="shared" si="32"/>
        <v/>
      </c>
      <c r="AG688" s="773"/>
    </row>
    <row r="689" spans="1:64" ht="18.75" x14ac:dyDescent="0.25">
      <c r="A689" s="758"/>
      <c r="B689" s="737"/>
      <c r="C689" s="730"/>
      <c r="D689" s="739"/>
      <c r="E689" s="765"/>
      <c r="F689" s="765"/>
      <c r="G689" s="765"/>
      <c r="H689" s="765"/>
      <c r="I689" s="746" t="str">
        <f t="shared" si="31"/>
        <v/>
      </c>
      <c r="J689" s="731"/>
      <c r="K689" s="731" t="str">
        <f t="shared" si="30"/>
        <v/>
      </c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32"/>
      <c r="AB689" s="732"/>
      <c r="AC689" s="732"/>
      <c r="AD689" s="732"/>
      <c r="AE689" s="733"/>
      <c r="AF689" s="734" t="str">
        <f t="shared" si="32"/>
        <v/>
      </c>
      <c r="AG689" s="773"/>
    </row>
    <row r="690" spans="1:64" ht="19.5" customHeight="1" x14ac:dyDescent="0.25">
      <c r="A690" s="758"/>
      <c r="B690" s="737"/>
      <c r="C690" s="730"/>
      <c r="D690" s="739"/>
      <c r="E690" s="765"/>
      <c r="F690" s="765"/>
      <c r="G690" s="765"/>
      <c r="H690" s="765"/>
      <c r="I690" s="746" t="str">
        <f t="shared" si="31"/>
        <v/>
      </c>
      <c r="J690" s="731"/>
      <c r="K690" s="731" t="str">
        <f t="shared" si="30"/>
        <v/>
      </c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32"/>
      <c r="AB690" s="732"/>
      <c r="AC690" s="732"/>
      <c r="AD690" s="732"/>
      <c r="AE690" s="733"/>
      <c r="AF690" s="734" t="str">
        <f t="shared" si="32"/>
        <v/>
      </c>
      <c r="AG690" s="775"/>
      <c r="AH690" s="779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</row>
    <row r="691" spans="1:64" ht="19.5" customHeight="1" x14ac:dyDescent="0.25">
      <c r="A691" s="758"/>
      <c r="B691" s="737"/>
      <c r="C691" s="730"/>
      <c r="D691" s="739"/>
      <c r="E691" s="765"/>
      <c r="F691" s="765"/>
      <c r="G691" s="765"/>
      <c r="H691" s="765"/>
      <c r="I691" s="746" t="str">
        <f t="shared" si="31"/>
        <v/>
      </c>
      <c r="J691" s="731"/>
      <c r="K691" s="731" t="str">
        <f t="shared" si="30"/>
        <v/>
      </c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32"/>
      <c r="AB691" s="732"/>
      <c r="AC691" s="732"/>
      <c r="AD691" s="732"/>
      <c r="AE691" s="733"/>
      <c r="AF691" s="734" t="str">
        <f t="shared" si="32"/>
        <v/>
      </c>
      <c r="AG691" s="775"/>
      <c r="AH691" s="779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</row>
    <row r="692" spans="1:64" ht="18.75" x14ac:dyDescent="0.25">
      <c r="A692" s="758"/>
      <c r="B692" s="737"/>
      <c r="C692" s="730"/>
      <c r="D692" s="739"/>
      <c r="E692" s="765"/>
      <c r="F692" s="765"/>
      <c r="G692" s="765"/>
      <c r="H692" s="765"/>
      <c r="I692" s="746" t="str">
        <f t="shared" si="31"/>
        <v/>
      </c>
      <c r="J692" s="731"/>
      <c r="K692" s="731" t="str">
        <f t="shared" si="30"/>
        <v/>
      </c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32"/>
      <c r="AB692" s="732"/>
      <c r="AC692" s="732"/>
      <c r="AD692" s="732"/>
      <c r="AE692" s="733"/>
      <c r="AF692" s="734" t="str">
        <f t="shared" si="32"/>
        <v/>
      </c>
      <c r="AG692" s="773"/>
    </row>
    <row r="693" spans="1:64" ht="18.75" x14ac:dyDescent="0.25">
      <c r="A693" s="758"/>
      <c r="B693" s="737"/>
      <c r="C693" s="730"/>
      <c r="D693" s="739"/>
      <c r="E693" s="765"/>
      <c r="F693" s="765"/>
      <c r="G693" s="765"/>
      <c r="H693" s="765"/>
      <c r="I693" s="746" t="str">
        <f t="shared" si="31"/>
        <v/>
      </c>
      <c r="J693" s="731"/>
      <c r="K693" s="731" t="str">
        <f t="shared" si="30"/>
        <v/>
      </c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32"/>
      <c r="AB693" s="732"/>
      <c r="AC693" s="732"/>
      <c r="AD693" s="732"/>
      <c r="AE693" s="733"/>
      <c r="AF693" s="734" t="str">
        <f t="shared" si="32"/>
        <v/>
      </c>
      <c r="AG693" s="773"/>
    </row>
    <row r="694" spans="1:64" ht="18.75" x14ac:dyDescent="0.25">
      <c r="A694" s="758"/>
      <c r="B694" s="737"/>
      <c r="C694" s="730"/>
      <c r="D694" s="739"/>
      <c r="E694" s="765"/>
      <c r="F694" s="765"/>
      <c r="G694" s="765"/>
      <c r="H694" s="765"/>
      <c r="I694" s="746" t="str">
        <f t="shared" si="31"/>
        <v/>
      </c>
      <c r="J694" s="731"/>
      <c r="K694" s="731" t="str">
        <f t="shared" si="30"/>
        <v/>
      </c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32"/>
      <c r="AB694" s="732"/>
      <c r="AC694" s="732"/>
      <c r="AD694" s="732"/>
      <c r="AE694" s="733"/>
      <c r="AF694" s="734" t="str">
        <f t="shared" si="32"/>
        <v/>
      </c>
      <c r="AG694" s="773"/>
    </row>
    <row r="695" spans="1:64" ht="18.75" x14ac:dyDescent="0.25">
      <c r="A695" s="758"/>
      <c r="B695" s="737"/>
      <c r="C695" s="730"/>
      <c r="D695" s="739"/>
      <c r="E695" s="765"/>
      <c r="F695" s="765"/>
      <c r="G695" s="765"/>
      <c r="H695" s="765"/>
      <c r="I695" s="746" t="str">
        <f t="shared" si="31"/>
        <v/>
      </c>
      <c r="J695" s="731"/>
      <c r="K695" s="731" t="str">
        <f t="shared" si="30"/>
        <v/>
      </c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32"/>
      <c r="AB695" s="732"/>
      <c r="AC695" s="732"/>
      <c r="AD695" s="732"/>
      <c r="AE695" s="733"/>
      <c r="AF695" s="734" t="str">
        <f t="shared" si="32"/>
        <v/>
      </c>
      <c r="AG695" s="773"/>
    </row>
    <row r="696" spans="1:64" ht="18.75" x14ac:dyDescent="0.25">
      <c r="A696" s="758"/>
      <c r="B696" s="737"/>
      <c r="C696" s="730"/>
      <c r="D696" s="739"/>
      <c r="E696" s="765"/>
      <c r="F696" s="765"/>
      <c r="G696" s="765"/>
      <c r="H696" s="765"/>
      <c r="I696" s="746" t="str">
        <f t="shared" si="31"/>
        <v/>
      </c>
      <c r="J696" s="731"/>
      <c r="K696" s="731" t="str">
        <f t="shared" si="30"/>
        <v/>
      </c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32"/>
      <c r="AB696" s="732"/>
      <c r="AC696" s="732"/>
      <c r="AD696" s="732"/>
      <c r="AE696" s="733"/>
      <c r="AF696" s="734" t="str">
        <f t="shared" si="32"/>
        <v/>
      </c>
      <c r="AG696" s="773"/>
    </row>
    <row r="697" spans="1:64" ht="18.75" x14ac:dyDescent="0.25">
      <c r="A697" s="758"/>
      <c r="B697" s="737"/>
      <c r="C697" s="730"/>
      <c r="D697" s="739"/>
      <c r="E697" s="765"/>
      <c r="F697" s="765"/>
      <c r="G697" s="765"/>
      <c r="H697" s="765"/>
      <c r="I697" s="746" t="str">
        <f t="shared" si="31"/>
        <v/>
      </c>
      <c r="J697" s="731"/>
      <c r="K697" s="731" t="str">
        <f t="shared" si="30"/>
        <v/>
      </c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32"/>
      <c r="AB697" s="732"/>
      <c r="AC697" s="732"/>
      <c r="AD697" s="732"/>
      <c r="AE697" s="733"/>
      <c r="AF697" s="734" t="str">
        <f t="shared" si="32"/>
        <v/>
      </c>
      <c r="AG697" s="773"/>
    </row>
    <row r="698" spans="1:64" ht="18.75" x14ac:dyDescent="0.25">
      <c r="A698" s="758"/>
      <c r="B698" s="737"/>
      <c r="C698" s="730"/>
      <c r="D698" s="739"/>
      <c r="E698" s="765"/>
      <c r="F698" s="765"/>
      <c r="G698" s="765"/>
      <c r="H698" s="765"/>
      <c r="I698" s="746" t="str">
        <f t="shared" si="31"/>
        <v/>
      </c>
      <c r="J698" s="731"/>
      <c r="K698" s="731" t="str">
        <f t="shared" si="30"/>
        <v/>
      </c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32"/>
      <c r="AB698" s="732"/>
      <c r="AC698" s="732"/>
      <c r="AD698" s="732"/>
      <c r="AE698" s="733"/>
      <c r="AF698" s="734" t="str">
        <f t="shared" si="32"/>
        <v/>
      </c>
      <c r="AG698" s="775"/>
      <c r="AH698" s="779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</row>
    <row r="699" spans="1:64" ht="18.75" x14ac:dyDescent="0.25">
      <c r="A699" s="758"/>
      <c r="B699" s="737"/>
      <c r="C699" s="730"/>
      <c r="D699" s="739"/>
      <c r="E699" s="765"/>
      <c r="F699" s="765"/>
      <c r="G699" s="765"/>
      <c r="H699" s="765"/>
      <c r="I699" s="746" t="str">
        <f t="shared" si="31"/>
        <v/>
      </c>
      <c r="J699" s="731"/>
      <c r="K699" s="731" t="str">
        <f t="shared" si="30"/>
        <v/>
      </c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32"/>
      <c r="AB699" s="732"/>
      <c r="AC699" s="732"/>
      <c r="AD699" s="732"/>
      <c r="AE699" s="733"/>
      <c r="AF699" s="734" t="str">
        <f t="shared" si="32"/>
        <v/>
      </c>
      <c r="AG699" s="773"/>
    </row>
    <row r="700" spans="1:64" ht="18.75" x14ac:dyDescent="0.25">
      <c r="A700" s="758"/>
      <c r="B700" s="737"/>
      <c r="C700" s="730"/>
      <c r="D700" s="739"/>
      <c r="E700" s="765"/>
      <c r="F700" s="765"/>
      <c r="G700" s="765"/>
      <c r="H700" s="765"/>
      <c r="I700" s="746" t="str">
        <f t="shared" si="31"/>
        <v/>
      </c>
      <c r="J700" s="731"/>
      <c r="K700" s="731" t="str">
        <f t="shared" si="30"/>
        <v/>
      </c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32"/>
      <c r="AB700" s="732"/>
      <c r="AC700" s="732"/>
      <c r="AD700" s="732"/>
      <c r="AE700" s="733"/>
      <c r="AF700" s="734" t="str">
        <f t="shared" si="32"/>
        <v/>
      </c>
      <c r="AG700" s="773"/>
    </row>
    <row r="701" spans="1:64" ht="18.75" x14ac:dyDescent="0.25">
      <c r="A701" s="758"/>
      <c r="B701" s="737"/>
      <c r="C701" s="730"/>
      <c r="D701" s="739"/>
      <c r="E701" s="765"/>
      <c r="F701" s="765"/>
      <c r="G701" s="765"/>
      <c r="H701" s="765"/>
      <c r="I701" s="746" t="str">
        <f t="shared" si="31"/>
        <v/>
      </c>
      <c r="J701" s="731"/>
      <c r="K701" s="731" t="str">
        <f t="shared" si="30"/>
        <v/>
      </c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32"/>
      <c r="AB701" s="732"/>
      <c r="AC701" s="732"/>
      <c r="AD701" s="732"/>
      <c r="AE701" s="733"/>
      <c r="AF701" s="734" t="str">
        <f t="shared" si="32"/>
        <v/>
      </c>
      <c r="AG701" s="773"/>
    </row>
    <row r="702" spans="1:64" ht="18.75" x14ac:dyDescent="0.25">
      <c r="A702" s="758"/>
      <c r="B702" s="737"/>
      <c r="C702" s="730"/>
      <c r="D702" s="739"/>
      <c r="E702" s="765"/>
      <c r="F702" s="765"/>
      <c r="G702" s="765"/>
      <c r="H702" s="765"/>
      <c r="I702" s="746" t="str">
        <f t="shared" si="31"/>
        <v/>
      </c>
      <c r="J702" s="731"/>
      <c r="K702" s="731" t="str">
        <f t="shared" si="30"/>
        <v/>
      </c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32"/>
      <c r="AB702" s="732"/>
      <c r="AC702" s="732"/>
      <c r="AD702" s="732"/>
      <c r="AE702" s="733"/>
      <c r="AF702" s="734" t="str">
        <f t="shared" si="32"/>
        <v/>
      </c>
      <c r="AG702" s="773"/>
    </row>
    <row r="703" spans="1:64" ht="18.75" x14ac:dyDescent="0.25">
      <c r="A703" s="758"/>
      <c r="B703" s="737"/>
      <c r="C703" s="730"/>
      <c r="D703" s="739"/>
      <c r="E703" s="765"/>
      <c r="F703" s="765"/>
      <c r="G703" s="765"/>
      <c r="H703" s="765"/>
      <c r="I703" s="746" t="str">
        <f t="shared" si="31"/>
        <v/>
      </c>
      <c r="J703" s="731"/>
      <c r="K703" s="731" t="str">
        <f t="shared" si="30"/>
        <v/>
      </c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32"/>
      <c r="AB703" s="732"/>
      <c r="AC703" s="732"/>
      <c r="AD703" s="732"/>
      <c r="AE703" s="733"/>
      <c r="AF703" s="734" t="str">
        <f t="shared" si="32"/>
        <v/>
      </c>
      <c r="AG703" s="773"/>
    </row>
    <row r="704" spans="1:64" ht="18.75" customHeight="1" x14ac:dyDescent="0.25">
      <c r="A704" s="758"/>
      <c r="B704" s="737"/>
      <c r="C704" s="730"/>
      <c r="D704" s="739"/>
      <c r="E704" s="765"/>
      <c r="F704" s="765"/>
      <c r="G704" s="765"/>
      <c r="H704" s="765"/>
      <c r="I704" s="746" t="str">
        <f t="shared" si="31"/>
        <v/>
      </c>
      <c r="J704" s="731"/>
      <c r="K704" s="731" t="str">
        <f t="shared" si="30"/>
        <v/>
      </c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32"/>
      <c r="AB704" s="732"/>
      <c r="AC704" s="732"/>
      <c r="AD704" s="732"/>
      <c r="AE704" s="733"/>
      <c r="AF704" s="734" t="str">
        <f t="shared" si="32"/>
        <v/>
      </c>
      <c r="AG704" s="772"/>
      <c r="AH704" s="777"/>
      <c r="AI704" s="735"/>
      <c r="AJ704" s="735"/>
      <c r="AK704" s="735"/>
      <c r="AL704" s="735"/>
      <c r="AM704" s="735"/>
      <c r="AN704" s="735"/>
      <c r="AO704" s="735"/>
      <c r="AP704" s="735"/>
      <c r="AQ704" s="735"/>
      <c r="AR704" s="735"/>
      <c r="AS704" s="735"/>
      <c r="AT704" s="735"/>
      <c r="AU704" s="735"/>
      <c r="AV704" s="735"/>
      <c r="AW704" s="735"/>
      <c r="AX704" s="735"/>
      <c r="AY704" s="735"/>
      <c r="AZ704" s="735"/>
      <c r="BA704" s="735"/>
      <c r="BB704" s="735"/>
      <c r="BC704" s="735"/>
      <c r="BD704" s="735"/>
      <c r="BE704" s="735"/>
      <c r="BF704" s="735"/>
      <c r="BG704" s="735"/>
      <c r="BH704" s="735"/>
      <c r="BI704" s="735"/>
      <c r="BJ704" s="735"/>
      <c r="BK704" s="735"/>
      <c r="BL704" s="735"/>
    </row>
    <row r="705" spans="1:64" ht="19.5" customHeight="1" x14ac:dyDescent="0.25">
      <c r="A705" s="758"/>
      <c r="B705" s="737"/>
      <c r="C705" s="730"/>
      <c r="D705" s="739"/>
      <c r="E705" s="765"/>
      <c r="F705" s="765"/>
      <c r="G705" s="765"/>
      <c r="H705" s="765"/>
      <c r="I705" s="746" t="str">
        <f t="shared" si="31"/>
        <v/>
      </c>
      <c r="J705" s="731"/>
      <c r="K705" s="731" t="str">
        <f t="shared" si="30"/>
        <v/>
      </c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32"/>
      <c r="AB705" s="732"/>
      <c r="AC705" s="732"/>
      <c r="AD705" s="732"/>
      <c r="AE705" s="733"/>
      <c r="AF705" s="734" t="str">
        <f t="shared" si="32"/>
        <v/>
      </c>
      <c r="AG705" s="772"/>
      <c r="AH705" s="777"/>
      <c r="AI705" s="735"/>
      <c r="AJ705" s="735"/>
      <c r="AK705" s="735"/>
      <c r="AL705" s="735"/>
      <c r="AM705" s="735"/>
      <c r="AN705" s="735"/>
      <c r="AO705" s="735"/>
      <c r="AP705" s="735"/>
      <c r="AQ705" s="735"/>
      <c r="AR705" s="735"/>
      <c r="AS705" s="735"/>
      <c r="AT705" s="735"/>
      <c r="AU705" s="735"/>
      <c r="AV705" s="735"/>
      <c r="AW705" s="735"/>
      <c r="AX705" s="735"/>
      <c r="AY705" s="735"/>
      <c r="AZ705" s="735"/>
      <c r="BA705" s="735"/>
      <c r="BB705" s="735"/>
      <c r="BC705" s="735"/>
      <c r="BD705" s="735"/>
      <c r="BE705" s="735"/>
      <c r="BF705" s="735"/>
      <c r="BG705" s="735"/>
      <c r="BH705" s="735"/>
      <c r="BI705" s="735"/>
      <c r="BJ705" s="735"/>
      <c r="BK705" s="735"/>
      <c r="BL705" s="735"/>
    </row>
    <row r="706" spans="1:64" ht="19.5" customHeight="1" x14ac:dyDescent="0.25">
      <c r="A706" s="758"/>
      <c r="B706" s="737"/>
      <c r="C706" s="730"/>
      <c r="D706" s="739"/>
      <c r="E706" s="765"/>
      <c r="F706" s="765"/>
      <c r="G706" s="765"/>
      <c r="H706" s="765"/>
      <c r="I706" s="746" t="str">
        <f t="shared" si="31"/>
        <v/>
      </c>
      <c r="J706" s="731"/>
      <c r="K706" s="731" t="str">
        <f t="shared" si="30"/>
        <v/>
      </c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32"/>
      <c r="AB706" s="732"/>
      <c r="AC706" s="732"/>
      <c r="AD706" s="732"/>
      <c r="AE706" s="733"/>
      <c r="AF706" s="734" t="str">
        <f t="shared" si="32"/>
        <v/>
      </c>
      <c r="AG706" s="772"/>
      <c r="AH706" s="777"/>
      <c r="AI706" s="735"/>
      <c r="AJ706" s="735"/>
      <c r="AK706" s="735"/>
      <c r="AL706" s="735"/>
      <c r="AM706" s="735"/>
      <c r="AN706" s="735"/>
      <c r="AO706" s="735"/>
      <c r="AP706" s="735"/>
      <c r="AQ706" s="735"/>
      <c r="AR706" s="735"/>
      <c r="AS706" s="735"/>
      <c r="AT706" s="735"/>
      <c r="AU706" s="735"/>
      <c r="AV706" s="735"/>
      <c r="AW706" s="735"/>
      <c r="AX706" s="735"/>
      <c r="AY706" s="735"/>
      <c r="AZ706" s="735"/>
      <c r="BA706" s="735"/>
      <c r="BB706" s="735"/>
      <c r="BC706" s="735"/>
      <c r="BD706" s="735"/>
      <c r="BE706" s="735"/>
      <c r="BF706" s="735"/>
      <c r="BG706" s="735"/>
      <c r="BH706" s="735"/>
      <c r="BI706" s="735"/>
      <c r="BJ706" s="735"/>
      <c r="BK706" s="735"/>
      <c r="BL706" s="735"/>
    </row>
    <row r="707" spans="1:64" ht="19.5" customHeight="1" x14ac:dyDescent="0.25">
      <c r="A707" s="758"/>
      <c r="B707" s="737"/>
      <c r="C707" s="730"/>
      <c r="D707" s="739"/>
      <c r="E707" s="765"/>
      <c r="F707" s="765"/>
      <c r="G707" s="765"/>
      <c r="H707" s="765"/>
      <c r="I707" s="746" t="str">
        <f t="shared" si="31"/>
        <v/>
      </c>
      <c r="J707" s="731"/>
      <c r="K707" s="731" t="str">
        <f t="shared" si="30"/>
        <v/>
      </c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32"/>
      <c r="AB707" s="732"/>
      <c r="AC707" s="732"/>
      <c r="AD707" s="732"/>
      <c r="AE707" s="733"/>
      <c r="AF707" s="734" t="str">
        <f t="shared" si="32"/>
        <v/>
      </c>
      <c r="AG707" s="772"/>
      <c r="AH707" s="777"/>
      <c r="AI707" s="735"/>
      <c r="AJ707" s="735"/>
      <c r="AK707" s="735"/>
      <c r="AL707" s="735"/>
      <c r="AM707" s="735"/>
      <c r="AN707" s="735"/>
      <c r="AO707" s="735"/>
      <c r="AP707" s="735"/>
      <c r="AQ707" s="735"/>
      <c r="AR707" s="735"/>
      <c r="AS707" s="735"/>
      <c r="AT707" s="735"/>
      <c r="AU707" s="735"/>
      <c r="AV707" s="735"/>
      <c r="AW707" s="735"/>
      <c r="AX707" s="735"/>
      <c r="AY707" s="735"/>
      <c r="AZ707" s="735"/>
      <c r="BA707" s="735"/>
      <c r="BB707" s="735"/>
      <c r="BC707" s="735"/>
      <c r="BD707" s="735"/>
      <c r="BE707" s="735"/>
      <c r="BF707" s="735"/>
      <c r="BG707" s="735"/>
      <c r="BH707" s="735"/>
      <c r="BI707" s="735"/>
      <c r="BJ707" s="735"/>
      <c r="BK707" s="735"/>
      <c r="BL707" s="735"/>
    </row>
    <row r="708" spans="1:64" ht="18.75" x14ac:dyDescent="0.25">
      <c r="A708" s="758"/>
      <c r="B708" s="737"/>
      <c r="C708" s="730"/>
      <c r="D708" s="739"/>
      <c r="E708" s="765"/>
      <c r="F708" s="765"/>
      <c r="G708" s="765"/>
      <c r="H708" s="765"/>
      <c r="I708" s="746" t="str">
        <f t="shared" si="31"/>
        <v/>
      </c>
      <c r="J708" s="731"/>
      <c r="K708" s="731" t="str">
        <f t="shared" ref="K708:K771" si="33">IF(AA708-AE708 = 0,"",AA708-AE708)</f>
        <v/>
      </c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32"/>
      <c r="AB708" s="732"/>
      <c r="AC708" s="732"/>
      <c r="AD708" s="732"/>
      <c r="AE708" s="733"/>
      <c r="AF708" s="734" t="str">
        <f t="shared" si="32"/>
        <v/>
      </c>
      <c r="AG708" s="773"/>
    </row>
    <row r="709" spans="1:64" ht="18.75" x14ac:dyDescent="0.25">
      <c r="A709" s="758"/>
      <c r="B709" s="737"/>
      <c r="C709" s="730"/>
      <c r="D709" s="739"/>
      <c r="E709" s="765"/>
      <c r="F709" s="765"/>
      <c r="G709" s="765"/>
      <c r="H709" s="765"/>
      <c r="I709" s="746" t="str">
        <f t="shared" ref="I709:I772" si="34">AF709</f>
        <v/>
      </c>
      <c r="J709" s="731"/>
      <c r="K709" s="731" t="str">
        <f t="shared" si="33"/>
        <v/>
      </c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32"/>
      <c r="AB709" s="732"/>
      <c r="AC709" s="732"/>
      <c r="AD709" s="732"/>
      <c r="AE709" s="733"/>
      <c r="AF709" s="734" t="str">
        <f t="shared" ref="AF709:AF772" si="35">IF(AE709 &lt;&gt;"", AE709/AA709,"")</f>
        <v/>
      </c>
      <c r="AG709" s="773"/>
    </row>
    <row r="710" spans="1:64" ht="18.75" x14ac:dyDescent="0.25">
      <c r="A710" s="758"/>
      <c r="B710" s="737"/>
      <c r="C710" s="730"/>
      <c r="D710" s="739"/>
      <c r="E710" s="765"/>
      <c r="F710" s="765"/>
      <c r="G710" s="765"/>
      <c r="H710" s="765"/>
      <c r="I710" s="746" t="str">
        <f t="shared" si="34"/>
        <v/>
      </c>
      <c r="J710" s="731"/>
      <c r="K710" s="731" t="str">
        <f t="shared" si="33"/>
        <v/>
      </c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32"/>
      <c r="AB710" s="732"/>
      <c r="AC710" s="732"/>
      <c r="AD710" s="732"/>
      <c r="AE710" s="733"/>
      <c r="AF710" s="734" t="str">
        <f t="shared" si="35"/>
        <v/>
      </c>
      <c r="AG710" s="773"/>
    </row>
    <row r="711" spans="1:64" ht="18.75" x14ac:dyDescent="0.25">
      <c r="A711" s="758"/>
      <c r="B711" s="737"/>
      <c r="C711" s="730"/>
      <c r="D711" s="739"/>
      <c r="E711" s="765"/>
      <c r="F711" s="765"/>
      <c r="G711" s="765"/>
      <c r="H711" s="765"/>
      <c r="I711" s="746" t="str">
        <f t="shared" si="34"/>
        <v/>
      </c>
      <c r="J711" s="731"/>
      <c r="K711" s="731" t="str">
        <f t="shared" si="33"/>
        <v/>
      </c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32"/>
      <c r="AB711" s="732"/>
      <c r="AC711" s="732"/>
      <c r="AD711" s="732"/>
      <c r="AE711" s="733"/>
      <c r="AF711" s="734" t="str">
        <f t="shared" si="35"/>
        <v/>
      </c>
      <c r="AG711" s="773"/>
    </row>
    <row r="712" spans="1:64" ht="18.75" x14ac:dyDescent="0.25">
      <c r="A712" s="758"/>
      <c r="B712" s="737"/>
      <c r="C712" s="730"/>
      <c r="D712" s="739"/>
      <c r="E712" s="765"/>
      <c r="F712" s="765"/>
      <c r="G712" s="765"/>
      <c r="H712" s="765"/>
      <c r="I712" s="746" t="str">
        <f t="shared" si="34"/>
        <v/>
      </c>
      <c r="J712" s="731"/>
      <c r="K712" s="731" t="str">
        <f t="shared" si="33"/>
        <v/>
      </c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32"/>
      <c r="AB712" s="732"/>
      <c r="AC712" s="732"/>
      <c r="AD712" s="732"/>
      <c r="AE712" s="733"/>
      <c r="AF712" s="734" t="str">
        <f t="shared" si="35"/>
        <v/>
      </c>
      <c r="AG712" s="773"/>
    </row>
    <row r="713" spans="1:64" ht="18.75" x14ac:dyDescent="0.25">
      <c r="A713" s="758"/>
      <c r="B713" s="737"/>
      <c r="C713" s="730"/>
      <c r="D713" s="739"/>
      <c r="E713" s="765"/>
      <c r="F713" s="765"/>
      <c r="G713" s="765"/>
      <c r="H713" s="765"/>
      <c r="I713" s="746" t="str">
        <f t="shared" si="34"/>
        <v/>
      </c>
      <c r="J713" s="731"/>
      <c r="K713" s="731" t="str">
        <f t="shared" si="33"/>
        <v/>
      </c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32"/>
      <c r="AB713" s="732"/>
      <c r="AC713" s="732"/>
      <c r="AD713" s="732"/>
      <c r="AE713" s="733"/>
      <c r="AF713" s="734" t="str">
        <f t="shared" si="35"/>
        <v/>
      </c>
      <c r="AG713" s="773"/>
    </row>
    <row r="714" spans="1:64" ht="18.75" x14ac:dyDescent="0.25">
      <c r="A714" s="758"/>
      <c r="B714" s="737"/>
      <c r="C714" s="730"/>
      <c r="D714" s="739"/>
      <c r="E714" s="765"/>
      <c r="F714" s="765"/>
      <c r="G714" s="765"/>
      <c r="H714" s="765"/>
      <c r="I714" s="746" t="str">
        <f t="shared" si="34"/>
        <v/>
      </c>
      <c r="J714" s="731"/>
      <c r="K714" s="731" t="str">
        <f t="shared" si="33"/>
        <v/>
      </c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32"/>
      <c r="AB714" s="732"/>
      <c r="AC714" s="732"/>
      <c r="AD714" s="732"/>
      <c r="AE714" s="733"/>
      <c r="AF714" s="734" t="str">
        <f t="shared" si="35"/>
        <v/>
      </c>
      <c r="AG714" s="773"/>
    </row>
    <row r="715" spans="1:64" ht="18.75" x14ac:dyDescent="0.25">
      <c r="A715" s="758"/>
      <c r="B715" s="737"/>
      <c r="C715" s="730"/>
      <c r="D715" s="739"/>
      <c r="E715" s="765"/>
      <c r="F715" s="765"/>
      <c r="G715" s="765"/>
      <c r="H715" s="765"/>
      <c r="I715" s="746" t="str">
        <f t="shared" si="34"/>
        <v/>
      </c>
      <c r="J715" s="731"/>
      <c r="K715" s="731" t="str">
        <f t="shared" si="33"/>
        <v/>
      </c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32"/>
      <c r="AB715" s="732"/>
      <c r="AC715" s="732"/>
      <c r="AD715" s="732"/>
      <c r="AE715" s="733"/>
      <c r="AF715" s="734" t="str">
        <f t="shared" si="35"/>
        <v/>
      </c>
      <c r="AG715" s="773"/>
    </row>
    <row r="716" spans="1:64" ht="18.75" x14ac:dyDescent="0.25">
      <c r="A716" s="758"/>
      <c r="B716" s="737"/>
      <c r="C716" s="730"/>
      <c r="D716" s="739"/>
      <c r="E716" s="765"/>
      <c r="F716" s="765"/>
      <c r="G716" s="765"/>
      <c r="H716" s="765"/>
      <c r="I716" s="746" t="str">
        <f t="shared" si="34"/>
        <v/>
      </c>
      <c r="J716" s="731"/>
      <c r="K716" s="731" t="str">
        <f t="shared" si="33"/>
        <v/>
      </c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32"/>
      <c r="AB716" s="732"/>
      <c r="AC716" s="732"/>
      <c r="AD716" s="732"/>
      <c r="AE716" s="733"/>
      <c r="AF716" s="734" t="str">
        <f t="shared" si="35"/>
        <v/>
      </c>
      <c r="AG716" s="773"/>
    </row>
    <row r="717" spans="1:64" ht="18.75" x14ac:dyDescent="0.25">
      <c r="A717" s="758"/>
      <c r="B717" s="737"/>
      <c r="C717" s="730"/>
      <c r="D717" s="739"/>
      <c r="E717" s="765"/>
      <c r="F717" s="765"/>
      <c r="G717" s="765"/>
      <c r="H717" s="765"/>
      <c r="I717" s="746" t="str">
        <f t="shared" si="34"/>
        <v/>
      </c>
      <c r="J717" s="731"/>
      <c r="K717" s="731" t="str">
        <f t="shared" si="33"/>
        <v/>
      </c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32"/>
      <c r="AB717" s="732"/>
      <c r="AC717" s="732"/>
      <c r="AD717" s="732"/>
      <c r="AE717" s="733"/>
      <c r="AF717" s="734" t="str">
        <f t="shared" si="35"/>
        <v/>
      </c>
      <c r="AG717" s="773"/>
    </row>
    <row r="718" spans="1:64" ht="18.75" x14ac:dyDescent="0.25">
      <c r="A718" s="758"/>
      <c r="B718" s="737"/>
      <c r="C718" s="730"/>
      <c r="D718" s="739"/>
      <c r="E718" s="765"/>
      <c r="F718" s="765"/>
      <c r="G718" s="765"/>
      <c r="H718" s="765"/>
      <c r="I718" s="746" t="str">
        <f t="shared" si="34"/>
        <v/>
      </c>
      <c r="J718" s="731"/>
      <c r="K718" s="731" t="str">
        <f t="shared" si="33"/>
        <v/>
      </c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32"/>
      <c r="AB718" s="732"/>
      <c r="AC718" s="732"/>
      <c r="AD718" s="732"/>
      <c r="AE718" s="733"/>
      <c r="AF718" s="734" t="str">
        <f t="shared" si="35"/>
        <v/>
      </c>
      <c r="AG718" s="773"/>
    </row>
    <row r="719" spans="1:64" ht="18.75" x14ac:dyDescent="0.25">
      <c r="A719" s="758"/>
      <c r="B719" s="737"/>
      <c r="C719" s="730"/>
      <c r="D719" s="739"/>
      <c r="E719" s="765"/>
      <c r="F719" s="765"/>
      <c r="G719" s="765"/>
      <c r="H719" s="765"/>
      <c r="I719" s="746" t="str">
        <f t="shared" si="34"/>
        <v/>
      </c>
      <c r="J719" s="731"/>
      <c r="K719" s="731" t="str">
        <f t="shared" si="33"/>
        <v/>
      </c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32"/>
      <c r="AB719" s="732"/>
      <c r="AC719" s="732"/>
      <c r="AD719" s="732"/>
      <c r="AE719" s="733"/>
      <c r="AF719" s="734" t="str">
        <f t="shared" si="35"/>
        <v/>
      </c>
      <c r="AG719" s="773"/>
    </row>
    <row r="720" spans="1:64" ht="18.75" x14ac:dyDescent="0.25">
      <c r="A720" s="758"/>
      <c r="B720" s="737"/>
      <c r="C720" s="730"/>
      <c r="D720" s="739"/>
      <c r="E720" s="765"/>
      <c r="F720" s="765"/>
      <c r="G720" s="765"/>
      <c r="H720" s="765"/>
      <c r="I720" s="746" t="str">
        <f t="shared" si="34"/>
        <v/>
      </c>
      <c r="J720" s="731"/>
      <c r="K720" s="731" t="str">
        <f t="shared" si="33"/>
        <v/>
      </c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32"/>
      <c r="AB720" s="732"/>
      <c r="AC720" s="732"/>
      <c r="AD720" s="732"/>
      <c r="AE720" s="733"/>
      <c r="AF720" s="734" t="str">
        <f t="shared" si="35"/>
        <v/>
      </c>
      <c r="AG720" s="773"/>
    </row>
    <row r="721" spans="1:64" ht="18.75" x14ac:dyDescent="0.25">
      <c r="A721" s="758"/>
      <c r="B721" s="737"/>
      <c r="C721" s="730"/>
      <c r="D721" s="739"/>
      <c r="E721" s="765"/>
      <c r="F721" s="765"/>
      <c r="G721" s="765"/>
      <c r="H721" s="765"/>
      <c r="I721" s="746" t="str">
        <f t="shared" si="34"/>
        <v/>
      </c>
      <c r="J721" s="731"/>
      <c r="K721" s="731" t="str">
        <f t="shared" si="33"/>
        <v/>
      </c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32"/>
      <c r="AB721" s="732"/>
      <c r="AC721" s="732"/>
      <c r="AD721" s="732"/>
      <c r="AE721" s="733"/>
      <c r="AF721" s="734" t="str">
        <f t="shared" si="35"/>
        <v/>
      </c>
      <c r="AG721" s="773"/>
    </row>
    <row r="722" spans="1:64" ht="18.75" x14ac:dyDescent="0.25">
      <c r="A722" s="758"/>
      <c r="B722" s="737"/>
      <c r="C722" s="730"/>
      <c r="D722" s="739"/>
      <c r="E722" s="765"/>
      <c r="F722" s="765"/>
      <c r="G722" s="765"/>
      <c r="H722" s="765"/>
      <c r="I722" s="746" t="str">
        <f t="shared" si="34"/>
        <v/>
      </c>
      <c r="J722" s="731"/>
      <c r="K722" s="731" t="str">
        <f t="shared" si="33"/>
        <v/>
      </c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32"/>
      <c r="AB722" s="732"/>
      <c r="AC722" s="732"/>
      <c r="AD722" s="732"/>
      <c r="AE722" s="733"/>
      <c r="AF722" s="734" t="str">
        <f t="shared" si="35"/>
        <v/>
      </c>
      <c r="AG722" s="773"/>
    </row>
    <row r="723" spans="1:64" ht="18.75" x14ac:dyDescent="0.25">
      <c r="A723" s="758"/>
      <c r="B723" s="737"/>
      <c r="C723" s="730"/>
      <c r="D723" s="739"/>
      <c r="E723" s="765"/>
      <c r="F723" s="765"/>
      <c r="G723" s="765"/>
      <c r="H723" s="765"/>
      <c r="I723" s="746" t="str">
        <f t="shared" si="34"/>
        <v/>
      </c>
      <c r="J723" s="731"/>
      <c r="K723" s="731" t="str">
        <f t="shared" si="33"/>
        <v/>
      </c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32"/>
      <c r="AB723" s="732"/>
      <c r="AC723" s="732"/>
      <c r="AD723" s="732"/>
      <c r="AE723" s="733"/>
      <c r="AF723" s="734" t="str">
        <f t="shared" si="35"/>
        <v/>
      </c>
      <c r="AG723" s="773"/>
    </row>
    <row r="724" spans="1:64" ht="18.75" x14ac:dyDescent="0.25">
      <c r="A724" s="758"/>
      <c r="B724" s="737"/>
      <c r="C724" s="730"/>
      <c r="D724" s="739"/>
      <c r="E724" s="765"/>
      <c r="F724" s="765"/>
      <c r="G724" s="765"/>
      <c r="H724" s="765"/>
      <c r="I724" s="746" t="str">
        <f t="shared" si="34"/>
        <v/>
      </c>
      <c r="J724" s="731"/>
      <c r="K724" s="731" t="str">
        <f t="shared" si="33"/>
        <v/>
      </c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32"/>
      <c r="AB724" s="732"/>
      <c r="AC724" s="732"/>
      <c r="AD724" s="732"/>
      <c r="AE724" s="733"/>
      <c r="AF724" s="734" t="str">
        <f t="shared" si="35"/>
        <v/>
      </c>
      <c r="AG724" s="773"/>
    </row>
    <row r="725" spans="1:64" ht="18.75" x14ac:dyDescent="0.25">
      <c r="A725" s="758"/>
      <c r="B725" s="737"/>
      <c r="C725" s="730"/>
      <c r="D725" s="739"/>
      <c r="E725" s="765"/>
      <c r="F725" s="765"/>
      <c r="G725" s="765"/>
      <c r="H725" s="765"/>
      <c r="I725" s="746" t="str">
        <f t="shared" si="34"/>
        <v/>
      </c>
      <c r="J725" s="731"/>
      <c r="K725" s="731" t="str">
        <f t="shared" si="33"/>
        <v/>
      </c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32"/>
      <c r="AB725" s="732"/>
      <c r="AC725" s="732"/>
      <c r="AD725" s="732"/>
      <c r="AE725" s="733"/>
      <c r="AF725" s="734" t="str">
        <f t="shared" si="35"/>
        <v/>
      </c>
      <c r="AG725" s="774"/>
      <c r="AH725" s="778"/>
      <c r="AI725" s="736"/>
      <c r="AJ725" s="736"/>
      <c r="AK725" s="736"/>
      <c r="AL725" s="736"/>
      <c r="AM725" s="736"/>
      <c r="AN725" s="736"/>
      <c r="AO725" s="736"/>
      <c r="AP725" s="736"/>
      <c r="AQ725" s="736"/>
      <c r="AR725" s="736"/>
      <c r="AS725" s="736"/>
      <c r="AT725" s="736"/>
      <c r="AU725" s="736"/>
      <c r="AV725" s="736"/>
      <c r="AW725" s="736"/>
      <c r="AX725" s="736"/>
      <c r="AY725" s="736"/>
      <c r="AZ725" s="736"/>
      <c r="BA725" s="736"/>
      <c r="BB725" s="736"/>
      <c r="BC725" s="736"/>
      <c r="BD725" s="736"/>
      <c r="BE725" s="736"/>
      <c r="BF725" s="736"/>
      <c r="BG725" s="736"/>
      <c r="BH725" s="736"/>
      <c r="BI725" s="736"/>
      <c r="BJ725" s="736"/>
      <c r="BK725" s="736"/>
      <c r="BL725" s="736"/>
    </row>
    <row r="726" spans="1:64" ht="18.75" x14ac:dyDescent="0.25">
      <c r="A726" s="758"/>
      <c r="B726" s="737"/>
      <c r="C726" s="730"/>
      <c r="D726" s="739"/>
      <c r="E726" s="765"/>
      <c r="F726" s="765"/>
      <c r="G726" s="765"/>
      <c r="H726" s="765"/>
      <c r="I726" s="746" t="str">
        <f t="shared" si="34"/>
        <v/>
      </c>
      <c r="J726" s="731"/>
      <c r="K726" s="731" t="str">
        <f t="shared" si="33"/>
        <v/>
      </c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32"/>
      <c r="AB726" s="732"/>
      <c r="AC726" s="732"/>
      <c r="AD726" s="732"/>
      <c r="AE726" s="733"/>
      <c r="AF726" s="734" t="str">
        <f t="shared" si="35"/>
        <v/>
      </c>
      <c r="AG726" s="774"/>
      <c r="AH726" s="778"/>
      <c r="AI726" s="736"/>
      <c r="AJ726" s="736"/>
      <c r="AK726" s="736"/>
      <c r="AL726" s="736"/>
      <c r="AM726" s="736"/>
      <c r="AN726" s="736"/>
      <c r="AO726" s="736"/>
      <c r="AP726" s="736"/>
      <c r="AQ726" s="736"/>
      <c r="AR726" s="736"/>
      <c r="AS726" s="736"/>
      <c r="AT726" s="736"/>
      <c r="AU726" s="736"/>
      <c r="AV726" s="736"/>
      <c r="AW726" s="736"/>
      <c r="AX726" s="736"/>
      <c r="AY726" s="736"/>
      <c r="AZ726" s="736"/>
      <c r="BA726" s="736"/>
      <c r="BB726" s="736"/>
      <c r="BC726" s="736"/>
      <c r="BD726" s="736"/>
      <c r="BE726" s="736"/>
      <c r="BF726" s="736"/>
      <c r="BG726" s="736"/>
      <c r="BH726" s="736"/>
      <c r="BI726" s="736"/>
      <c r="BJ726" s="736"/>
      <c r="BK726" s="736"/>
      <c r="BL726" s="736"/>
    </row>
    <row r="727" spans="1:64" ht="18.75" x14ac:dyDescent="0.25">
      <c r="A727" s="758"/>
      <c r="B727" s="737"/>
      <c r="C727" s="730"/>
      <c r="D727" s="739"/>
      <c r="E727" s="765"/>
      <c r="F727" s="765"/>
      <c r="G727" s="765"/>
      <c r="H727" s="765"/>
      <c r="I727" s="746" t="str">
        <f t="shared" si="34"/>
        <v/>
      </c>
      <c r="J727" s="731"/>
      <c r="K727" s="731" t="str">
        <f t="shared" si="33"/>
        <v/>
      </c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32"/>
      <c r="AB727" s="732"/>
      <c r="AC727" s="732"/>
      <c r="AD727" s="732"/>
      <c r="AE727" s="733"/>
      <c r="AF727" s="734" t="str">
        <f t="shared" si="35"/>
        <v/>
      </c>
      <c r="AG727" s="773"/>
    </row>
    <row r="728" spans="1:64" ht="18.75" x14ac:dyDescent="0.25">
      <c r="A728" s="758"/>
      <c r="B728" s="737"/>
      <c r="C728" s="730"/>
      <c r="D728" s="739"/>
      <c r="E728" s="765"/>
      <c r="F728" s="765"/>
      <c r="G728" s="765"/>
      <c r="H728" s="765"/>
      <c r="I728" s="746" t="str">
        <f t="shared" si="34"/>
        <v/>
      </c>
      <c r="J728" s="731"/>
      <c r="K728" s="731" t="str">
        <f t="shared" si="33"/>
        <v/>
      </c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32"/>
      <c r="AB728" s="732"/>
      <c r="AC728" s="732"/>
      <c r="AD728" s="732"/>
      <c r="AE728" s="733"/>
      <c r="AF728" s="734" t="str">
        <f t="shared" si="35"/>
        <v/>
      </c>
      <c r="AG728" s="773"/>
    </row>
    <row r="729" spans="1:64" ht="18.75" x14ac:dyDescent="0.25">
      <c r="A729" s="758"/>
      <c r="B729" s="737"/>
      <c r="C729" s="730"/>
      <c r="D729" s="739"/>
      <c r="E729" s="765"/>
      <c r="F729" s="765"/>
      <c r="G729" s="765"/>
      <c r="H729" s="765"/>
      <c r="I729" s="746" t="str">
        <f t="shared" si="34"/>
        <v/>
      </c>
      <c r="J729" s="731"/>
      <c r="K729" s="731" t="str">
        <f t="shared" si="33"/>
        <v/>
      </c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32"/>
      <c r="AB729" s="732"/>
      <c r="AC729" s="732"/>
      <c r="AD729" s="732"/>
      <c r="AE729" s="733"/>
      <c r="AF729" s="734" t="str">
        <f t="shared" si="35"/>
        <v/>
      </c>
      <c r="AG729" s="774"/>
      <c r="AH729" s="778"/>
      <c r="AI729" s="736"/>
      <c r="AJ729" s="736"/>
      <c r="AK729" s="736"/>
      <c r="AL729" s="736"/>
      <c r="AM729" s="736"/>
      <c r="AN729" s="736"/>
      <c r="AO729" s="736"/>
      <c r="AP729" s="736"/>
      <c r="AQ729" s="736"/>
      <c r="AR729" s="736"/>
      <c r="AS729" s="736"/>
      <c r="AT729" s="736"/>
      <c r="AU729" s="736"/>
      <c r="AV729" s="736"/>
      <c r="AW729" s="736"/>
      <c r="AX729" s="736"/>
      <c r="AY729" s="736"/>
      <c r="AZ729" s="736"/>
      <c r="BA729" s="736"/>
      <c r="BB729" s="736"/>
      <c r="BC729" s="736"/>
      <c r="BD729" s="736"/>
      <c r="BE729" s="736"/>
      <c r="BF729" s="736"/>
      <c r="BG729" s="736"/>
      <c r="BH729" s="736"/>
      <c r="BI729" s="736"/>
      <c r="BJ729" s="736"/>
      <c r="BK729" s="736"/>
      <c r="BL729" s="736"/>
    </row>
    <row r="730" spans="1:64" ht="18.75" x14ac:dyDescent="0.25">
      <c r="A730" s="758"/>
      <c r="B730" s="737"/>
      <c r="C730" s="730"/>
      <c r="D730" s="739"/>
      <c r="E730" s="765"/>
      <c r="F730" s="765"/>
      <c r="G730" s="765"/>
      <c r="H730" s="765"/>
      <c r="I730" s="746" t="str">
        <f t="shared" si="34"/>
        <v/>
      </c>
      <c r="J730" s="731"/>
      <c r="K730" s="731" t="str">
        <f t="shared" si="33"/>
        <v/>
      </c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32"/>
      <c r="AB730" s="732"/>
      <c r="AC730" s="732"/>
      <c r="AD730" s="732"/>
      <c r="AE730" s="733"/>
      <c r="AF730" s="734" t="str">
        <f t="shared" si="35"/>
        <v/>
      </c>
      <c r="AG730" s="773"/>
    </row>
    <row r="731" spans="1:64" ht="18.75" x14ac:dyDescent="0.25">
      <c r="A731" s="758"/>
      <c r="B731" s="737"/>
      <c r="C731" s="730"/>
      <c r="D731" s="739"/>
      <c r="E731" s="765"/>
      <c r="F731" s="765"/>
      <c r="G731" s="765"/>
      <c r="H731" s="765"/>
      <c r="I731" s="746" t="str">
        <f t="shared" si="34"/>
        <v/>
      </c>
      <c r="J731" s="731"/>
      <c r="K731" s="731" t="str">
        <f t="shared" si="33"/>
        <v/>
      </c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32"/>
      <c r="AB731" s="732"/>
      <c r="AC731" s="732"/>
      <c r="AD731" s="732"/>
      <c r="AE731" s="733"/>
      <c r="AF731" s="734" t="str">
        <f t="shared" si="35"/>
        <v/>
      </c>
      <c r="AG731" s="773"/>
    </row>
    <row r="732" spans="1:64" ht="18.75" x14ac:dyDescent="0.25">
      <c r="A732" s="758"/>
      <c r="B732" s="737"/>
      <c r="C732" s="730"/>
      <c r="D732" s="739"/>
      <c r="E732" s="765"/>
      <c r="F732" s="765"/>
      <c r="G732" s="765"/>
      <c r="H732" s="765"/>
      <c r="I732" s="746" t="str">
        <f t="shared" si="34"/>
        <v/>
      </c>
      <c r="J732" s="731"/>
      <c r="K732" s="731" t="str">
        <f t="shared" si="33"/>
        <v/>
      </c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32"/>
      <c r="AB732" s="732"/>
      <c r="AC732" s="732"/>
      <c r="AD732" s="732"/>
      <c r="AE732" s="733"/>
      <c r="AF732" s="734" t="str">
        <f t="shared" si="35"/>
        <v/>
      </c>
      <c r="AG732" s="774"/>
      <c r="AH732" s="778"/>
      <c r="AI732" s="736"/>
      <c r="AJ732" s="736"/>
      <c r="AK732" s="736"/>
      <c r="AL732" s="736"/>
      <c r="AM732" s="736"/>
      <c r="AN732" s="736"/>
      <c r="AO732" s="736"/>
      <c r="AP732" s="736"/>
      <c r="AQ732" s="736"/>
      <c r="AR732" s="736"/>
      <c r="AS732" s="736"/>
      <c r="AT732" s="736"/>
      <c r="AU732" s="736"/>
      <c r="AV732" s="736"/>
      <c r="AW732" s="736"/>
      <c r="AX732" s="736"/>
      <c r="AY732" s="736"/>
      <c r="AZ732" s="736"/>
      <c r="BA732" s="736"/>
      <c r="BB732" s="736"/>
      <c r="BC732" s="736"/>
      <c r="BD732" s="736"/>
      <c r="BE732" s="736"/>
      <c r="BF732" s="736"/>
      <c r="BG732" s="736"/>
      <c r="BH732" s="736"/>
      <c r="BI732" s="736"/>
      <c r="BJ732" s="736"/>
      <c r="BK732" s="736"/>
      <c r="BL732" s="736"/>
    </row>
    <row r="733" spans="1:64" ht="18.75" x14ac:dyDescent="0.25">
      <c r="A733" s="758"/>
      <c r="B733" s="737"/>
      <c r="C733" s="730"/>
      <c r="D733" s="739"/>
      <c r="E733" s="765"/>
      <c r="F733" s="765"/>
      <c r="G733" s="765"/>
      <c r="H733" s="765"/>
      <c r="I733" s="746" t="str">
        <f t="shared" si="34"/>
        <v/>
      </c>
      <c r="J733" s="731"/>
      <c r="K733" s="731" t="str">
        <f t="shared" si="33"/>
        <v/>
      </c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32"/>
      <c r="AB733" s="732"/>
      <c r="AC733" s="732"/>
      <c r="AD733" s="732"/>
      <c r="AE733" s="733"/>
      <c r="AF733" s="734" t="str">
        <f t="shared" si="35"/>
        <v/>
      </c>
      <c r="AG733" s="773"/>
    </row>
    <row r="734" spans="1:64" ht="18.75" x14ac:dyDescent="0.25">
      <c r="A734" s="758"/>
      <c r="B734" s="737"/>
      <c r="C734" s="730"/>
      <c r="D734" s="739"/>
      <c r="E734" s="765"/>
      <c r="F734" s="765"/>
      <c r="G734" s="765"/>
      <c r="H734" s="765"/>
      <c r="I734" s="746" t="str">
        <f t="shared" si="34"/>
        <v/>
      </c>
      <c r="J734" s="731"/>
      <c r="K734" s="731" t="str">
        <f t="shared" si="33"/>
        <v/>
      </c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32"/>
      <c r="AB734" s="732"/>
      <c r="AC734" s="732"/>
      <c r="AD734" s="732"/>
      <c r="AE734" s="733"/>
      <c r="AF734" s="734" t="str">
        <f t="shared" si="35"/>
        <v/>
      </c>
      <c r="AG734" s="774"/>
      <c r="AH734" s="778"/>
      <c r="AI734" s="736"/>
      <c r="AJ734" s="736"/>
      <c r="AK734" s="736"/>
      <c r="AL734" s="736"/>
      <c r="AM734" s="736"/>
      <c r="AN734" s="736"/>
      <c r="AO734" s="736"/>
      <c r="AP734" s="736"/>
      <c r="AQ734" s="736"/>
      <c r="AR734" s="736"/>
      <c r="AS734" s="736"/>
      <c r="AT734" s="736"/>
      <c r="AU734" s="736"/>
      <c r="AV734" s="736"/>
      <c r="AW734" s="736"/>
      <c r="AX734" s="736"/>
      <c r="AY734" s="736"/>
      <c r="AZ734" s="736"/>
      <c r="BA734" s="736"/>
      <c r="BB734" s="736"/>
      <c r="BC734" s="736"/>
      <c r="BD734" s="736"/>
      <c r="BE734" s="736"/>
      <c r="BF734" s="736"/>
      <c r="BG734" s="736"/>
      <c r="BH734" s="736"/>
      <c r="BI734" s="736"/>
      <c r="BJ734" s="736"/>
      <c r="BK734" s="736"/>
      <c r="BL734" s="736"/>
    </row>
    <row r="735" spans="1:64" ht="18.75" x14ac:dyDescent="0.25">
      <c r="A735" s="758"/>
      <c r="B735" s="737"/>
      <c r="C735" s="730"/>
      <c r="D735" s="739"/>
      <c r="E735" s="765"/>
      <c r="F735" s="765"/>
      <c r="G735" s="765"/>
      <c r="H735" s="765"/>
      <c r="I735" s="746" t="str">
        <f t="shared" si="34"/>
        <v/>
      </c>
      <c r="J735" s="731"/>
      <c r="K735" s="731" t="str">
        <f t="shared" si="33"/>
        <v/>
      </c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32"/>
      <c r="AB735" s="732"/>
      <c r="AC735" s="732"/>
      <c r="AD735" s="732"/>
      <c r="AE735" s="733"/>
      <c r="AF735" s="734" t="str">
        <f t="shared" si="35"/>
        <v/>
      </c>
      <c r="AG735" s="774"/>
      <c r="AH735" s="778"/>
      <c r="AI735" s="736"/>
      <c r="AJ735" s="736"/>
      <c r="AK735" s="736"/>
      <c r="AL735" s="736"/>
      <c r="AM735" s="736"/>
      <c r="AN735" s="736"/>
      <c r="AO735" s="736"/>
      <c r="AP735" s="736"/>
      <c r="AQ735" s="736"/>
      <c r="AR735" s="736"/>
      <c r="AS735" s="736"/>
      <c r="AT735" s="736"/>
      <c r="AU735" s="736"/>
      <c r="AV735" s="736"/>
      <c r="AW735" s="736"/>
      <c r="AX735" s="736"/>
      <c r="AY735" s="736"/>
      <c r="AZ735" s="736"/>
      <c r="BA735" s="736"/>
      <c r="BB735" s="736"/>
      <c r="BC735" s="736"/>
      <c r="BD735" s="736"/>
      <c r="BE735" s="736"/>
      <c r="BF735" s="736"/>
      <c r="BG735" s="736"/>
      <c r="BH735" s="736"/>
      <c r="BI735" s="736"/>
      <c r="BJ735" s="736"/>
      <c r="BK735" s="736"/>
      <c r="BL735" s="736"/>
    </row>
    <row r="736" spans="1:64" ht="18.75" x14ac:dyDescent="0.25">
      <c r="A736" s="758"/>
      <c r="B736" s="737"/>
      <c r="C736" s="730"/>
      <c r="D736" s="739"/>
      <c r="E736" s="765"/>
      <c r="F736" s="765"/>
      <c r="G736" s="765"/>
      <c r="H736" s="765"/>
      <c r="I736" s="746" t="str">
        <f t="shared" si="34"/>
        <v/>
      </c>
      <c r="J736" s="731"/>
      <c r="K736" s="731" t="str">
        <f t="shared" si="33"/>
        <v/>
      </c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32"/>
      <c r="AB736" s="732"/>
      <c r="AC736" s="732"/>
      <c r="AD736" s="732"/>
      <c r="AE736" s="733"/>
      <c r="AF736" s="734" t="str">
        <f t="shared" si="35"/>
        <v/>
      </c>
      <c r="AG736" s="773"/>
    </row>
    <row r="737" spans="1:64" ht="18.75" x14ac:dyDescent="0.25">
      <c r="A737" s="758"/>
      <c r="B737" s="737"/>
      <c r="C737" s="730"/>
      <c r="D737" s="739"/>
      <c r="E737" s="765"/>
      <c r="F737" s="765"/>
      <c r="G737" s="765"/>
      <c r="H737" s="765"/>
      <c r="I737" s="746" t="str">
        <f t="shared" si="34"/>
        <v/>
      </c>
      <c r="J737" s="731"/>
      <c r="K737" s="731" t="str">
        <f t="shared" si="33"/>
        <v/>
      </c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32"/>
      <c r="AB737" s="732"/>
      <c r="AC737" s="732"/>
      <c r="AD737" s="732"/>
      <c r="AE737" s="733"/>
      <c r="AF737" s="734" t="str">
        <f t="shared" si="35"/>
        <v/>
      </c>
      <c r="AG737" s="774"/>
      <c r="AH737" s="778"/>
      <c r="AI737" s="736"/>
      <c r="AJ737" s="736"/>
      <c r="AK737" s="736"/>
      <c r="AL737" s="736"/>
      <c r="AM737" s="736"/>
      <c r="AN737" s="736"/>
      <c r="AO737" s="736"/>
      <c r="AP737" s="736"/>
      <c r="AQ737" s="736"/>
      <c r="AR737" s="736"/>
      <c r="AS737" s="736"/>
      <c r="AT737" s="736"/>
      <c r="AU737" s="736"/>
      <c r="AV737" s="736"/>
      <c r="AW737" s="736"/>
      <c r="AX737" s="736"/>
      <c r="AY737" s="736"/>
      <c r="AZ737" s="736"/>
      <c r="BA737" s="736"/>
      <c r="BB737" s="736"/>
      <c r="BC737" s="736"/>
      <c r="BD737" s="736"/>
      <c r="BE737" s="736"/>
      <c r="BF737" s="736"/>
      <c r="BG737" s="736"/>
      <c r="BH737" s="736"/>
      <c r="BI737" s="736"/>
      <c r="BJ737" s="736"/>
      <c r="BK737" s="736"/>
      <c r="BL737" s="736"/>
    </row>
    <row r="738" spans="1:64" ht="18.75" x14ac:dyDescent="0.25">
      <c r="A738" s="758"/>
      <c r="B738" s="737"/>
      <c r="C738" s="730"/>
      <c r="D738" s="739"/>
      <c r="E738" s="765"/>
      <c r="F738" s="765"/>
      <c r="G738" s="765"/>
      <c r="H738" s="765"/>
      <c r="I738" s="746" t="str">
        <f t="shared" si="34"/>
        <v/>
      </c>
      <c r="J738" s="731"/>
      <c r="K738" s="731" t="str">
        <f t="shared" si="33"/>
        <v/>
      </c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32"/>
      <c r="AB738" s="732"/>
      <c r="AC738" s="732"/>
      <c r="AD738" s="732"/>
      <c r="AE738" s="733"/>
      <c r="AF738" s="734" t="str">
        <f t="shared" si="35"/>
        <v/>
      </c>
      <c r="AG738" s="773"/>
    </row>
    <row r="739" spans="1:64" ht="18.75" x14ac:dyDescent="0.25">
      <c r="A739" s="758"/>
      <c r="B739" s="737"/>
      <c r="C739" s="730"/>
      <c r="D739" s="739"/>
      <c r="E739" s="765"/>
      <c r="F739" s="765"/>
      <c r="G739" s="765"/>
      <c r="H739" s="765"/>
      <c r="I739" s="746" t="str">
        <f t="shared" si="34"/>
        <v/>
      </c>
      <c r="J739" s="731"/>
      <c r="K739" s="731" t="str">
        <f t="shared" si="33"/>
        <v/>
      </c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32"/>
      <c r="AB739" s="732"/>
      <c r="AC739" s="732"/>
      <c r="AD739" s="732"/>
      <c r="AE739" s="733"/>
      <c r="AF739" s="734" t="str">
        <f t="shared" si="35"/>
        <v/>
      </c>
      <c r="AG739" s="774"/>
      <c r="AH739" s="778"/>
      <c r="AI739" s="736"/>
      <c r="AJ739" s="736"/>
      <c r="AK739" s="736"/>
      <c r="AL739" s="736"/>
      <c r="AM739" s="736"/>
      <c r="AN739" s="736"/>
      <c r="AO739" s="736"/>
      <c r="AP739" s="736"/>
      <c r="AQ739" s="736"/>
      <c r="AR739" s="736"/>
      <c r="AS739" s="736"/>
      <c r="AT739" s="736"/>
      <c r="AU739" s="736"/>
      <c r="AV739" s="736"/>
      <c r="AW739" s="736"/>
      <c r="AX739" s="736"/>
      <c r="AY739" s="736"/>
      <c r="AZ739" s="736"/>
      <c r="BA739" s="736"/>
      <c r="BB739" s="736"/>
      <c r="BC739" s="736"/>
      <c r="BD739" s="736"/>
      <c r="BE739" s="736"/>
      <c r="BF739" s="736"/>
      <c r="BG739" s="736"/>
      <c r="BH739" s="736"/>
      <c r="BI739" s="736"/>
      <c r="BJ739" s="736"/>
      <c r="BK739" s="736"/>
      <c r="BL739" s="736"/>
    </row>
    <row r="740" spans="1:64" ht="18.75" x14ac:dyDescent="0.25">
      <c r="A740" s="758"/>
      <c r="B740" s="737"/>
      <c r="C740" s="730"/>
      <c r="D740" s="739"/>
      <c r="E740" s="765"/>
      <c r="F740" s="765"/>
      <c r="G740" s="765"/>
      <c r="H740" s="765"/>
      <c r="I740" s="746" t="str">
        <f t="shared" si="34"/>
        <v/>
      </c>
      <c r="J740" s="731"/>
      <c r="K740" s="731" t="str">
        <f t="shared" si="33"/>
        <v/>
      </c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32"/>
      <c r="AB740" s="732"/>
      <c r="AC740" s="732"/>
      <c r="AD740" s="732"/>
      <c r="AE740" s="733"/>
      <c r="AF740" s="734" t="str">
        <f t="shared" si="35"/>
        <v/>
      </c>
      <c r="AG740" s="774"/>
      <c r="AH740" s="778"/>
      <c r="AI740" s="736"/>
      <c r="AJ740" s="736"/>
      <c r="AK740" s="736"/>
      <c r="AL740" s="736"/>
      <c r="AM740" s="736"/>
      <c r="AN740" s="736"/>
      <c r="AO740" s="736"/>
      <c r="AP740" s="736"/>
      <c r="AQ740" s="736"/>
      <c r="AR740" s="736"/>
      <c r="AS740" s="736"/>
      <c r="AT740" s="736"/>
      <c r="AU740" s="736"/>
      <c r="AV740" s="736"/>
      <c r="AW740" s="736"/>
      <c r="AX740" s="736"/>
      <c r="AY740" s="736"/>
      <c r="AZ740" s="736"/>
      <c r="BA740" s="736"/>
      <c r="BB740" s="736"/>
      <c r="BC740" s="736"/>
      <c r="BD740" s="736"/>
      <c r="BE740" s="736"/>
      <c r="BF740" s="736"/>
      <c r="BG740" s="736"/>
      <c r="BH740" s="736"/>
      <c r="BI740" s="736"/>
      <c r="BJ740" s="736"/>
      <c r="BK740" s="736"/>
      <c r="BL740" s="736"/>
    </row>
    <row r="741" spans="1:64" ht="18.75" x14ac:dyDescent="0.25">
      <c r="A741" s="758"/>
      <c r="B741" s="737"/>
      <c r="C741" s="730"/>
      <c r="D741" s="739"/>
      <c r="E741" s="765"/>
      <c r="F741" s="765"/>
      <c r="G741" s="765"/>
      <c r="H741" s="765"/>
      <c r="I741" s="746" t="str">
        <f t="shared" si="34"/>
        <v/>
      </c>
      <c r="J741" s="731"/>
      <c r="K741" s="731" t="str">
        <f t="shared" si="33"/>
        <v/>
      </c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32"/>
      <c r="AB741" s="732"/>
      <c r="AC741" s="732"/>
      <c r="AD741" s="732"/>
      <c r="AE741" s="733"/>
      <c r="AF741" s="734" t="str">
        <f t="shared" si="35"/>
        <v/>
      </c>
      <c r="AG741" s="774"/>
      <c r="AH741" s="778"/>
      <c r="AI741" s="736"/>
      <c r="AJ741" s="736"/>
      <c r="AK741" s="736"/>
      <c r="AL741" s="736"/>
      <c r="AM741" s="736"/>
      <c r="AN741" s="736"/>
      <c r="AO741" s="736"/>
      <c r="AP741" s="736"/>
      <c r="AQ741" s="736"/>
      <c r="AR741" s="736"/>
      <c r="AS741" s="736"/>
      <c r="AT741" s="736"/>
      <c r="AU741" s="736"/>
      <c r="AV741" s="736"/>
      <c r="AW741" s="736"/>
      <c r="AX741" s="736"/>
      <c r="AY741" s="736"/>
      <c r="AZ741" s="736"/>
      <c r="BA741" s="736"/>
      <c r="BB741" s="736"/>
      <c r="BC741" s="736"/>
      <c r="BD741" s="736"/>
      <c r="BE741" s="736"/>
      <c r="BF741" s="736"/>
      <c r="BG741" s="736"/>
      <c r="BH741" s="736"/>
      <c r="BI741" s="736"/>
      <c r="BJ741" s="736"/>
      <c r="BK741" s="736"/>
      <c r="BL741" s="736"/>
    </row>
    <row r="742" spans="1:64" ht="18.75" x14ac:dyDescent="0.25">
      <c r="A742" s="758"/>
      <c r="B742" s="737"/>
      <c r="C742" s="730"/>
      <c r="D742" s="739"/>
      <c r="E742" s="765"/>
      <c r="F742" s="765"/>
      <c r="G742" s="765"/>
      <c r="H742" s="765"/>
      <c r="I742" s="746" t="str">
        <f t="shared" si="34"/>
        <v/>
      </c>
      <c r="J742" s="731"/>
      <c r="K742" s="731" t="str">
        <f t="shared" si="33"/>
        <v/>
      </c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32"/>
      <c r="AB742" s="732"/>
      <c r="AC742" s="732"/>
      <c r="AD742" s="732"/>
      <c r="AE742" s="733"/>
      <c r="AF742" s="734" t="str">
        <f t="shared" si="35"/>
        <v/>
      </c>
      <c r="AG742" s="774"/>
      <c r="AH742" s="778"/>
      <c r="AI742" s="736"/>
      <c r="AJ742" s="736"/>
      <c r="AK742" s="736"/>
      <c r="AL742" s="736"/>
      <c r="AM742" s="736"/>
      <c r="AN742" s="736"/>
      <c r="AO742" s="736"/>
      <c r="AP742" s="736"/>
      <c r="AQ742" s="736"/>
      <c r="AR742" s="736"/>
      <c r="AS742" s="736"/>
      <c r="AT742" s="736"/>
      <c r="AU742" s="736"/>
      <c r="AV742" s="736"/>
      <c r="AW742" s="736"/>
      <c r="AX742" s="736"/>
      <c r="AY742" s="736"/>
      <c r="AZ742" s="736"/>
      <c r="BA742" s="736"/>
      <c r="BB742" s="736"/>
      <c r="BC742" s="736"/>
      <c r="BD742" s="736"/>
      <c r="BE742" s="736"/>
      <c r="BF742" s="736"/>
      <c r="BG742" s="736"/>
      <c r="BH742" s="736"/>
      <c r="BI742" s="736"/>
      <c r="BJ742" s="736"/>
      <c r="BK742" s="736"/>
      <c r="BL742" s="736"/>
    </row>
    <row r="743" spans="1:64" ht="18.75" x14ac:dyDescent="0.25">
      <c r="A743" s="758"/>
      <c r="B743" s="737"/>
      <c r="C743" s="730"/>
      <c r="D743" s="739"/>
      <c r="E743" s="765"/>
      <c r="F743" s="765"/>
      <c r="G743" s="765"/>
      <c r="H743" s="765"/>
      <c r="I743" s="746" t="str">
        <f t="shared" si="34"/>
        <v/>
      </c>
      <c r="J743" s="731"/>
      <c r="K743" s="731" t="str">
        <f t="shared" si="33"/>
        <v/>
      </c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32"/>
      <c r="AB743" s="732"/>
      <c r="AC743" s="732"/>
      <c r="AD743" s="732"/>
      <c r="AE743" s="733"/>
      <c r="AF743" s="734" t="str">
        <f t="shared" si="35"/>
        <v/>
      </c>
      <c r="AG743" s="774"/>
      <c r="AH743" s="778"/>
      <c r="AI743" s="736"/>
      <c r="AJ743" s="736"/>
      <c r="AK743" s="736"/>
      <c r="AL743" s="736"/>
      <c r="AM743" s="736"/>
      <c r="AN743" s="736"/>
      <c r="AO743" s="736"/>
      <c r="AP743" s="736"/>
      <c r="AQ743" s="736"/>
      <c r="AR743" s="736"/>
      <c r="AS743" s="736"/>
      <c r="AT743" s="736"/>
      <c r="AU743" s="736"/>
      <c r="AV743" s="736"/>
      <c r="AW743" s="736"/>
      <c r="AX743" s="736"/>
      <c r="AY743" s="736"/>
      <c r="AZ743" s="736"/>
      <c r="BA743" s="736"/>
      <c r="BB743" s="736"/>
      <c r="BC743" s="736"/>
      <c r="BD743" s="736"/>
      <c r="BE743" s="736"/>
      <c r="BF743" s="736"/>
      <c r="BG743" s="736"/>
      <c r="BH743" s="736"/>
      <c r="BI743" s="736"/>
      <c r="BJ743" s="736"/>
      <c r="BK743" s="736"/>
      <c r="BL743" s="736"/>
    </row>
    <row r="744" spans="1:64" ht="18.75" x14ac:dyDescent="0.25">
      <c r="A744" s="758"/>
      <c r="B744" s="737"/>
      <c r="C744" s="730"/>
      <c r="D744" s="739"/>
      <c r="E744" s="765"/>
      <c r="F744" s="765"/>
      <c r="G744" s="765"/>
      <c r="H744" s="765"/>
      <c r="I744" s="746" t="str">
        <f t="shared" si="34"/>
        <v/>
      </c>
      <c r="J744" s="731"/>
      <c r="K744" s="731" t="str">
        <f t="shared" si="33"/>
        <v/>
      </c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32"/>
      <c r="AB744" s="732"/>
      <c r="AC744" s="732"/>
      <c r="AD744" s="732"/>
      <c r="AE744" s="733"/>
      <c r="AF744" s="734" t="str">
        <f t="shared" si="35"/>
        <v/>
      </c>
      <c r="AG744" s="774"/>
      <c r="AH744" s="778"/>
      <c r="AI744" s="736"/>
      <c r="AJ744" s="736"/>
      <c r="AK744" s="736"/>
      <c r="AL744" s="736"/>
      <c r="AM744" s="736"/>
      <c r="AN744" s="736"/>
      <c r="AO744" s="736"/>
      <c r="AP744" s="736"/>
      <c r="AQ744" s="736"/>
      <c r="AR744" s="736"/>
      <c r="AS744" s="736"/>
      <c r="AT744" s="736"/>
      <c r="AU744" s="736"/>
      <c r="AV744" s="736"/>
      <c r="AW744" s="736"/>
      <c r="AX744" s="736"/>
      <c r="AY744" s="736"/>
      <c r="AZ744" s="736"/>
      <c r="BA744" s="736"/>
      <c r="BB744" s="736"/>
      <c r="BC744" s="736"/>
      <c r="BD744" s="736"/>
      <c r="BE744" s="736"/>
      <c r="BF744" s="736"/>
      <c r="BG744" s="736"/>
      <c r="BH744" s="736"/>
      <c r="BI744" s="736"/>
      <c r="BJ744" s="736"/>
      <c r="BK744" s="736"/>
      <c r="BL744" s="736"/>
    </row>
    <row r="745" spans="1:64" ht="18.75" x14ac:dyDescent="0.25">
      <c r="A745" s="758"/>
      <c r="B745" s="737"/>
      <c r="C745" s="730"/>
      <c r="D745" s="739"/>
      <c r="E745" s="765"/>
      <c r="F745" s="765"/>
      <c r="G745" s="765"/>
      <c r="H745" s="765"/>
      <c r="I745" s="746" t="str">
        <f t="shared" si="34"/>
        <v/>
      </c>
      <c r="J745" s="731"/>
      <c r="K745" s="731" t="str">
        <f t="shared" si="33"/>
        <v/>
      </c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32"/>
      <c r="AB745" s="732"/>
      <c r="AC745" s="732"/>
      <c r="AD745" s="732"/>
      <c r="AE745" s="733"/>
      <c r="AF745" s="734" t="str">
        <f t="shared" si="35"/>
        <v/>
      </c>
      <c r="AG745" s="774"/>
      <c r="AH745" s="778"/>
      <c r="AI745" s="736"/>
      <c r="AJ745" s="736"/>
      <c r="AK745" s="736"/>
      <c r="AL745" s="736"/>
      <c r="AM745" s="736"/>
      <c r="AN745" s="736"/>
      <c r="AO745" s="736"/>
      <c r="AP745" s="736"/>
      <c r="AQ745" s="736"/>
      <c r="AR745" s="736"/>
      <c r="AS745" s="736"/>
      <c r="AT745" s="736"/>
      <c r="AU745" s="736"/>
      <c r="AV745" s="736"/>
      <c r="AW745" s="736"/>
      <c r="AX745" s="736"/>
      <c r="AY745" s="736"/>
      <c r="AZ745" s="736"/>
      <c r="BA745" s="736"/>
      <c r="BB745" s="736"/>
      <c r="BC745" s="736"/>
      <c r="BD745" s="736"/>
      <c r="BE745" s="736"/>
      <c r="BF745" s="736"/>
      <c r="BG745" s="736"/>
      <c r="BH745" s="736"/>
      <c r="BI745" s="736"/>
      <c r="BJ745" s="736"/>
      <c r="BK745" s="736"/>
      <c r="BL745" s="736"/>
    </row>
    <row r="746" spans="1:64" ht="18.75" x14ac:dyDescent="0.25">
      <c r="A746" s="758"/>
      <c r="B746" s="737"/>
      <c r="C746" s="730"/>
      <c r="D746" s="739"/>
      <c r="E746" s="765"/>
      <c r="F746" s="765"/>
      <c r="G746" s="765"/>
      <c r="H746" s="765"/>
      <c r="I746" s="746" t="str">
        <f t="shared" si="34"/>
        <v/>
      </c>
      <c r="J746" s="731"/>
      <c r="K746" s="731" t="str">
        <f t="shared" si="33"/>
        <v/>
      </c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32"/>
      <c r="AB746" s="732"/>
      <c r="AC746" s="732"/>
      <c r="AD746" s="732"/>
      <c r="AE746" s="733"/>
      <c r="AF746" s="734" t="str">
        <f t="shared" si="35"/>
        <v/>
      </c>
      <c r="AG746" s="773"/>
    </row>
    <row r="747" spans="1:64" ht="18.75" x14ac:dyDescent="0.25">
      <c r="A747" s="758"/>
      <c r="B747" s="737"/>
      <c r="C747" s="730"/>
      <c r="D747" s="739"/>
      <c r="E747" s="765"/>
      <c r="F747" s="765"/>
      <c r="G747" s="765"/>
      <c r="H747" s="765"/>
      <c r="I747" s="746" t="str">
        <f t="shared" si="34"/>
        <v/>
      </c>
      <c r="J747" s="731"/>
      <c r="K747" s="731" t="str">
        <f t="shared" si="33"/>
        <v/>
      </c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32"/>
      <c r="AB747" s="732"/>
      <c r="AC747" s="732"/>
      <c r="AD747" s="732"/>
      <c r="AE747" s="733"/>
      <c r="AF747" s="734" t="str">
        <f t="shared" si="35"/>
        <v/>
      </c>
      <c r="AG747" s="774"/>
      <c r="AH747" s="778"/>
      <c r="AI747" s="736"/>
      <c r="AJ747" s="736"/>
      <c r="AK747" s="736"/>
      <c r="AL747" s="736"/>
      <c r="AM747" s="736"/>
      <c r="AN747" s="736"/>
      <c r="AO747" s="736"/>
      <c r="AP747" s="736"/>
      <c r="AQ747" s="736"/>
      <c r="AR747" s="736"/>
      <c r="AS747" s="736"/>
      <c r="AT747" s="736"/>
      <c r="AU747" s="736"/>
      <c r="AV747" s="736"/>
      <c r="AW747" s="736"/>
      <c r="AX747" s="736"/>
      <c r="AY747" s="736"/>
      <c r="AZ747" s="736"/>
      <c r="BA747" s="736"/>
      <c r="BB747" s="736"/>
      <c r="BC747" s="736"/>
      <c r="BD747" s="736"/>
      <c r="BE747" s="736"/>
      <c r="BF747" s="736"/>
      <c r="BG747" s="736"/>
      <c r="BH747" s="736"/>
      <c r="BI747" s="736"/>
      <c r="BJ747" s="736"/>
      <c r="BK747" s="736"/>
      <c r="BL747" s="736"/>
    </row>
    <row r="748" spans="1:64" ht="18.75" x14ac:dyDescent="0.25">
      <c r="A748" s="758"/>
      <c r="B748" s="737"/>
      <c r="C748" s="730"/>
      <c r="D748" s="739"/>
      <c r="E748" s="765"/>
      <c r="F748" s="765"/>
      <c r="G748" s="765"/>
      <c r="H748" s="765"/>
      <c r="I748" s="746" t="str">
        <f t="shared" si="34"/>
        <v/>
      </c>
      <c r="J748" s="731"/>
      <c r="K748" s="731" t="str">
        <f t="shared" si="33"/>
        <v/>
      </c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32"/>
      <c r="AB748" s="732"/>
      <c r="AC748" s="732"/>
      <c r="AD748" s="732"/>
      <c r="AE748" s="733"/>
      <c r="AF748" s="734" t="str">
        <f t="shared" si="35"/>
        <v/>
      </c>
      <c r="AG748" s="774"/>
      <c r="AH748" s="778"/>
      <c r="AI748" s="736"/>
      <c r="AJ748" s="736"/>
      <c r="AK748" s="736"/>
      <c r="AL748" s="736"/>
      <c r="AM748" s="736"/>
      <c r="AN748" s="736"/>
      <c r="AO748" s="736"/>
      <c r="AP748" s="736"/>
      <c r="AQ748" s="736"/>
      <c r="AR748" s="736"/>
      <c r="AS748" s="736"/>
      <c r="AT748" s="736"/>
      <c r="AU748" s="736"/>
      <c r="AV748" s="736"/>
      <c r="AW748" s="736"/>
      <c r="AX748" s="736"/>
      <c r="AY748" s="736"/>
      <c r="AZ748" s="736"/>
      <c r="BA748" s="736"/>
      <c r="BB748" s="736"/>
      <c r="BC748" s="736"/>
      <c r="BD748" s="736"/>
      <c r="BE748" s="736"/>
      <c r="BF748" s="736"/>
      <c r="BG748" s="736"/>
      <c r="BH748" s="736"/>
      <c r="BI748" s="736"/>
      <c r="BJ748" s="736"/>
      <c r="BK748" s="736"/>
      <c r="BL748" s="736"/>
    </row>
    <row r="749" spans="1:64" ht="18.75" x14ac:dyDescent="0.25">
      <c r="A749" s="758"/>
      <c r="B749" s="737"/>
      <c r="C749" s="730"/>
      <c r="D749" s="739"/>
      <c r="E749" s="765"/>
      <c r="F749" s="765"/>
      <c r="G749" s="765"/>
      <c r="H749" s="765"/>
      <c r="I749" s="746" t="str">
        <f t="shared" si="34"/>
        <v/>
      </c>
      <c r="J749" s="731"/>
      <c r="K749" s="731" t="str">
        <f t="shared" si="33"/>
        <v/>
      </c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32"/>
      <c r="AB749" s="732"/>
      <c r="AC749" s="732"/>
      <c r="AD749" s="732"/>
      <c r="AE749" s="733"/>
      <c r="AF749" s="734" t="str">
        <f t="shared" si="35"/>
        <v/>
      </c>
      <c r="AG749" s="774"/>
      <c r="AH749" s="778"/>
      <c r="AI749" s="736"/>
      <c r="AJ749" s="736"/>
      <c r="AK749" s="736"/>
      <c r="AL749" s="736"/>
      <c r="AM749" s="736"/>
      <c r="AN749" s="736"/>
      <c r="AO749" s="736"/>
      <c r="AP749" s="736"/>
      <c r="AQ749" s="736"/>
      <c r="AR749" s="736"/>
      <c r="AS749" s="736"/>
      <c r="AT749" s="736"/>
      <c r="AU749" s="736"/>
      <c r="AV749" s="736"/>
      <c r="AW749" s="736"/>
      <c r="AX749" s="736"/>
      <c r="AY749" s="736"/>
      <c r="AZ749" s="736"/>
      <c r="BA749" s="736"/>
      <c r="BB749" s="736"/>
      <c r="BC749" s="736"/>
      <c r="BD749" s="736"/>
      <c r="BE749" s="736"/>
      <c r="BF749" s="736"/>
      <c r="BG749" s="736"/>
      <c r="BH749" s="736"/>
      <c r="BI749" s="736"/>
      <c r="BJ749" s="736"/>
      <c r="BK749" s="736"/>
      <c r="BL749" s="736"/>
    </row>
    <row r="750" spans="1:64" ht="18.75" x14ac:dyDescent="0.25">
      <c r="A750" s="758"/>
      <c r="B750" s="737"/>
      <c r="C750" s="730"/>
      <c r="D750" s="739"/>
      <c r="E750" s="765"/>
      <c r="F750" s="765"/>
      <c r="G750" s="765"/>
      <c r="H750" s="765"/>
      <c r="I750" s="746" t="str">
        <f t="shared" si="34"/>
        <v/>
      </c>
      <c r="J750" s="731"/>
      <c r="K750" s="731" t="str">
        <f t="shared" si="33"/>
        <v/>
      </c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32"/>
      <c r="AB750" s="732"/>
      <c r="AC750" s="732"/>
      <c r="AD750" s="732"/>
      <c r="AE750" s="733"/>
      <c r="AF750" s="734" t="str">
        <f t="shared" si="35"/>
        <v/>
      </c>
      <c r="AG750" s="774"/>
      <c r="AH750" s="778"/>
      <c r="AI750" s="736"/>
      <c r="AJ750" s="736"/>
      <c r="AK750" s="736"/>
      <c r="AL750" s="736"/>
      <c r="AM750" s="736"/>
      <c r="AN750" s="736"/>
      <c r="AO750" s="736"/>
      <c r="AP750" s="736"/>
      <c r="AQ750" s="736"/>
      <c r="AR750" s="736"/>
      <c r="AS750" s="736"/>
      <c r="AT750" s="736"/>
      <c r="AU750" s="736"/>
      <c r="AV750" s="736"/>
      <c r="AW750" s="736"/>
      <c r="AX750" s="736"/>
      <c r="AY750" s="736"/>
      <c r="AZ750" s="736"/>
      <c r="BA750" s="736"/>
      <c r="BB750" s="736"/>
      <c r="BC750" s="736"/>
      <c r="BD750" s="736"/>
      <c r="BE750" s="736"/>
      <c r="BF750" s="736"/>
      <c r="BG750" s="736"/>
      <c r="BH750" s="736"/>
      <c r="BI750" s="736"/>
      <c r="BJ750" s="736"/>
      <c r="BK750" s="736"/>
      <c r="BL750" s="736"/>
    </row>
    <row r="751" spans="1:64" ht="18.75" x14ac:dyDescent="0.25">
      <c r="A751" s="758"/>
      <c r="B751" s="737"/>
      <c r="C751" s="730"/>
      <c r="D751" s="739"/>
      <c r="E751" s="765"/>
      <c r="F751" s="765"/>
      <c r="G751" s="765"/>
      <c r="H751" s="765"/>
      <c r="I751" s="746" t="str">
        <f t="shared" si="34"/>
        <v/>
      </c>
      <c r="J751" s="731"/>
      <c r="K751" s="731" t="str">
        <f t="shared" si="33"/>
        <v/>
      </c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32"/>
      <c r="AB751" s="732"/>
      <c r="AC751" s="732"/>
      <c r="AD751" s="732"/>
      <c r="AE751" s="733"/>
      <c r="AF751" s="734" t="str">
        <f t="shared" si="35"/>
        <v/>
      </c>
      <c r="AG751" s="774"/>
      <c r="AH751" s="778"/>
      <c r="AI751" s="736"/>
      <c r="AJ751" s="736"/>
      <c r="AK751" s="736"/>
      <c r="AL751" s="736"/>
      <c r="AM751" s="736"/>
      <c r="AN751" s="736"/>
      <c r="AO751" s="736"/>
      <c r="AP751" s="736"/>
      <c r="AQ751" s="736"/>
      <c r="AR751" s="736"/>
      <c r="AS751" s="736"/>
      <c r="AT751" s="736"/>
      <c r="AU751" s="736"/>
      <c r="AV751" s="736"/>
      <c r="AW751" s="736"/>
      <c r="AX751" s="736"/>
      <c r="AY751" s="736"/>
      <c r="AZ751" s="736"/>
      <c r="BA751" s="736"/>
      <c r="BB751" s="736"/>
      <c r="BC751" s="736"/>
      <c r="BD751" s="736"/>
      <c r="BE751" s="736"/>
      <c r="BF751" s="736"/>
      <c r="BG751" s="736"/>
      <c r="BH751" s="736"/>
      <c r="BI751" s="736"/>
      <c r="BJ751" s="736"/>
      <c r="BK751" s="736"/>
      <c r="BL751" s="736"/>
    </row>
    <row r="752" spans="1:64" ht="18.75" x14ac:dyDescent="0.25">
      <c r="A752" s="758"/>
      <c r="B752" s="737"/>
      <c r="C752" s="730"/>
      <c r="D752" s="739"/>
      <c r="E752" s="765"/>
      <c r="F752" s="765"/>
      <c r="G752" s="765"/>
      <c r="H752" s="765"/>
      <c r="I752" s="746" t="str">
        <f t="shared" si="34"/>
        <v/>
      </c>
      <c r="J752" s="731"/>
      <c r="K752" s="731" t="str">
        <f t="shared" si="33"/>
        <v/>
      </c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32"/>
      <c r="AB752" s="732"/>
      <c r="AC752" s="732"/>
      <c r="AD752" s="732"/>
      <c r="AE752" s="733"/>
      <c r="AF752" s="734" t="str">
        <f t="shared" si="35"/>
        <v/>
      </c>
      <c r="AG752" s="774"/>
      <c r="AH752" s="778"/>
      <c r="AI752" s="736"/>
      <c r="AJ752" s="736"/>
      <c r="AK752" s="736"/>
      <c r="AL752" s="736"/>
      <c r="AM752" s="736"/>
      <c r="AN752" s="736"/>
      <c r="AO752" s="736"/>
      <c r="AP752" s="736"/>
      <c r="AQ752" s="736"/>
      <c r="AR752" s="736"/>
      <c r="AS752" s="736"/>
      <c r="AT752" s="736"/>
      <c r="AU752" s="736"/>
      <c r="AV752" s="736"/>
      <c r="AW752" s="736"/>
      <c r="AX752" s="736"/>
      <c r="AY752" s="736"/>
      <c r="AZ752" s="736"/>
      <c r="BA752" s="736"/>
      <c r="BB752" s="736"/>
      <c r="BC752" s="736"/>
      <c r="BD752" s="736"/>
      <c r="BE752" s="736"/>
      <c r="BF752" s="736"/>
      <c r="BG752" s="736"/>
      <c r="BH752" s="736"/>
      <c r="BI752" s="736"/>
      <c r="BJ752" s="736"/>
      <c r="BK752" s="736"/>
      <c r="BL752" s="736"/>
    </row>
    <row r="753" spans="1:64" ht="18.75" x14ac:dyDescent="0.25">
      <c r="A753" s="758"/>
      <c r="B753" s="737"/>
      <c r="C753" s="730"/>
      <c r="D753" s="739"/>
      <c r="E753" s="765"/>
      <c r="F753" s="765"/>
      <c r="G753" s="765"/>
      <c r="H753" s="765"/>
      <c r="I753" s="746" t="str">
        <f t="shared" si="34"/>
        <v/>
      </c>
      <c r="J753" s="731"/>
      <c r="K753" s="731" t="str">
        <f t="shared" si="33"/>
        <v/>
      </c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32"/>
      <c r="AB753" s="732"/>
      <c r="AC753" s="732"/>
      <c r="AD753" s="732"/>
      <c r="AE753" s="733"/>
      <c r="AF753" s="734" t="str">
        <f t="shared" si="35"/>
        <v/>
      </c>
      <c r="AG753" s="773"/>
    </row>
    <row r="754" spans="1:64" ht="18.75" x14ac:dyDescent="0.25">
      <c r="A754" s="758"/>
      <c r="B754" s="737"/>
      <c r="C754" s="730"/>
      <c r="D754" s="739"/>
      <c r="E754" s="765"/>
      <c r="F754" s="765"/>
      <c r="G754" s="765"/>
      <c r="H754" s="765"/>
      <c r="I754" s="746" t="str">
        <f t="shared" si="34"/>
        <v/>
      </c>
      <c r="J754" s="731"/>
      <c r="K754" s="731" t="str">
        <f t="shared" si="33"/>
        <v/>
      </c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32"/>
      <c r="AB754" s="732"/>
      <c r="AC754" s="732"/>
      <c r="AD754" s="732"/>
      <c r="AE754" s="733"/>
      <c r="AF754" s="734" t="str">
        <f t="shared" si="35"/>
        <v/>
      </c>
      <c r="AG754" s="774"/>
      <c r="AH754" s="778"/>
      <c r="AI754" s="736"/>
      <c r="AJ754" s="736"/>
      <c r="AK754" s="736"/>
      <c r="AL754" s="736"/>
      <c r="AM754" s="736"/>
      <c r="AN754" s="736"/>
      <c r="AO754" s="736"/>
      <c r="AP754" s="736"/>
      <c r="AQ754" s="736"/>
      <c r="AR754" s="736"/>
      <c r="AS754" s="736"/>
      <c r="AT754" s="736"/>
      <c r="AU754" s="736"/>
      <c r="AV754" s="736"/>
      <c r="AW754" s="736"/>
      <c r="AX754" s="736"/>
      <c r="AY754" s="736"/>
      <c r="AZ754" s="736"/>
      <c r="BA754" s="736"/>
      <c r="BB754" s="736"/>
      <c r="BC754" s="736"/>
      <c r="BD754" s="736"/>
      <c r="BE754" s="736"/>
      <c r="BF754" s="736"/>
      <c r="BG754" s="736"/>
      <c r="BH754" s="736"/>
      <c r="BI754" s="736"/>
      <c r="BJ754" s="736"/>
      <c r="BK754" s="736"/>
      <c r="BL754" s="736"/>
    </row>
    <row r="755" spans="1:64" ht="18.75" x14ac:dyDescent="0.25">
      <c r="A755" s="758"/>
      <c r="B755" s="737"/>
      <c r="C755" s="730"/>
      <c r="D755" s="739"/>
      <c r="E755" s="765"/>
      <c r="F755" s="765"/>
      <c r="G755" s="765"/>
      <c r="H755" s="765"/>
      <c r="I755" s="746" t="str">
        <f t="shared" si="34"/>
        <v/>
      </c>
      <c r="J755" s="731"/>
      <c r="K755" s="731" t="str">
        <f t="shared" si="33"/>
        <v/>
      </c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32"/>
      <c r="AB755" s="732"/>
      <c r="AC755" s="732"/>
      <c r="AD755" s="732"/>
      <c r="AE755" s="733"/>
      <c r="AF755" s="734" t="str">
        <f t="shared" si="35"/>
        <v/>
      </c>
      <c r="AG755" s="773"/>
    </row>
    <row r="756" spans="1:64" ht="18.75" x14ac:dyDescent="0.25">
      <c r="A756" s="758"/>
      <c r="B756" s="737"/>
      <c r="C756" s="730"/>
      <c r="D756" s="739"/>
      <c r="E756" s="765"/>
      <c r="F756" s="765"/>
      <c r="G756" s="765"/>
      <c r="H756" s="765"/>
      <c r="I756" s="746" t="str">
        <f t="shared" si="34"/>
        <v/>
      </c>
      <c r="J756" s="731"/>
      <c r="K756" s="731" t="str">
        <f t="shared" si="33"/>
        <v/>
      </c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32"/>
      <c r="AB756" s="732"/>
      <c r="AC756" s="732"/>
      <c r="AD756" s="732"/>
      <c r="AE756" s="733"/>
      <c r="AF756" s="734" t="str">
        <f t="shared" si="35"/>
        <v/>
      </c>
      <c r="AG756" s="773"/>
    </row>
    <row r="757" spans="1:64" ht="18.75" x14ac:dyDescent="0.25">
      <c r="A757" s="758"/>
      <c r="B757" s="737"/>
      <c r="C757" s="730"/>
      <c r="D757" s="739"/>
      <c r="E757" s="765"/>
      <c r="F757" s="765"/>
      <c r="G757" s="765"/>
      <c r="H757" s="765"/>
      <c r="I757" s="746" t="str">
        <f t="shared" si="34"/>
        <v/>
      </c>
      <c r="J757" s="731"/>
      <c r="K757" s="731" t="str">
        <f t="shared" si="33"/>
        <v/>
      </c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32"/>
      <c r="AB757" s="732"/>
      <c r="AC757" s="732"/>
      <c r="AD757" s="732"/>
      <c r="AE757" s="733"/>
      <c r="AF757" s="734" t="str">
        <f t="shared" si="35"/>
        <v/>
      </c>
      <c r="AG757" s="774"/>
      <c r="AH757" s="778"/>
      <c r="AI757" s="736"/>
      <c r="AJ757" s="736"/>
      <c r="AK757" s="736"/>
      <c r="AL757" s="736"/>
      <c r="AM757" s="736"/>
      <c r="AN757" s="736"/>
      <c r="AO757" s="736"/>
      <c r="AP757" s="736"/>
      <c r="AQ757" s="736"/>
      <c r="AR757" s="736"/>
      <c r="AS757" s="736"/>
      <c r="AT757" s="736"/>
      <c r="AU757" s="736"/>
      <c r="AV757" s="736"/>
      <c r="AW757" s="736"/>
      <c r="AX757" s="736"/>
      <c r="AY757" s="736"/>
      <c r="AZ757" s="736"/>
      <c r="BA757" s="736"/>
      <c r="BB757" s="736"/>
      <c r="BC757" s="736"/>
      <c r="BD757" s="736"/>
      <c r="BE757" s="736"/>
      <c r="BF757" s="736"/>
      <c r="BG757" s="736"/>
      <c r="BH757" s="736"/>
      <c r="BI757" s="736"/>
      <c r="BJ757" s="736"/>
      <c r="BK757" s="736"/>
      <c r="BL757" s="736"/>
    </row>
    <row r="758" spans="1:64" ht="18.75" x14ac:dyDescent="0.25">
      <c r="A758" s="758"/>
      <c r="B758" s="737"/>
      <c r="C758" s="730"/>
      <c r="D758" s="739"/>
      <c r="E758" s="765"/>
      <c r="F758" s="765"/>
      <c r="G758" s="765"/>
      <c r="H758" s="765"/>
      <c r="I758" s="746" t="str">
        <f t="shared" si="34"/>
        <v/>
      </c>
      <c r="J758" s="731"/>
      <c r="K758" s="731" t="str">
        <f t="shared" si="33"/>
        <v/>
      </c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32"/>
      <c r="AB758" s="732"/>
      <c r="AC758" s="732"/>
      <c r="AD758" s="732"/>
      <c r="AE758" s="733"/>
      <c r="AF758" s="734" t="str">
        <f t="shared" si="35"/>
        <v/>
      </c>
      <c r="AG758" s="774"/>
      <c r="AH758" s="778"/>
      <c r="AI758" s="736"/>
      <c r="AJ758" s="736"/>
      <c r="AK758" s="736"/>
      <c r="AL758" s="736"/>
      <c r="AM758" s="736"/>
      <c r="AN758" s="736"/>
      <c r="AO758" s="736"/>
      <c r="AP758" s="736"/>
      <c r="AQ758" s="736"/>
      <c r="AR758" s="736"/>
      <c r="AS758" s="736"/>
      <c r="AT758" s="736"/>
      <c r="AU758" s="736"/>
      <c r="AV758" s="736"/>
      <c r="AW758" s="736"/>
      <c r="AX758" s="736"/>
      <c r="AY758" s="736"/>
      <c r="AZ758" s="736"/>
      <c r="BA758" s="736"/>
      <c r="BB758" s="736"/>
      <c r="BC758" s="736"/>
      <c r="BD758" s="736"/>
      <c r="BE758" s="736"/>
      <c r="BF758" s="736"/>
      <c r="BG758" s="736"/>
      <c r="BH758" s="736"/>
      <c r="BI758" s="736"/>
      <c r="BJ758" s="736"/>
      <c r="BK758" s="736"/>
      <c r="BL758" s="736"/>
    </row>
    <row r="759" spans="1:64" ht="18.75" x14ac:dyDescent="0.25">
      <c r="A759" s="758"/>
      <c r="B759" s="737"/>
      <c r="C759" s="730"/>
      <c r="D759" s="739"/>
      <c r="E759" s="765"/>
      <c r="F759" s="765"/>
      <c r="G759" s="765"/>
      <c r="H759" s="765"/>
      <c r="I759" s="746" t="str">
        <f t="shared" si="34"/>
        <v/>
      </c>
      <c r="J759" s="731"/>
      <c r="K759" s="731" t="str">
        <f t="shared" si="33"/>
        <v/>
      </c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32"/>
      <c r="AB759" s="732"/>
      <c r="AC759" s="732"/>
      <c r="AD759" s="732"/>
      <c r="AE759" s="733"/>
      <c r="AF759" s="734" t="str">
        <f t="shared" si="35"/>
        <v/>
      </c>
      <c r="AG759" s="774"/>
      <c r="AH759" s="778"/>
      <c r="AI759" s="736"/>
      <c r="AJ759" s="736"/>
      <c r="AK759" s="736"/>
      <c r="AL759" s="736"/>
      <c r="AM759" s="736"/>
      <c r="AN759" s="736"/>
      <c r="AO759" s="736"/>
      <c r="AP759" s="736"/>
      <c r="AQ759" s="736"/>
      <c r="AR759" s="736"/>
      <c r="AS759" s="736"/>
      <c r="AT759" s="736"/>
      <c r="AU759" s="736"/>
      <c r="AV759" s="736"/>
      <c r="AW759" s="736"/>
      <c r="AX759" s="736"/>
      <c r="AY759" s="736"/>
      <c r="AZ759" s="736"/>
      <c r="BA759" s="736"/>
      <c r="BB759" s="736"/>
      <c r="BC759" s="736"/>
      <c r="BD759" s="736"/>
      <c r="BE759" s="736"/>
      <c r="BF759" s="736"/>
      <c r="BG759" s="736"/>
      <c r="BH759" s="736"/>
      <c r="BI759" s="736"/>
      <c r="BJ759" s="736"/>
      <c r="BK759" s="736"/>
      <c r="BL759" s="736"/>
    </row>
    <row r="760" spans="1:64" ht="18.75" x14ac:dyDescent="0.25">
      <c r="A760" s="758"/>
      <c r="B760" s="737"/>
      <c r="C760" s="730"/>
      <c r="D760" s="739"/>
      <c r="E760" s="765"/>
      <c r="F760" s="765"/>
      <c r="G760" s="765"/>
      <c r="H760" s="765"/>
      <c r="I760" s="746" t="str">
        <f t="shared" si="34"/>
        <v/>
      </c>
      <c r="J760" s="731"/>
      <c r="K760" s="731" t="str">
        <f t="shared" si="33"/>
        <v/>
      </c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32"/>
      <c r="AB760" s="732"/>
      <c r="AC760" s="732"/>
      <c r="AD760" s="732"/>
      <c r="AE760" s="733"/>
      <c r="AF760" s="734" t="str">
        <f t="shared" si="35"/>
        <v/>
      </c>
      <c r="AG760" s="773"/>
    </row>
    <row r="761" spans="1:64" ht="18.75" x14ac:dyDescent="0.25">
      <c r="A761" s="758"/>
      <c r="B761" s="737"/>
      <c r="C761" s="730"/>
      <c r="D761" s="739"/>
      <c r="E761" s="765"/>
      <c r="F761" s="765"/>
      <c r="G761" s="765"/>
      <c r="H761" s="765"/>
      <c r="I761" s="746" t="str">
        <f t="shared" si="34"/>
        <v/>
      </c>
      <c r="J761" s="731"/>
      <c r="K761" s="731" t="str">
        <f t="shared" si="33"/>
        <v/>
      </c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32"/>
      <c r="AB761" s="732"/>
      <c r="AC761" s="732"/>
      <c r="AD761" s="732"/>
      <c r="AE761" s="733"/>
      <c r="AF761" s="734" t="str">
        <f t="shared" si="35"/>
        <v/>
      </c>
      <c r="AG761" s="773"/>
    </row>
    <row r="762" spans="1:64" ht="18.75" x14ac:dyDescent="0.25">
      <c r="A762" s="758"/>
      <c r="B762" s="737"/>
      <c r="C762" s="730"/>
      <c r="D762" s="739"/>
      <c r="E762" s="765"/>
      <c r="F762" s="765"/>
      <c r="G762" s="765"/>
      <c r="H762" s="765"/>
      <c r="I762" s="746" t="str">
        <f t="shared" si="34"/>
        <v/>
      </c>
      <c r="J762" s="731"/>
      <c r="K762" s="731" t="str">
        <f t="shared" si="33"/>
        <v/>
      </c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32"/>
      <c r="AB762" s="732"/>
      <c r="AC762" s="732"/>
      <c r="AD762" s="732"/>
      <c r="AE762" s="733"/>
      <c r="AF762" s="734" t="str">
        <f t="shared" si="35"/>
        <v/>
      </c>
      <c r="AG762" s="773"/>
    </row>
    <row r="763" spans="1:64" ht="18.75" x14ac:dyDescent="0.25">
      <c r="A763" s="758"/>
      <c r="B763" s="737"/>
      <c r="C763" s="730"/>
      <c r="D763" s="739"/>
      <c r="E763" s="765"/>
      <c r="F763" s="765"/>
      <c r="G763" s="765"/>
      <c r="H763" s="765"/>
      <c r="I763" s="746" t="str">
        <f t="shared" si="34"/>
        <v/>
      </c>
      <c r="J763" s="731"/>
      <c r="K763" s="731" t="str">
        <f t="shared" si="33"/>
        <v/>
      </c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32"/>
      <c r="AB763" s="732"/>
      <c r="AC763" s="732"/>
      <c r="AD763" s="732"/>
      <c r="AE763" s="733"/>
      <c r="AF763" s="734" t="str">
        <f t="shared" si="35"/>
        <v/>
      </c>
      <c r="AG763" s="774"/>
      <c r="AH763" s="778"/>
      <c r="AI763" s="736"/>
      <c r="AJ763" s="736"/>
      <c r="AK763" s="736"/>
      <c r="AL763" s="736"/>
      <c r="AM763" s="736"/>
      <c r="AN763" s="736"/>
      <c r="AO763" s="736"/>
      <c r="AP763" s="736"/>
      <c r="AQ763" s="736"/>
      <c r="AR763" s="736"/>
      <c r="AS763" s="736"/>
      <c r="AT763" s="736"/>
      <c r="AU763" s="736"/>
      <c r="AV763" s="736"/>
      <c r="AW763" s="736"/>
      <c r="AX763" s="736"/>
      <c r="AY763" s="736"/>
      <c r="AZ763" s="736"/>
      <c r="BA763" s="736"/>
      <c r="BB763" s="736"/>
      <c r="BC763" s="736"/>
      <c r="BD763" s="736"/>
      <c r="BE763" s="736"/>
      <c r="BF763" s="736"/>
      <c r="BG763" s="736"/>
      <c r="BH763" s="736"/>
      <c r="BI763" s="736"/>
      <c r="BJ763" s="736"/>
      <c r="BK763" s="736"/>
      <c r="BL763" s="736"/>
    </row>
    <row r="764" spans="1:64" ht="18.75" x14ac:dyDescent="0.25">
      <c r="A764" s="758"/>
      <c r="B764" s="737"/>
      <c r="C764" s="730"/>
      <c r="D764" s="739"/>
      <c r="E764" s="765"/>
      <c r="F764" s="765"/>
      <c r="G764" s="765"/>
      <c r="H764" s="765"/>
      <c r="I764" s="746" t="str">
        <f t="shared" si="34"/>
        <v/>
      </c>
      <c r="J764" s="731"/>
      <c r="K764" s="731" t="str">
        <f t="shared" si="33"/>
        <v/>
      </c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32"/>
      <c r="AB764" s="732"/>
      <c r="AC764" s="732"/>
      <c r="AD764" s="732"/>
      <c r="AE764" s="733"/>
      <c r="AF764" s="734" t="str">
        <f t="shared" si="35"/>
        <v/>
      </c>
      <c r="AG764" s="773"/>
    </row>
    <row r="765" spans="1:64" ht="18.75" x14ac:dyDescent="0.25">
      <c r="A765" s="758"/>
      <c r="B765" s="737"/>
      <c r="C765" s="730"/>
      <c r="D765" s="739"/>
      <c r="E765" s="765"/>
      <c r="F765" s="765"/>
      <c r="G765" s="765"/>
      <c r="H765" s="765"/>
      <c r="I765" s="746" t="str">
        <f t="shared" si="34"/>
        <v/>
      </c>
      <c r="J765" s="731"/>
      <c r="K765" s="731" t="str">
        <f t="shared" si="33"/>
        <v/>
      </c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32"/>
      <c r="AB765" s="732"/>
      <c r="AC765" s="732"/>
      <c r="AD765" s="732"/>
      <c r="AE765" s="733"/>
      <c r="AF765" s="734" t="str">
        <f t="shared" si="35"/>
        <v/>
      </c>
      <c r="AG765" s="773"/>
    </row>
    <row r="766" spans="1:64" ht="18.75" x14ac:dyDescent="0.25">
      <c r="A766" s="758"/>
      <c r="B766" s="737"/>
      <c r="C766" s="730"/>
      <c r="D766" s="739"/>
      <c r="E766" s="765"/>
      <c r="F766" s="765"/>
      <c r="G766" s="765"/>
      <c r="H766" s="765"/>
      <c r="I766" s="746" t="str">
        <f t="shared" si="34"/>
        <v/>
      </c>
      <c r="J766" s="731"/>
      <c r="K766" s="731" t="str">
        <f t="shared" si="33"/>
        <v/>
      </c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32"/>
      <c r="AB766" s="732"/>
      <c r="AC766" s="732"/>
      <c r="AD766" s="732"/>
      <c r="AE766" s="733"/>
      <c r="AF766" s="734" t="str">
        <f t="shared" si="35"/>
        <v/>
      </c>
      <c r="AG766" s="773"/>
    </row>
    <row r="767" spans="1:64" ht="18.75" x14ac:dyDescent="0.25">
      <c r="A767" s="758"/>
      <c r="B767" s="737"/>
      <c r="C767" s="730"/>
      <c r="D767" s="739"/>
      <c r="E767" s="765"/>
      <c r="F767" s="765"/>
      <c r="G767" s="765"/>
      <c r="H767" s="765"/>
      <c r="I767" s="746" t="str">
        <f t="shared" si="34"/>
        <v/>
      </c>
      <c r="J767" s="731"/>
      <c r="K767" s="731" t="str">
        <f t="shared" si="33"/>
        <v/>
      </c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32"/>
      <c r="AB767" s="732"/>
      <c r="AC767" s="732"/>
      <c r="AD767" s="732"/>
      <c r="AE767" s="733"/>
      <c r="AF767" s="734" t="str">
        <f t="shared" si="35"/>
        <v/>
      </c>
      <c r="AG767" s="773"/>
    </row>
    <row r="768" spans="1:64" ht="18.75" x14ac:dyDescent="0.25">
      <c r="A768" s="758"/>
      <c r="B768" s="737"/>
      <c r="C768" s="730"/>
      <c r="D768" s="739"/>
      <c r="E768" s="765"/>
      <c r="F768" s="765"/>
      <c r="G768" s="765"/>
      <c r="H768" s="765"/>
      <c r="I768" s="746" t="str">
        <f t="shared" si="34"/>
        <v/>
      </c>
      <c r="J768" s="731"/>
      <c r="K768" s="731" t="str">
        <f t="shared" si="33"/>
        <v/>
      </c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32"/>
      <c r="AB768" s="732"/>
      <c r="AC768" s="732"/>
      <c r="AD768" s="732"/>
      <c r="AE768" s="733"/>
      <c r="AF768" s="734" t="str">
        <f t="shared" si="35"/>
        <v/>
      </c>
      <c r="AG768" s="773"/>
    </row>
    <row r="769" spans="1:64" ht="18.75" x14ac:dyDescent="0.25">
      <c r="A769" s="758"/>
      <c r="B769" s="737"/>
      <c r="C769" s="730"/>
      <c r="D769" s="739"/>
      <c r="E769" s="765"/>
      <c r="F769" s="765"/>
      <c r="G769" s="765"/>
      <c r="H769" s="765"/>
      <c r="I769" s="746" t="str">
        <f t="shared" si="34"/>
        <v/>
      </c>
      <c r="J769" s="731"/>
      <c r="K769" s="731" t="str">
        <f t="shared" si="33"/>
        <v/>
      </c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32"/>
      <c r="AB769" s="732"/>
      <c r="AC769" s="732"/>
      <c r="AD769" s="732"/>
      <c r="AE769" s="733"/>
      <c r="AF769" s="734" t="str">
        <f t="shared" si="35"/>
        <v/>
      </c>
      <c r="AG769" s="773"/>
    </row>
    <row r="770" spans="1:64" ht="18.75" x14ac:dyDescent="0.25">
      <c r="A770" s="758"/>
      <c r="B770" s="737"/>
      <c r="C770" s="730"/>
      <c r="D770" s="739"/>
      <c r="E770" s="765"/>
      <c r="F770" s="765"/>
      <c r="G770" s="765"/>
      <c r="H770" s="765"/>
      <c r="I770" s="746" t="str">
        <f t="shared" si="34"/>
        <v/>
      </c>
      <c r="J770" s="731"/>
      <c r="K770" s="731" t="str">
        <f t="shared" si="33"/>
        <v/>
      </c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32"/>
      <c r="AB770" s="732"/>
      <c r="AC770" s="732"/>
      <c r="AD770" s="732"/>
      <c r="AE770" s="733"/>
      <c r="AF770" s="734" t="str">
        <f t="shared" si="35"/>
        <v/>
      </c>
      <c r="AG770" s="773"/>
    </row>
    <row r="771" spans="1:64" ht="18.75" x14ac:dyDescent="0.25">
      <c r="A771" s="758"/>
      <c r="B771" s="737"/>
      <c r="C771" s="730"/>
      <c r="D771" s="739"/>
      <c r="E771" s="765"/>
      <c r="F771" s="765"/>
      <c r="G771" s="765"/>
      <c r="H771" s="765"/>
      <c r="I771" s="746" t="str">
        <f t="shared" si="34"/>
        <v/>
      </c>
      <c r="J771" s="731"/>
      <c r="K771" s="731" t="str">
        <f t="shared" si="33"/>
        <v/>
      </c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32"/>
      <c r="AB771" s="732"/>
      <c r="AC771" s="732"/>
      <c r="AD771" s="732"/>
      <c r="AE771" s="733"/>
      <c r="AF771" s="734" t="str">
        <f t="shared" si="35"/>
        <v/>
      </c>
      <c r="AG771" s="773"/>
    </row>
    <row r="772" spans="1:64" ht="18.75" x14ac:dyDescent="0.25">
      <c r="A772" s="758"/>
      <c r="B772" s="737"/>
      <c r="C772" s="730"/>
      <c r="D772" s="739"/>
      <c r="E772" s="765"/>
      <c r="F772" s="765"/>
      <c r="G772" s="765"/>
      <c r="H772" s="765"/>
      <c r="I772" s="746" t="str">
        <f t="shared" si="34"/>
        <v/>
      </c>
      <c r="J772" s="731"/>
      <c r="K772" s="731" t="str">
        <f t="shared" ref="K772:K835" si="36">IF(AA772-AE772 = 0,"",AA772-AE772)</f>
        <v/>
      </c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32"/>
      <c r="AB772" s="732"/>
      <c r="AC772" s="732"/>
      <c r="AD772" s="732"/>
      <c r="AE772" s="733"/>
      <c r="AF772" s="734" t="str">
        <f t="shared" si="35"/>
        <v/>
      </c>
      <c r="AG772" s="773"/>
    </row>
    <row r="773" spans="1:64" ht="18.75" x14ac:dyDescent="0.25">
      <c r="A773" s="758"/>
      <c r="B773" s="737"/>
      <c r="C773" s="730"/>
      <c r="D773" s="739"/>
      <c r="E773" s="765"/>
      <c r="F773" s="765"/>
      <c r="G773" s="765"/>
      <c r="H773" s="765"/>
      <c r="I773" s="746" t="str">
        <f t="shared" ref="I773:I836" si="37">AF773</f>
        <v/>
      </c>
      <c r="J773" s="731"/>
      <c r="K773" s="731" t="str">
        <f t="shared" si="36"/>
        <v/>
      </c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32"/>
      <c r="AB773" s="732"/>
      <c r="AC773" s="732"/>
      <c r="AD773" s="732"/>
      <c r="AE773" s="733"/>
      <c r="AF773" s="734" t="str">
        <f t="shared" ref="AF773:AF836" si="38">IF(AE773 &lt;&gt;"", AE773/AA773,"")</f>
        <v/>
      </c>
      <c r="AG773" s="773"/>
    </row>
    <row r="774" spans="1:64" ht="18.75" x14ac:dyDescent="0.25">
      <c r="A774" s="758"/>
      <c r="B774" s="737"/>
      <c r="C774" s="730"/>
      <c r="D774" s="739"/>
      <c r="E774" s="765"/>
      <c r="F774" s="765"/>
      <c r="G774" s="765"/>
      <c r="H774" s="765"/>
      <c r="I774" s="746" t="str">
        <f t="shared" si="37"/>
        <v/>
      </c>
      <c r="J774" s="731"/>
      <c r="K774" s="731" t="str">
        <f t="shared" si="36"/>
        <v/>
      </c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32"/>
      <c r="AB774" s="732"/>
      <c r="AC774" s="732"/>
      <c r="AD774" s="732"/>
      <c r="AE774" s="733"/>
      <c r="AF774" s="734" t="str">
        <f t="shared" si="38"/>
        <v/>
      </c>
      <c r="AG774" s="773"/>
    </row>
    <row r="775" spans="1:64" ht="19.5" customHeight="1" x14ac:dyDescent="0.25">
      <c r="A775" s="758"/>
      <c r="B775" s="737"/>
      <c r="C775" s="730"/>
      <c r="D775" s="739"/>
      <c r="E775" s="765"/>
      <c r="F775" s="765"/>
      <c r="G775" s="765"/>
      <c r="H775" s="765"/>
      <c r="I775" s="746" t="str">
        <f t="shared" si="37"/>
        <v/>
      </c>
      <c r="J775" s="731"/>
      <c r="K775" s="731" t="str">
        <f t="shared" si="36"/>
        <v/>
      </c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32"/>
      <c r="AB775" s="732"/>
      <c r="AC775" s="732"/>
      <c r="AD775" s="732"/>
      <c r="AE775" s="733"/>
      <c r="AF775" s="734" t="str">
        <f t="shared" si="38"/>
        <v/>
      </c>
      <c r="AG775" s="773"/>
    </row>
    <row r="776" spans="1:64" ht="18.75" x14ac:dyDescent="0.25">
      <c r="A776" s="758"/>
      <c r="B776" s="737"/>
      <c r="C776" s="730"/>
      <c r="D776" s="739"/>
      <c r="E776" s="765"/>
      <c r="F776" s="765"/>
      <c r="G776" s="765"/>
      <c r="H776" s="765"/>
      <c r="I776" s="746" t="str">
        <f t="shared" si="37"/>
        <v/>
      </c>
      <c r="J776" s="731"/>
      <c r="K776" s="731" t="str">
        <f t="shared" si="36"/>
        <v/>
      </c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32"/>
      <c r="AB776" s="732"/>
      <c r="AC776" s="732"/>
      <c r="AD776" s="732"/>
      <c r="AE776" s="733"/>
      <c r="AF776" s="734" t="str">
        <f t="shared" si="38"/>
        <v/>
      </c>
      <c r="AG776" s="773"/>
    </row>
    <row r="777" spans="1:64" ht="18.75" x14ac:dyDescent="0.25">
      <c r="A777" s="758"/>
      <c r="B777" s="737"/>
      <c r="C777" s="730"/>
      <c r="D777" s="739"/>
      <c r="E777" s="765"/>
      <c r="F777" s="765"/>
      <c r="G777" s="765"/>
      <c r="H777" s="765"/>
      <c r="I777" s="746" t="str">
        <f t="shared" si="37"/>
        <v/>
      </c>
      <c r="J777" s="731"/>
      <c r="K777" s="731" t="str">
        <f t="shared" si="36"/>
        <v/>
      </c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32"/>
      <c r="AB777" s="732"/>
      <c r="AC777" s="732"/>
      <c r="AD777" s="732"/>
      <c r="AE777" s="733"/>
      <c r="AF777" s="734" t="str">
        <f t="shared" si="38"/>
        <v/>
      </c>
      <c r="AG777" s="773"/>
    </row>
    <row r="778" spans="1:64" ht="19.5" customHeight="1" x14ac:dyDescent="0.25">
      <c r="A778" s="758"/>
      <c r="B778" s="737"/>
      <c r="C778" s="730"/>
      <c r="D778" s="739"/>
      <c r="E778" s="765"/>
      <c r="F778" s="765"/>
      <c r="G778" s="765"/>
      <c r="H778" s="765"/>
      <c r="I778" s="746" t="str">
        <f t="shared" si="37"/>
        <v/>
      </c>
      <c r="J778" s="731"/>
      <c r="K778" s="731" t="str">
        <f t="shared" si="36"/>
        <v/>
      </c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32"/>
      <c r="AB778" s="732"/>
      <c r="AC778" s="732"/>
      <c r="AD778" s="732"/>
      <c r="AE778" s="733"/>
      <c r="AF778" s="734" t="str">
        <f t="shared" si="38"/>
        <v/>
      </c>
      <c r="AG778" s="775"/>
      <c r="AH778" s="779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</row>
    <row r="779" spans="1:64" ht="19.5" customHeight="1" x14ac:dyDescent="0.25">
      <c r="A779" s="758"/>
      <c r="B779" s="737"/>
      <c r="C779" s="730"/>
      <c r="D779" s="739"/>
      <c r="E779" s="765"/>
      <c r="F779" s="765"/>
      <c r="G779" s="765"/>
      <c r="H779" s="765"/>
      <c r="I779" s="746" t="str">
        <f t="shared" si="37"/>
        <v/>
      </c>
      <c r="J779" s="731"/>
      <c r="K779" s="731" t="str">
        <f t="shared" si="36"/>
        <v/>
      </c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32"/>
      <c r="AB779" s="732"/>
      <c r="AC779" s="732"/>
      <c r="AD779" s="732"/>
      <c r="AE779" s="733"/>
      <c r="AF779" s="734" t="str">
        <f t="shared" si="38"/>
        <v/>
      </c>
      <c r="AG779" s="775"/>
      <c r="AH779" s="779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</row>
    <row r="780" spans="1:64" ht="18.75" x14ac:dyDescent="0.25">
      <c r="A780" s="758"/>
      <c r="B780" s="737"/>
      <c r="C780" s="730"/>
      <c r="D780" s="739"/>
      <c r="E780" s="765"/>
      <c r="F780" s="765"/>
      <c r="G780" s="765"/>
      <c r="H780" s="765"/>
      <c r="I780" s="746" t="str">
        <f t="shared" si="37"/>
        <v/>
      </c>
      <c r="J780" s="731"/>
      <c r="K780" s="731" t="str">
        <f t="shared" si="36"/>
        <v/>
      </c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32"/>
      <c r="AB780" s="732"/>
      <c r="AC780" s="732"/>
      <c r="AD780" s="732"/>
      <c r="AE780" s="733"/>
      <c r="AF780" s="734" t="str">
        <f t="shared" si="38"/>
        <v/>
      </c>
      <c r="AG780" s="773"/>
    </row>
    <row r="781" spans="1:64" ht="18.75" x14ac:dyDescent="0.25">
      <c r="A781" s="758"/>
      <c r="B781" s="737"/>
      <c r="C781" s="730"/>
      <c r="D781" s="739"/>
      <c r="E781" s="765"/>
      <c r="F781" s="765"/>
      <c r="G781" s="765"/>
      <c r="H781" s="765"/>
      <c r="I781" s="746" t="str">
        <f t="shared" si="37"/>
        <v/>
      </c>
      <c r="J781" s="731"/>
      <c r="K781" s="731" t="str">
        <f t="shared" si="36"/>
        <v/>
      </c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32"/>
      <c r="AB781" s="732"/>
      <c r="AC781" s="732"/>
      <c r="AD781" s="732"/>
      <c r="AE781" s="733"/>
      <c r="AF781" s="734" t="str">
        <f t="shared" si="38"/>
        <v/>
      </c>
      <c r="AG781" s="773"/>
    </row>
    <row r="782" spans="1:64" ht="18.75" x14ac:dyDescent="0.25">
      <c r="A782" s="758"/>
      <c r="B782" s="737"/>
      <c r="C782" s="730"/>
      <c r="D782" s="739"/>
      <c r="E782" s="765"/>
      <c r="F782" s="765"/>
      <c r="G782" s="765"/>
      <c r="H782" s="765"/>
      <c r="I782" s="746" t="str">
        <f t="shared" si="37"/>
        <v/>
      </c>
      <c r="J782" s="731"/>
      <c r="K782" s="731" t="str">
        <f t="shared" si="36"/>
        <v/>
      </c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32"/>
      <c r="AB782" s="732"/>
      <c r="AC782" s="732"/>
      <c r="AD782" s="732"/>
      <c r="AE782" s="733"/>
      <c r="AF782" s="734" t="str">
        <f t="shared" si="38"/>
        <v/>
      </c>
      <c r="AG782" s="773"/>
    </row>
    <row r="783" spans="1:64" ht="18.75" x14ac:dyDescent="0.25">
      <c r="A783" s="758"/>
      <c r="B783" s="737"/>
      <c r="C783" s="730"/>
      <c r="D783" s="739"/>
      <c r="E783" s="765"/>
      <c r="F783" s="765"/>
      <c r="G783" s="765"/>
      <c r="H783" s="765"/>
      <c r="I783" s="746" t="str">
        <f t="shared" si="37"/>
        <v/>
      </c>
      <c r="J783" s="731"/>
      <c r="K783" s="731" t="str">
        <f t="shared" si="36"/>
        <v/>
      </c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32"/>
      <c r="AB783" s="732"/>
      <c r="AC783" s="732"/>
      <c r="AD783" s="732"/>
      <c r="AE783" s="733"/>
      <c r="AF783" s="734" t="str">
        <f t="shared" si="38"/>
        <v/>
      </c>
      <c r="AG783" s="773"/>
    </row>
    <row r="784" spans="1:64" ht="18.75" x14ac:dyDescent="0.25">
      <c r="A784" s="758"/>
      <c r="B784" s="737"/>
      <c r="C784" s="730"/>
      <c r="D784" s="739"/>
      <c r="E784" s="765"/>
      <c r="F784" s="765"/>
      <c r="G784" s="765"/>
      <c r="H784" s="765"/>
      <c r="I784" s="746" t="str">
        <f t="shared" si="37"/>
        <v/>
      </c>
      <c r="J784" s="731"/>
      <c r="K784" s="731" t="str">
        <f t="shared" si="36"/>
        <v/>
      </c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32"/>
      <c r="AB784" s="732"/>
      <c r="AC784" s="732"/>
      <c r="AD784" s="732"/>
      <c r="AE784" s="733"/>
      <c r="AF784" s="734" t="str">
        <f t="shared" si="38"/>
        <v/>
      </c>
      <c r="AG784" s="773"/>
    </row>
    <row r="785" spans="1:64" ht="18.75" x14ac:dyDescent="0.25">
      <c r="A785" s="758"/>
      <c r="B785" s="737"/>
      <c r="C785" s="730"/>
      <c r="D785" s="739"/>
      <c r="E785" s="765"/>
      <c r="F785" s="765"/>
      <c r="G785" s="765"/>
      <c r="H785" s="765"/>
      <c r="I785" s="746" t="str">
        <f t="shared" si="37"/>
        <v/>
      </c>
      <c r="J785" s="731"/>
      <c r="K785" s="731" t="str">
        <f t="shared" si="36"/>
        <v/>
      </c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32"/>
      <c r="AB785" s="732"/>
      <c r="AC785" s="732"/>
      <c r="AD785" s="732"/>
      <c r="AE785" s="733"/>
      <c r="AF785" s="734" t="str">
        <f t="shared" si="38"/>
        <v/>
      </c>
      <c r="AG785" s="773"/>
    </row>
    <row r="786" spans="1:64" ht="18.75" x14ac:dyDescent="0.25">
      <c r="A786" s="758"/>
      <c r="B786" s="737"/>
      <c r="C786" s="730"/>
      <c r="D786" s="739"/>
      <c r="E786" s="765"/>
      <c r="F786" s="765"/>
      <c r="G786" s="765"/>
      <c r="H786" s="765"/>
      <c r="I786" s="746" t="str">
        <f t="shared" si="37"/>
        <v/>
      </c>
      <c r="J786" s="731"/>
      <c r="K786" s="731" t="str">
        <f t="shared" si="36"/>
        <v/>
      </c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32"/>
      <c r="AB786" s="732"/>
      <c r="AC786" s="732"/>
      <c r="AD786" s="732"/>
      <c r="AE786" s="733"/>
      <c r="AF786" s="734" t="str">
        <f t="shared" si="38"/>
        <v/>
      </c>
      <c r="AG786" s="775"/>
      <c r="AH786" s="779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</row>
    <row r="787" spans="1:64" ht="18.75" x14ac:dyDescent="0.25">
      <c r="A787" s="758"/>
      <c r="B787" s="737"/>
      <c r="C787" s="730"/>
      <c r="D787" s="739"/>
      <c r="E787" s="765"/>
      <c r="F787" s="765"/>
      <c r="G787" s="765"/>
      <c r="H787" s="765"/>
      <c r="I787" s="746" t="str">
        <f t="shared" si="37"/>
        <v/>
      </c>
      <c r="J787" s="731"/>
      <c r="K787" s="731" t="str">
        <f t="shared" si="36"/>
        <v/>
      </c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32"/>
      <c r="AB787" s="732"/>
      <c r="AC787" s="732"/>
      <c r="AD787" s="732"/>
      <c r="AE787" s="733"/>
      <c r="AF787" s="734" t="str">
        <f t="shared" si="38"/>
        <v/>
      </c>
      <c r="AG787" s="773"/>
    </row>
    <row r="788" spans="1:64" ht="18.75" x14ac:dyDescent="0.25">
      <c r="A788" s="758"/>
      <c r="B788" s="737"/>
      <c r="C788" s="730"/>
      <c r="D788" s="739"/>
      <c r="E788" s="765"/>
      <c r="F788" s="765"/>
      <c r="G788" s="765"/>
      <c r="H788" s="765"/>
      <c r="I788" s="746" t="str">
        <f t="shared" si="37"/>
        <v/>
      </c>
      <c r="J788" s="731"/>
      <c r="K788" s="731" t="str">
        <f t="shared" si="36"/>
        <v/>
      </c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32"/>
      <c r="AB788" s="732"/>
      <c r="AC788" s="732"/>
      <c r="AD788" s="732"/>
      <c r="AE788" s="733"/>
      <c r="AF788" s="734" t="str">
        <f t="shared" si="38"/>
        <v/>
      </c>
      <c r="AG788" s="773"/>
    </row>
    <row r="789" spans="1:64" ht="18.75" x14ac:dyDescent="0.25">
      <c r="A789" s="758"/>
      <c r="B789" s="737"/>
      <c r="C789" s="730"/>
      <c r="D789" s="739"/>
      <c r="E789" s="765"/>
      <c r="F789" s="765"/>
      <c r="G789" s="765"/>
      <c r="H789" s="765"/>
      <c r="I789" s="746" t="str">
        <f t="shared" si="37"/>
        <v/>
      </c>
      <c r="J789" s="731"/>
      <c r="K789" s="731" t="str">
        <f t="shared" si="36"/>
        <v/>
      </c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32"/>
      <c r="AB789" s="732"/>
      <c r="AC789" s="732"/>
      <c r="AD789" s="732"/>
      <c r="AE789" s="733"/>
      <c r="AF789" s="734" t="str">
        <f t="shared" si="38"/>
        <v/>
      </c>
      <c r="AG789" s="773"/>
    </row>
    <row r="790" spans="1:64" ht="18.75" x14ac:dyDescent="0.25">
      <c r="A790" s="758"/>
      <c r="B790" s="737"/>
      <c r="C790" s="730"/>
      <c r="D790" s="739"/>
      <c r="E790" s="765"/>
      <c r="F790" s="765"/>
      <c r="G790" s="765"/>
      <c r="H790" s="765"/>
      <c r="I790" s="746" t="str">
        <f t="shared" si="37"/>
        <v/>
      </c>
      <c r="J790" s="731"/>
      <c r="K790" s="731" t="str">
        <f t="shared" si="36"/>
        <v/>
      </c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32"/>
      <c r="AB790" s="732"/>
      <c r="AC790" s="732"/>
      <c r="AD790" s="732"/>
      <c r="AE790" s="733"/>
      <c r="AF790" s="734" t="str">
        <f t="shared" si="38"/>
        <v/>
      </c>
      <c r="AG790" s="773"/>
    </row>
    <row r="791" spans="1:64" ht="18.75" x14ac:dyDescent="0.25">
      <c r="A791" s="758"/>
      <c r="B791" s="737"/>
      <c r="C791" s="730"/>
      <c r="D791" s="739"/>
      <c r="E791" s="765"/>
      <c r="F791" s="765"/>
      <c r="G791" s="765"/>
      <c r="H791" s="765"/>
      <c r="I791" s="746" t="str">
        <f t="shared" si="37"/>
        <v/>
      </c>
      <c r="J791" s="731"/>
      <c r="K791" s="731" t="str">
        <f t="shared" si="36"/>
        <v/>
      </c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32"/>
      <c r="AB791" s="732"/>
      <c r="AC791" s="732"/>
      <c r="AD791" s="732"/>
      <c r="AE791" s="733"/>
      <c r="AF791" s="734" t="str">
        <f t="shared" si="38"/>
        <v/>
      </c>
      <c r="AG791" s="773"/>
    </row>
    <row r="792" spans="1:64" ht="19.5" customHeight="1" x14ac:dyDescent="0.25">
      <c r="A792" s="758"/>
      <c r="B792" s="737"/>
      <c r="C792" s="730"/>
      <c r="D792" s="739"/>
      <c r="E792" s="765"/>
      <c r="F792" s="765"/>
      <c r="G792" s="765"/>
      <c r="H792" s="765"/>
      <c r="I792" s="746" t="str">
        <f t="shared" si="37"/>
        <v/>
      </c>
      <c r="J792" s="731"/>
      <c r="K792" s="731" t="str">
        <f t="shared" si="36"/>
        <v/>
      </c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32"/>
      <c r="AB792" s="732"/>
      <c r="AC792" s="732"/>
      <c r="AD792" s="732"/>
      <c r="AE792" s="733"/>
      <c r="AF792" s="734" t="str">
        <f t="shared" si="38"/>
        <v/>
      </c>
      <c r="AG792" s="775"/>
      <c r="AH792" s="779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</row>
    <row r="793" spans="1:64" ht="19.5" customHeight="1" x14ac:dyDescent="0.25">
      <c r="A793" s="758"/>
      <c r="B793" s="737"/>
      <c r="C793" s="730"/>
      <c r="D793" s="739"/>
      <c r="E793" s="765"/>
      <c r="F793" s="765"/>
      <c r="G793" s="765"/>
      <c r="H793" s="765"/>
      <c r="I793" s="746" t="str">
        <f t="shared" si="37"/>
        <v/>
      </c>
      <c r="J793" s="731"/>
      <c r="K793" s="731" t="str">
        <f t="shared" si="36"/>
        <v/>
      </c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32"/>
      <c r="AB793" s="732"/>
      <c r="AC793" s="732"/>
      <c r="AD793" s="732"/>
      <c r="AE793" s="733"/>
      <c r="AF793" s="734" t="str">
        <f t="shared" si="38"/>
        <v/>
      </c>
      <c r="AG793" s="775"/>
      <c r="AH793" s="779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</row>
    <row r="794" spans="1:64" ht="18.75" x14ac:dyDescent="0.25">
      <c r="A794" s="758"/>
      <c r="B794" s="737"/>
      <c r="C794" s="730"/>
      <c r="D794" s="739"/>
      <c r="E794" s="765"/>
      <c r="F794" s="765"/>
      <c r="G794" s="765"/>
      <c r="H794" s="765"/>
      <c r="I794" s="746" t="str">
        <f t="shared" si="37"/>
        <v/>
      </c>
      <c r="J794" s="731"/>
      <c r="K794" s="731" t="str">
        <f t="shared" si="36"/>
        <v/>
      </c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32"/>
      <c r="AB794" s="732"/>
      <c r="AC794" s="732"/>
      <c r="AD794" s="732"/>
      <c r="AE794" s="733"/>
      <c r="AF794" s="734" t="str">
        <f t="shared" si="38"/>
        <v/>
      </c>
      <c r="AG794" s="773"/>
    </row>
    <row r="795" spans="1:64" ht="18.75" x14ac:dyDescent="0.25">
      <c r="A795" s="758"/>
      <c r="B795" s="737"/>
      <c r="C795" s="730"/>
      <c r="D795" s="739"/>
      <c r="E795" s="765"/>
      <c r="F795" s="765"/>
      <c r="G795" s="765"/>
      <c r="H795" s="765"/>
      <c r="I795" s="746" t="str">
        <f t="shared" si="37"/>
        <v/>
      </c>
      <c r="J795" s="731"/>
      <c r="K795" s="731" t="str">
        <f t="shared" si="36"/>
        <v/>
      </c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32"/>
      <c r="AB795" s="732"/>
      <c r="AC795" s="732"/>
      <c r="AD795" s="732"/>
      <c r="AE795" s="733"/>
      <c r="AF795" s="734" t="str">
        <f t="shared" si="38"/>
        <v/>
      </c>
      <c r="AG795" s="773"/>
    </row>
    <row r="796" spans="1:64" ht="18.75" x14ac:dyDescent="0.25">
      <c r="A796" s="758"/>
      <c r="B796" s="737"/>
      <c r="C796" s="730"/>
      <c r="D796" s="739"/>
      <c r="E796" s="765"/>
      <c r="F796" s="765"/>
      <c r="G796" s="765"/>
      <c r="H796" s="765"/>
      <c r="I796" s="746" t="str">
        <f t="shared" si="37"/>
        <v/>
      </c>
      <c r="J796" s="731"/>
      <c r="K796" s="731" t="str">
        <f t="shared" si="36"/>
        <v/>
      </c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32"/>
      <c r="AB796" s="732"/>
      <c r="AC796" s="732"/>
      <c r="AD796" s="732"/>
      <c r="AE796" s="733"/>
      <c r="AF796" s="734" t="str">
        <f t="shared" si="38"/>
        <v/>
      </c>
      <c r="AG796" s="773"/>
    </row>
    <row r="797" spans="1:64" ht="18.75" x14ac:dyDescent="0.25">
      <c r="A797" s="758"/>
      <c r="B797" s="737"/>
      <c r="C797" s="730"/>
      <c r="D797" s="739"/>
      <c r="E797" s="765"/>
      <c r="F797" s="765"/>
      <c r="G797" s="765"/>
      <c r="H797" s="765"/>
      <c r="I797" s="746" t="str">
        <f t="shared" si="37"/>
        <v/>
      </c>
      <c r="J797" s="731"/>
      <c r="K797" s="731" t="str">
        <f t="shared" si="36"/>
        <v/>
      </c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32"/>
      <c r="AB797" s="732"/>
      <c r="AC797" s="732"/>
      <c r="AD797" s="732"/>
      <c r="AE797" s="733"/>
      <c r="AF797" s="734" t="str">
        <f t="shared" si="38"/>
        <v/>
      </c>
      <c r="AG797" s="773"/>
    </row>
    <row r="798" spans="1:64" ht="18.75" x14ac:dyDescent="0.25">
      <c r="A798" s="758"/>
      <c r="B798" s="737"/>
      <c r="C798" s="730"/>
      <c r="D798" s="739"/>
      <c r="E798" s="765"/>
      <c r="F798" s="765"/>
      <c r="G798" s="765"/>
      <c r="H798" s="765"/>
      <c r="I798" s="746" t="str">
        <f t="shared" si="37"/>
        <v/>
      </c>
      <c r="J798" s="731"/>
      <c r="K798" s="731" t="str">
        <f t="shared" si="36"/>
        <v/>
      </c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32"/>
      <c r="AB798" s="732"/>
      <c r="AC798" s="732"/>
      <c r="AD798" s="732"/>
      <c r="AE798" s="733"/>
      <c r="AF798" s="734" t="str">
        <f t="shared" si="38"/>
        <v/>
      </c>
      <c r="AG798" s="773"/>
    </row>
    <row r="799" spans="1:64" ht="18.75" x14ac:dyDescent="0.25">
      <c r="A799" s="758"/>
      <c r="B799" s="737"/>
      <c r="C799" s="730"/>
      <c r="D799" s="739"/>
      <c r="E799" s="765"/>
      <c r="F799" s="765"/>
      <c r="G799" s="765"/>
      <c r="H799" s="765"/>
      <c r="I799" s="746" t="str">
        <f t="shared" si="37"/>
        <v/>
      </c>
      <c r="J799" s="731"/>
      <c r="K799" s="731" t="str">
        <f t="shared" si="36"/>
        <v/>
      </c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32"/>
      <c r="AB799" s="732"/>
      <c r="AC799" s="732"/>
      <c r="AD799" s="732"/>
      <c r="AE799" s="733"/>
      <c r="AF799" s="734" t="str">
        <f t="shared" si="38"/>
        <v/>
      </c>
      <c r="AG799" s="773"/>
    </row>
    <row r="800" spans="1:64" ht="18.75" x14ac:dyDescent="0.25">
      <c r="A800" s="758"/>
      <c r="B800" s="737"/>
      <c r="C800" s="730"/>
      <c r="D800" s="739"/>
      <c r="E800" s="765"/>
      <c r="F800" s="765"/>
      <c r="G800" s="765"/>
      <c r="H800" s="765"/>
      <c r="I800" s="746" t="str">
        <f t="shared" si="37"/>
        <v/>
      </c>
      <c r="J800" s="731"/>
      <c r="K800" s="731" t="str">
        <f t="shared" si="36"/>
        <v/>
      </c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32"/>
      <c r="AB800" s="732"/>
      <c r="AC800" s="732"/>
      <c r="AD800" s="732"/>
      <c r="AE800" s="733"/>
      <c r="AF800" s="734" t="str">
        <f t="shared" si="38"/>
        <v/>
      </c>
      <c r="AG800" s="775"/>
      <c r="AH800" s="779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</row>
    <row r="801" spans="1:64" ht="18.75" x14ac:dyDescent="0.25">
      <c r="A801" s="758"/>
      <c r="B801" s="737"/>
      <c r="C801" s="730"/>
      <c r="D801" s="739"/>
      <c r="E801" s="765"/>
      <c r="F801" s="765"/>
      <c r="G801" s="765"/>
      <c r="H801" s="765"/>
      <c r="I801" s="746" t="str">
        <f t="shared" si="37"/>
        <v/>
      </c>
      <c r="J801" s="731"/>
      <c r="K801" s="731" t="str">
        <f t="shared" si="36"/>
        <v/>
      </c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32"/>
      <c r="AB801" s="732"/>
      <c r="AC801" s="732"/>
      <c r="AD801" s="732"/>
      <c r="AE801" s="733"/>
      <c r="AF801" s="734" t="str">
        <f t="shared" si="38"/>
        <v/>
      </c>
      <c r="AG801" s="773"/>
    </row>
    <row r="802" spans="1:64" ht="18.75" x14ac:dyDescent="0.25">
      <c r="A802" s="758"/>
      <c r="B802" s="737"/>
      <c r="C802" s="730"/>
      <c r="D802" s="739"/>
      <c r="E802" s="765"/>
      <c r="F802" s="765"/>
      <c r="G802" s="765"/>
      <c r="H802" s="765"/>
      <c r="I802" s="746" t="str">
        <f t="shared" si="37"/>
        <v/>
      </c>
      <c r="J802" s="731"/>
      <c r="K802" s="731" t="str">
        <f t="shared" si="36"/>
        <v/>
      </c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32"/>
      <c r="AB802" s="732"/>
      <c r="AC802" s="732"/>
      <c r="AD802" s="732"/>
      <c r="AE802" s="733"/>
      <c r="AF802" s="734" t="str">
        <f t="shared" si="38"/>
        <v/>
      </c>
      <c r="AG802" s="773"/>
    </row>
    <row r="803" spans="1:64" ht="18.75" x14ac:dyDescent="0.25">
      <c r="A803" s="758"/>
      <c r="B803" s="737"/>
      <c r="C803" s="730"/>
      <c r="D803" s="739"/>
      <c r="E803" s="765"/>
      <c r="F803" s="765"/>
      <c r="G803" s="765"/>
      <c r="H803" s="765"/>
      <c r="I803" s="746" t="str">
        <f t="shared" si="37"/>
        <v/>
      </c>
      <c r="J803" s="731"/>
      <c r="K803" s="731" t="str">
        <f t="shared" si="36"/>
        <v/>
      </c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32"/>
      <c r="AB803" s="732"/>
      <c r="AC803" s="732"/>
      <c r="AD803" s="732"/>
      <c r="AE803" s="733"/>
      <c r="AF803" s="734" t="str">
        <f t="shared" si="38"/>
        <v/>
      </c>
      <c r="AG803" s="773"/>
    </row>
    <row r="804" spans="1:64" ht="18.75" x14ac:dyDescent="0.25">
      <c r="A804" s="758"/>
      <c r="B804" s="737"/>
      <c r="C804" s="730"/>
      <c r="D804" s="739"/>
      <c r="E804" s="765"/>
      <c r="F804" s="765"/>
      <c r="G804" s="765"/>
      <c r="H804" s="765"/>
      <c r="I804" s="746" t="str">
        <f t="shared" si="37"/>
        <v/>
      </c>
      <c r="J804" s="731"/>
      <c r="K804" s="731" t="str">
        <f t="shared" si="36"/>
        <v/>
      </c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32"/>
      <c r="AB804" s="732"/>
      <c r="AC804" s="732"/>
      <c r="AD804" s="732"/>
      <c r="AE804" s="733"/>
      <c r="AF804" s="734" t="str">
        <f t="shared" si="38"/>
        <v/>
      </c>
      <c r="AG804" s="773"/>
    </row>
    <row r="805" spans="1:64" ht="18.75" x14ac:dyDescent="0.25">
      <c r="A805" s="758"/>
      <c r="B805" s="737"/>
      <c r="C805" s="730"/>
      <c r="D805" s="739"/>
      <c r="E805" s="765"/>
      <c r="F805" s="765"/>
      <c r="G805" s="765"/>
      <c r="H805" s="765"/>
      <c r="I805" s="746" t="str">
        <f t="shared" si="37"/>
        <v/>
      </c>
      <c r="J805" s="731"/>
      <c r="K805" s="731" t="str">
        <f t="shared" si="36"/>
        <v/>
      </c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32"/>
      <c r="AB805" s="732"/>
      <c r="AC805" s="732"/>
      <c r="AD805" s="732"/>
      <c r="AE805" s="733"/>
      <c r="AF805" s="734" t="str">
        <f t="shared" si="38"/>
        <v/>
      </c>
      <c r="AG805" s="773"/>
    </row>
    <row r="806" spans="1:64" ht="18.75" x14ac:dyDescent="0.25">
      <c r="A806" s="758"/>
      <c r="B806" s="737"/>
      <c r="C806" s="730"/>
      <c r="D806" s="739"/>
      <c r="E806" s="765"/>
      <c r="F806" s="765"/>
      <c r="G806" s="765"/>
      <c r="H806" s="765"/>
      <c r="I806" s="746" t="str">
        <f t="shared" si="37"/>
        <v/>
      </c>
      <c r="J806" s="731"/>
      <c r="K806" s="731" t="str">
        <f t="shared" si="36"/>
        <v/>
      </c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32"/>
      <c r="AB806" s="732"/>
      <c r="AC806" s="732"/>
      <c r="AD806" s="732"/>
      <c r="AE806" s="733"/>
      <c r="AF806" s="734" t="str">
        <f t="shared" si="38"/>
        <v/>
      </c>
      <c r="AG806" s="773"/>
    </row>
    <row r="807" spans="1:64" ht="19.5" customHeight="1" x14ac:dyDescent="0.25">
      <c r="A807" s="758"/>
      <c r="B807" s="737"/>
      <c r="C807" s="730"/>
      <c r="D807" s="739"/>
      <c r="E807" s="765"/>
      <c r="F807" s="765"/>
      <c r="G807" s="765"/>
      <c r="H807" s="765"/>
      <c r="I807" s="746" t="str">
        <f t="shared" si="37"/>
        <v/>
      </c>
      <c r="J807" s="731"/>
      <c r="K807" s="731" t="str">
        <f t="shared" si="36"/>
        <v/>
      </c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32"/>
      <c r="AB807" s="732"/>
      <c r="AC807" s="732"/>
      <c r="AD807" s="732"/>
      <c r="AE807" s="733"/>
      <c r="AF807" s="734" t="str">
        <f t="shared" si="38"/>
        <v/>
      </c>
      <c r="AG807" s="775"/>
      <c r="AH807" s="779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</row>
    <row r="808" spans="1:64" ht="19.5" customHeight="1" x14ac:dyDescent="0.25">
      <c r="A808" s="758"/>
      <c r="B808" s="737"/>
      <c r="C808" s="730"/>
      <c r="D808" s="739"/>
      <c r="E808" s="765"/>
      <c r="F808" s="765"/>
      <c r="G808" s="765"/>
      <c r="H808" s="765"/>
      <c r="I808" s="746" t="str">
        <f t="shared" si="37"/>
        <v/>
      </c>
      <c r="J808" s="731"/>
      <c r="K808" s="731" t="str">
        <f t="shared" si="36"/>
        <v/>
      </c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32"/>
      <c r="AB808" s="732"/>
      <c r="AC808" s="732"/>
      <c r="AD808" s="732"/>
      <c r="AE808" s="733"/>
      <c r="AF808" s="734" t="str">
        <f t="shared" si="38"/>
        <v/>
      </c>
      <c r="AG808" s="775"/>
      <c r="AH808" s="779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</row>
    <row r="809" spans="1:64" ht="18.75" x14ac:dyDescent="0.25">
      <c r="A809" s="758"/>
      <c r="B809" s="737"/>
      <c r="C809" s="730"/>
      <c r="D809" s="739"/>
      <c r="E809" s="765"/>
      <c r="F809" s="765"/>
      <c r="G809" s="765"/>
      <c r="H809" s="765"/>
      <c r="I809" s="746" t="str">
        <f t="shared" si="37"/>
        <v/>
      </c>
      <c r="J809" s="731"/>
      <c r="K809" s="731" t="str">
        <f t="shared" si="36"/>
        <v/>
      </c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32"/>
      <c r="AB809" s="732"/>
      <c r="AC809" s="732"/>
      <c r="AD809" s="732"/>
      <c r="AE809" s="733"/>
      <c r="AF809" s="734" t="str">
        <f t="shared" si="38"/>
        <v/>
      </c>
      <c r="AG809" s="773"/>
    </row>
    <row r="810" spans="1:64" ht="18.75" x14ac:dyDescent="0.25">
      <c r="A810" s="758"/>
      <c r="B810" s="737"/>
      <c r="C810" s="730"/>
      <c r="D810" s="739"/>
      <c r="E810" s="765"/>
      <c r="F810" s="765"/>
      <c r="G810" s="765"/>
      <c r="H810" s="765"/>
      <c r="I810" s="746" t="str">
        <f t="shared" si="37"/>
        <v/>
      </c>
      <c r="J810" s="731"/>
      <c r="K810" s="731" t="str">
        <f t="shared" si="36"/>
        <v/>
      </c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32"/>
      <c r="AB810" s="732"/>
      <c r="AC810" s="732"/>
      <c r="AD810" s="732"/>
      <c r="AE810" s="733"/>
      <c r="AF810" s="734" t="str">
        <f t="shared" si="38"/>
        <v/>
      </c>
      <c r="AG810" s="773"/>
    </row>
    <row r="811" spans="1:64" ht="18.75" x14ac:dyDescent="0.25">
      <c r="A811" s="758"/>
      <c r="B811" s="737"/>
      <c r="C811" s="730"/>
      <c r="D811" s="739"/>
      <c r="E811" s="765"/>
      <c r="F811" s="765"/>
      <c r="G811" s="765"/>
      <c r="H811" s="765"/>
      <c r="I811" s="746" t="str">
        <f t="shared" si="37"/>
        <v/>
      </c>
      <c r="J811" s="731"/>
      <c r="K811" s="731" t="str">
        <f t="shared" si="36"/>
        <v/>
      </c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32"/>
      <c r="AB811" s="732"/>
      <c r="AC811" s="732"/>
      <c r="AD811" s="732"/>
      <c r="AE811" s="733"/>
      <c r="AF811" s="734" t="str">
        <f t="shared" si="38"/>
        <v/>
      </c>
      <c r="AG811" s="773"/>
    </row>
    <row r="812" spans="1:64" ht="18.75" x14ac:dyDescent="0.25">
      <c r="A812" s="758"/>
      <c r="B812" s="737"/>
      <c r="C812" s="730"/>
      <c r="D812" s="739"/>
      <c r="E812" s="765"/>
      <c r="F812" s="765"/>
      <c r="G812" s="765"/>
      <c r="H812" s="765"/>
      <c r="I812" s="746" t="str">
        <f t="shared" si="37"/>
        <v/>
      </c>
      <c r="J812" s="731"/>
      <c r="K812" s="731" t="str">
        <f t="shared" si="36"/>
        <v/>
      </c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32"/>
      <c r="AB812" s="732"/>
      <c r="AC812" s="732"/>
      <c r="AD812" s="732"/>
      <c r="AE812" s="733"/>
      <c r="AF812" s="734" t="str">
        <f t="shared" si="38"/>
        <v/>
      </c>
      <c r="AG812" s="773"/>
    </row>
    <row r="813" spans="1:64" ht="18.75" x14ac:dyDescent="0.25">
      <c r="A813" s="758"/>
      <c r="B813" s="737"/>
      <c r="C813" s="730"/>
      <c r="D813" s="739"/>
      <c r="E813" s="765"/>
      <c r="F813" s="765"/>
      <c r="G813" s="765"/>
      <c r="H813" s="765"/>
      <c r="I813" s="746" t="str">
        <f t="shared" si="37"/>
        <v/>
      </c>
      <c r="J813" s="731"/>
      <c r="K813" s="731" t="str">
        <f t="shared" si="36"/>
        <v/>
      </c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32"/>
      <c r="AB813" s="732"/>
      <c r="AC813" s="732"/>
      <c r="AD813" s="732"/>
      <c r="AE813" s="733"/>
      <c r="AF813" s="734" t="str">
        <f t="shared" si="38"/>
        <v/>
      </c>
      <c r="AG813" s="773"/>
    </row>
    <row r="814" spans="1:64" ht="18.75" x14ac:dyDescent="0.25">
      <c r="A814" s="758"/>
      <c r="B814" s="737"/>
      <c r="C814" s="730"/>
      <c r="D814" s="739"/>
      <c r="E814" s="765"/>
      <c r="F814" s="765"/>
      <c r="G814" s="765"/>
      <c r="H814" s="765"/>
      <c r="I814" s="746" t="str">
        <f t="shared" si="37"/>
        <v/>
      </c>
      <c r="J814" s="731"/>
      <c r="K814" s="731" t="str">
        <f t="shared" si="36"/>
        <v/>
      </c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32"/>
      <c r="AB814" s="732"/>
      <c r="AC814" s="732"/>
      <c r="AD814" s="732"/>
      <c r="AE814" s="733"/>
      <c r="AF814" s="734" t="str">
        <f t="shared" si="38"/>
        <v/>
      </c>
      <c r="AG814" s="773"/>
    </row>
    <row r="815" spans="1:64" ht="18.75" x14ac:dyDescent="0.25">
      <c r="A815" s="758"/>
      <c r="B815" s="737"/>
      <c r="C815" s="730"/>
      <c r="D815" s="739"/>
      <c r="E815" s="765"/>
      <c r="F815" s="765"/>
      <c r="G815" s="765"/>
      <c r="H815" s="765"/>
      <c r="I815" s="746" t="str">
        <f t="shared" si="37"/>
        <v/>
      </c>
      <c r="J815" s="731"/>
      <c r="K815" s="731" t="str">
        <f t="shared" si="36"/>
        <v/>
      </c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32"/>
      <c r="AB815" s="732"/>
      <c r="AC815" s="732"/>
      <c r="AD815" s="732"/>
      <c r="AE815" s="733"/>
      <c r="AF815" s="734" t="str">
        <f t="shared" si="38"/>
        <v/>
      </c>
      <c r="AG815" s="775"/>
      <c r="AH815" s="779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</row>
    <row r="816" spans="1:64" ht="18.75" x14ac:dyDescent="0.25">
      <c r="A816" s="758"/>
      <c r="B816" s="737"/>
      <c r="C816" s="730"/>
      <c r="D816" s="739"/>
      <c r="E816" s="765"/>
      <c r="F816" s="765"/>
      <c r="G816" s="765"/>
      <c r="H816" s="765"/>
      <c r="I816" s="746" t="str">
        <f t="shared" si="37"/>
        <v/>
      </c>
      <c r="J816" s="731"/>
      <c r="K816" s="731" t="str">
        <f t="shared" si="36"/>
        <v/>
      </c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32"/>
      <c r="AB816" s="732"/>
      <c r="AC816" s="732"/>
      <c r="AD816" s="732"/>
      <c r="AE816" s="733"/>
      <c r="AF816" s="734" t="str">
        <f t="shared" si="38"/>
        <v/>
      </c>
      <c r="AG816" s="773"/>
    </row>
    <row r="817" spans="1:64" ht="18.75" x14ac:dyDescent="0.25">
      <c r="A817" s="758"/>
      <c r="B817" s="737"/>
      <c r="C817" s="730"/>
      <c r="D817" s="739"/>
      <c r="E817" s="765"/>
      <c r="F817" s="765"/>
      <c r="G817" s="765"/>
      <c r="H817" s="765"/>
      <c r="I817" s="746" t="str">
        <f t="shared" si="37"/>
        <v/>
      </c>
      <c r="J817" s="731"/>
      <c r="K817" s="731" t="str">
        <f t="shared" si="36"/>
        <v/>
      </c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32"/>
      <c r="AB817" s="732"/>
      <c r="AC817" s="732"/>
      <c r="AD817" s="732"/>
      <c r="AE817" s="733"/>
      <c r="AF817" s="734" t="str">
        <f t="shared" si="38"/>
        <v/>
      </c>
      <c r="AG817" s="773"/>
    </row>
    <row r="818" spans="1:64" ht="18.75" x14ac:dyDescent="0.25">
      <c r="A818" s="758"/>
      <c r="B818" s="737"/>
      <c r="C818" s="730"/>
      <c r="D818" s="739"/>
      <c r="E818" s="765"/>
      <c r="F818" s="765"/>
      <c r="G818" s="765"/>
      <c r="H818" s="765"/>
      <c r="I818" s="746" t="str">
        <f t="shared" si="37"/>
        <v/>
      </c>
      <c r="J818" s="731"/>
      <c r="K818" s="731" t="str">
        <f t="shared" si="36"/>
        <v/>
      </c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32"/>
      <c r="AB818" s="732"/>
      <c r="AC818" s="732"/>
      <c r="AD818" s="732"/>
      <c r="AE818" s="733"/>
      <c r="AF818" s="734" t="str">
        <f t="shared" si="38"/>
        <v/>
      </c>
      <c r="AG818" s="773"/>
    </row>
    <row r="819" spans="1:64" ht="18.75" x14ac:dyDescent="0.25">
      <c r="A819" s="758"/>
      <c r="B819" s="737"/>
      <c r="C819" s="730"/>
      <c r="D819" s="739"/>
      <c r="E819" s="765"/>
      <c r="F819" s="765"/>
      <c r="G819" s="765"/>
      <c r="H819" s="765"/>
      <c r="I819" s="746" t="str">
        <f t="shared" si="37"/>
        <v/>
      </c>
      <c r="J819" s="731"/>
      <c r="K819" s="731" t="str">
        <f t="shared" si="36"/>
        <v/>
      </c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32"/>
      <c r="AB819" s="732"/>
      <c r="AC819" s="732"/>
      <c r="AD819" s="732"/>
      <c r="AE819" s="733"/>
      <c r="AF819" s="734" t="str">
        <f t="shared" si="38"/>
        <v/>
      </c>
      <c r="AG819" s="773"/>
    </row>
    <row r="820" spans="1:64" ht="18.75" x14ac:dyDescent="0.25">
      <c r="A820" s="758"/>
      <c r="B820" s="737"/>
      <c r="C820" s="730"/>
      <c r="D820" s="739"/>
      <c r="E820" s="765"/>
      <c r="F820" s="765"/>
      <c r="G820" s="765"/>
      <c r="H820" s="765"/>
      <c r="I820" s="746" t="str">
        <f t="shared" si="37"/>
        <v/>
      </c>
      <c r="J820" s="731"/>
      <c r="K820" s="731" t="str">
        <f t="shared" si="36"/>
        <v/>
      </c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32"/>
      <c r="AB820" s="732"/>
      <c r="AC820" s="732"/>
      <c r="AD820" s="732"/>
      <c r="AE820" s="733"/>
      <c r="AF820" s="734" t="str">
        <f t="shared" si="38"/>
        <v/>
      </c>
      <c r="AG820" s="773"/>
    </row>
    <row r="821" spans="1:64" ht="18.75" customHeight="1" x14ac:dyDescent="0.25">
      <c r="A821" s="758"/>
      <c r="B821" s="737"/>
      <c r="C821" s="730"/>
      <c r="D821" s="739"/>
      <c r="E821" s="765"/>
      <c r="F821" s="765"/>
      <c r="G821" s="765"/>
      <c r="H821" s="765"/>
      <c r="I821" s="746" t="str">
        <f t="shared" si="37"/>
        <v/>
      </c>
      <c r="J821" s="731"/>
      <c r="K821" s="731" t="str">
        <f t="shared" si="36"/>
        <v/>
      </c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32"/>
      <c r="AB821" s="732"/>
      <c r="AC821" s="732"/>
      <c r="AD821" s="732"/>
      <c r="AE821" s="733"/>
      <c r="AF821" s="734" t="str">
        <f t="shared" si="38"/>
        <v/>
      </c>
      <c r="AG821" s="772"/>
      <c r="AH821" s="777"/>
      <c r="AI821" s="735"/>
      <c r="AJ821" s="735"/>
      <c r="AK821" s="735"/>
      <c r="AL821" s="735"/>
      <c r="AM821" s="735"/>
      <c r="AN821" s="735"/>
      <c r="AO821" s="735"/>
      <c r="AP821" s="735"/>
      <c r="AQ821" s="735"/>
      <c r="AR821" s="735"/>
      <c r="AS821" s="735"/>
      <c r="AT821" s="735"/>
      <c r="AU821" s="735"/>
      <c r="AV821" s="735"/>
      <c r="AW821" s="735"/>
      <c r="AX821" s="735"/>
      <c r="AY821" s="735"/>
      <c r="AZ821" s="735"/>
      <c r="BA821" s="735"/>
      <c r="BB821" s="735"/>
      <c r="BC821" s="735"/>
      <c r="BD821" s="735"/>
      <c r="BE821" s="735"/>
      <c r="BF821" s="735"/>
      <c r="BG821" s="735"/>
      <c r="BH821" s="735"/>
      <c r="BI821" s="735"/>
      <c r="BJ821" s="735"/>
      <c r="BK821" s="735"/>
      <c r="BL821" s="735"/>
    </row>
    <row r="822" spans="1:64" ht="19.5" customHeight="1" x14ac:dyDescent="0.25">
      <c r="A822" s="758"/>
      <c r="B822" s="737"/>
      <c r="C822" s="730"/>
      <c r="D822" s="739"/>
      <c r="E822" s="765"/>
      <c r="F822" s="765"/>
      <c r="G822" s="765"/>
      <c r="H822" s="765"/>
      <c r="I822" s="746" t="str">
        <f t="shared" si="37"/>
        <v/>
      </c>
      <c r="J822" s="731"/>
      <c r="K822" s="731" t="str">
        <f t="shared" si="36"/>
        <v/>
      </c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32"/>
      <c r="AB822" s="732"/>
      <c r="AC822" s="732"/>
      <c r="AD822" s="732"/>
      <c r="AE822" s="733"/>
      <c r="AF822" s="734" t="str">
        <f t="shared" si="38"/>
        <v/>
      </c>
      <c r="AG822" s="772"/>
      <c r="AH822" s="777"/>
      <c r="AI822" s="735"/>
      <c r="AJ822" s="735"/>
      <c r="AK822" s="735"/>
      <c r="AL822" s="735"/>
      <c r="AM822" s="735"/>
      <c r="AN822" s="735"/>
      <c r="AO822" s="735"/>
      <c r="AP822" s="735"/>
      <c r="AQ822" s="735"/>
      <c r="AR822" s="735"/>
      <c r="AS822" s="735"/>
      <c r="AT822" s="735"/>
      <c r="AU822" s="735"/>
      <c r="AV822" s="735"/>
      <c r="AW822" s="735"/>
      <c r="AX822" s="735"/>
      <c r="AY822" s="735"/>
      <c r="AZ822" s="735"/>
      <c r="BA822" s="735"/>
      <c r="BB822" s="735"/>
      <c r="BC822" s="735"/>
      <c r="BD822" s="735"/>
      <c r="BE822" s="735"/>
      <c r="BF822" s="735"/>
      <c r="BG822" s="735"/>
      <c r="BH822" s="735"/>
      <c r="BI822" s="735"/>
      <c r="BJ822" s="735"/>
      <c r="BK822" s="735"/>
      <c r="BL822" s="735"/>
    </row>
    <row r="823" spans="1:64" ht="19.5" customHeight="1" x14ac:dyDescent="0.25">
      <c r="A823" s="758"/>
      <c r="B823" s="737"/>
      <c r="C823" s="730"/>
      <c r="D823" s="739"/>
      <c r="E823" s="765"/>
      <c r="F823" s="765"/>
      <c r="G823" s="765"/>
      <c r="H823" s="765"/>
      <c r="I823" s="746" t="str">
        <f t="shared" si="37"/>
        <v/>
      </c>
      <c r="J823" s="731"/>
      <c r="K823" s="731" t="str">
        <f t="shared" si="36"/>
        <v/>
      </c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32"/>
      <c r="AB823" s="732"/>
      <c r="AC823" s="732"/>
      <c r="AD823" s="732"/>
      <c r="AE823" s="733"/>
      <c r="AF823" s="734" t="str">
        <f t="shared" si="38"/>
        <v/>
      </c>
      <c r="AG823" s="772"/>
      <c r="AH823" s="777"/>
      <c r="AI823" s="735"/>
      <c r="AJ823" s="735"/>
      <c r="AK823" s="735"/>
      <c r="AL823" s="735"/>
      <c r="AM823" s="735"/>
      <c r="AN823" s="735"/>
      <c r="AO823" s="735"/>
      <c r="AP823" s="735"/>
      <c r="AQ823" s="735"/>
      <c r="AR823" s="735"/>
      <c r="AS823" s="735"/>
      <c r="AT823" s="735"/>
      <c r="AU823" s="735"/>
      <c r="AV823" s="735"/>
      <c r="AW823" s="735"/>
      <c r="AX823" s="735"/>
      <c r="AY823" s="735"/>
      <c r="AZ823" s="735"/>
      <c r="BA823" s="735"/>
      <c r="BB823" s="735"/>
      <c r="BC823" s="735"/>
      <c r="BD823" s="735"/>
      <c r="BE823" s="735"/>
      <c r="BF823" s="735"/>
      <c r="BG823" s="735"/>
      <c r="BH823" s="735"/>
      <c r="BI823" s="735"/>
      <c r="BJ823" s="735"/>
      <c r="BK823" s="735"/>
      <c r="BL823" s="735"/>
    </row>
    <row r="824" spans="1:64" ht="19.5" customHeight="1" x14ac:dyDescent="0.25">
      <c r="A824" s="758"/>
      <c r="B824" s="737"/>
      <c r="C824" s="730"/>
      <c r="D824" s="739"/>
      <c r="E824" s="765"/>
      <c r="F824" s="765"/>
      <c r="G824" s="765"/>
      <c r="H824" s="765"/>
      <c r="I824" s="746" t="str">
        <f t="shared" si="37"/>
        <v/>
      </c>
      <c r="J824" s="731"/>
      <c r="K824" s="731" t="str">
        <f t="shared" si="36"/>
        <v/>
      </c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32"/>
      <c r="AB824" s="732"/>
      <c r="AC824" s="732"/>
      <c r="AD824" s="732"/>
      <c r="AE824" s="733"/>
      <c r="AF824" s="734" t="str">
        <f t="shared" si="38"/>
        <v/>
      </c>
      <c r="AG824" s="772"/>
      <c r="AH824" s="777"/>
      <c r="AI824" s="735"/>
      <c r="AJ824" s="735"/>
      <c r="AK824" s="735"/>
      <c r="AL824" s="735"/>
      <c r="AM824" s="735"/>
      <c r="AN824" s="735"/>
      <c r="AO824" s="735"/>
      <c r="AP824" s="735"/>
      <c r="AQ824" s="735"/>
      <c r="AR824" s="735"/>
      <c r="AS824" s="735"/>
      <c r="AT824" s="735"/>
      <c r="AU824" s="735"/>
      <c r="AV824" s="735"/>
      <c r="AW824" s="735"/>
      <c r="AX824" s="735"/>
      <c r="AY824" s="735"/>
      <c r="AZ824" s="735"/>
      <c r="BA824" s="735"/>
      <c r="BB824" s="735"/>
      <c r="BC824" s="735"/>
      <c r="BD824" s="735"/>
      <c r="BE824" s="735"/>
      <c r="BF824" s="735"/>
      <c r="BG824" s="735"/>
      <c r="BH824" s="735"/>
      <c r="BI824" s="735"/>
      <c r="BJ824" s="735"/>
      <c r="BK824" s="735"/>
      <c r="BL824" s="735"/>
    </row>
    <row r="825" spans="1:64" ht="18.75" x14ac:dyDescent="0.25">
      <c r="A825" s="758"/>
      <c r="B825" s="737"/>
      <c r="C825" s="730"/>
      <c r="D825" s="739"/>
      <c r="E825" s="765"/>
      <c r="F825" s="765"/>
      <c r="G825" s="765"/>
      <c r="H825" s="765"/>
      <c r="I825" s="746" t="str">
        <f t="shared" si="37"/>
        <v/>
      </c>
      <c r="J825" s="731"/>
      <c r="K825" s="731" t="str">
        <f t="shared" si="36"/>
        <v/>
      </c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32"/>
      <c r="AB825" s="732"/>
      <c r="AC825" s="732"/>
      <c r="AD825" s="732"/>
      <c r="AE825" s="733"/>
      <c r="AF825" s="734" t="str">
        <f t="shared" si="38"/>
        <v/>
      </c>
      <c r="AG825" s="773"/>
    </row>
    <row r="826" spans="1:64" ht="18.75" x14ac:dyDescent="0.25">
      <c r="A826" s="758"/>
      <c r="B826" s="737"/>
      <c r="C826" s="730"/>
      <c r="D826" s="739"/>
      <c r="E826" s="765"/>
      <c r="F826" s="765"/>
      <c r="G826" s="765"/>
      <c r="H826" s="765"/>
      <c r="I826" s="746" t="str">
        <f t="shared" si="37"/>
        <v/>
      </c>
      <c r="J826" s="731"/>
      <c r="K826" s="731" t="str">
        <f t="shared" si="36"/>
        <v/>
      </c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32"/>
      <c r="AB826" s="732"/>
      <c r="AC826" s="732"/>
      <c r="AD826" s="732"/>
      <c r="AE826" s="733"/>
      <c r="AF826" s="734" t="str">
        <f t="shared" si="38"/>
        <v/>
      </c>
      <c r="AG826" s="773"/>
    </row>
    <row r="827" spans="1:64" ht="18.75" x14ac:dyDescent="0.25">
      <c r="A827" s="758"/>
      <c r="B827" s="737"/>
      <c r="C827" s="730"/>
      <c r="D827" s="739"/>
      <c r="E827" s="765"/>
      <c r="F827" s="765"/>
      <c r="G827" s="765"/>
      <c r="H827" s="765"/>
      <c r="I827" s="746" t="str">
        <f t="shared" si="37"/>
        <v/>
      </c>
      <c r="J827" s="731"/>
      <c r="K827" s="731" t="str">
        <f t="shared" si="36"/>
        <v/>
      </c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32"/>
      <c r="AB827" s="732"/>
      <c r="AC827" s="732"/>
      <c r="AD827" s="732"/>
      <c r="AE827" s="733"/>
      <c r="AF827" s="734" t="str">
        <f t="shared" si="38"/>
        <v/>
      </c>
      <c r="AG827" s="773"/>
    </row>
    <row r="828" spans="1:64" ht="18.75" x14ac:dyDescent="0.25">
      <c r="A828" s="758"/>
      <c r="B828" s="737"/>
      <c r="C828" s="730"/>
      <c r="D828" s="739"/>
      <c r="E828" s="765"/>
      <c r="F828" s="765"/>
      <c r="G828" s="765"/>
      <c r="H828" s="765"/>
      <c r="I828" s="746" t="str">
        <f t="shared" si="37"/>
        <v/>
      </c>
      <c r="J828" s="731"/>
      <c r="K828" s="731" t="str">
        <f t="shared" si="36"/>
        <v/>
      </c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32"/>
      <c r="AB828" s="732"/>
      <c r="AC828" s="732"/>
      <c r="AD828" s="732"/>
      <c r="AE828" s="733"/>
      <c r="AF828" s="734" t="str">
        <f t="shared" si="38"/>
        <v/>
      </c>
      <c r="AG828" s="773"/>
    </row>
    <row r="829" spans="1:64" ht="18.75" x14ac:dyDescent="0.25">
      <c r="A829" s="758"/>
      <c r="B829" s="737"/>
      <c r="C829" s="730"/>
      <c r="D829" s="739"/>
      <c r="E829" s="765"/>
      <c r="F829" s="765"/>
      <c r="G829" s="765"/>
      <c r="H829" s="765"/>
      <c r="I829" s="746" t="str">
        <f t="shared" si="37"/>
        <v/>
      </c>
      <c r="J829" s="731"/>
      <c r="K829" s="731" t="str">
        <f t="shared" si="36"/>
        <v/>
      </c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32"/>
      <c r="AB829" s="732"/>
      <c r="AC829" s="732"/>
      <c r="AD829" s="732"/>
      <c r="AE829" s="733"/>
      <c r="AF829" s="734" t="str">
        <f t="shared" si="38"/>
        <v/>
      </c>
      <c r="AG829" s="773"/>
    </row>
    <row r="830" spans="1:64" ht="18.75" x14ac:dyDescent="0.25">
      <c r="A830" s="758"/>
      <c r="B830" s="737"/>
      <c r="C830" s="730"/>
      <c r="D830" s="739"/>
      <c r="E830" s="765"/>
      <c r="F830" s="765"/>
      <c r="G830" s="765"/>
      <c r="H830" s="765"/>
      <c r="I830" s="746" t="str">
        <f t="shared" si="37"/>
        <v/>
      </c>
      <c r="J830" s="731"/>
      <c r="K830" s="731" t="str">
        <f t="shared" si="36"/>
        <v/>
      </c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32"/>
      <c r="AB830" s="732"/>
      <c r="AC830" s="732"/>
      <c r="AD830" s="732"/>
      <c r="AE830" s="733"/>
      <c r="AF830" s="734" t="str">
        <f t="shared" si="38"/>
        <v/>
      </c>
      <c r="AG830" s="773"/>
    </row>
    <row r="831" spans="1:64" ht="18.75" x14ac:dyDescent="0.25">
      <c r="A831" s="758"/>
      <c r="B831" s="737"/>
      <c r="C831" s="730"/>
      <c r="D831" s="739"/>
      <c r="E831" s="765"/>
      <c r="F831" s="765"/>
      <c r="G831" s="765"/>
      <c r="H831" s="765"/>
      <c r="I831" s="746" t="str">
        <f t="shared" si="37"/>
        <v/>
      </c>
      <c r="J831" s="731"/>
      <c r="K831" s="731" t="str">
        <f t="shared" si="36"/>
        <v/>
      </c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32"/>
      <c r="AB831" s="732"/>
      <c r="AC831" s="732"/>
      <c r="AD831" s="732"/>
      <c r="AE831" s="733"/>
      <c r="AF831" s="734" t="str">
        <f t="shared" si="38"/>
        <v/>
      </c>
      <c r="AG831" s="773"/>
    </row>
    <row r="832" spans="1:64" ht="18.75" x14ac:dyDescent="0.25">
      <c r="A832" s="758"/>
      <c r="B832" s="737"/>
      <c r="C832" s="730"/>
      <c r="D832" s="739"/>
      <c r="E832" s="765"/>
      <c r="F832" s="765"/>
      <c r="G832" s="765"/>
      <c r="H832" s="765"/>
      <c r="I832" s="746" t="str">
        <f t="shared" si="37"/>
        <v/>
      </c>
      <c r="J832" s="731"/>
      <c r="K832" s="731" t="str">
        <f t="shared" si="36"/>
        <v/>
      </c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32"/>
      <c r="AB832" s="732"/>
      <c r="AC832" s="732"/>
      <c r="AD832" s="732"/>
      <c r="AE832" s="733"/>
      <c r="AF832" s="734" t="str">
        <f t="shared" si="38"/>
        <v/>
      </c>
      <c r="AG832" s="773"/>
    </row>
    <row r="833" spans="1:64" ht="18.75" x14ac:dyDescent="0.25">
      <c r="A833" s="758"/>
      <c r="B833" s="737"/>
      <c r="C833" s="730"/>
      <c r="D833" s="739"/>
      <c r="E833" s="765"/>
      <c r="F833" s="765"/>
      <c r="G833" s="765"/>
      <c r="H833" s="765"/>
      <c r="I833" s="746" t="str">
        <f t="shared" si="37"/>
        <v/>
      </c>
      <c r="J833" s="731"/>
      <c r="K833" s="731" t="str">
        <f t="shared" si="36"/>
        <v/>
      </c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32"/>
      <c r="AB833" s="732"/>
      <c r="AC833" s="732"/>
      <c r="AD833" s="732"/>
      <c r="AE833" s="733"/>
      <c r="AF833" s="734" t="str">
        <f t="shared" si="38"/>
        <v/>
      </c>
      <c r="AG833" s="773"/>
    </row>
    <row r="834" spans="1:64" ht="18.75" x14ac:dyDescent="0.25">
      <c r="A834" s="758"/>
      <c r="B834" s="737"/>
      <c r="C834" s="730"/>
      <c r="D834" s="739"/>
      <c r="E834" s="765"/>
      <c r="F834" s="765"/>
      <c r="G834" s="765"/>
      <c r="H834" s="765"/>
      <c r="I834" s="746" t="str">
        <f t="shared" si="37"/>
        <v/>
      </c>
      <c r="J834" s="731"/>
      <c r="K834" s="731" t="str">
        <f t="shared" si="36"/>
        <v/>
      </c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32"/>
      <c r="AB834" s="732"/>
      <c r="AC834" s="732"/>
      <c r="AD834" s="732"/>
      <c r="AE834" s="733"/>
      <c r="AF834" s="734" t="str">
        <f t="shared" si="38"/>
        <v/>
      </c>
      <c r="AG834" s="773"/>
    </row>
    <row r="835" spans="1:64" ht="18.75" x14ac:dyDescent="0.25">
      <c r="A835" s="758"/>
      <c r="B835" s="737"/>
      <c r="C835" s="730"/>
      <c r="D835" s="739"/>
      <c r="E835" s="765"/>
      <c r="F835" s="765"/>
      <c r="G835" s="765"/>
      <c r="H835" s="765"/>
      <c r="I835" s="746" t="str">
        <f t="shared" si="37"/>
        <v/>
      </c>
      <c r="J835" s="731"/>
      <c r="K835" s="731" t="str">
        <f t="shared" si="36"/>
        <v/>
      </c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32"/>
      <c r="AB835" s="732"/>
      <c r="AC835" s="732"/>
      <c r="AD835" s="732"/>
      <c r="AE835" s="733"/>
      <c r="AF835" s="734" t="str">
        <f t="shared" si="38"/>
        <v/>
      </c>
      <c r="AG835" s="773"/>
    </row>
    <row r="836" spans="1:64" ht="18.75" x14ac:dyDescent="0.25">
      <c r="A836" s="758"/>
      <c r="B836" s="737"/>
      <c r="C836" s="730"/>
      <c r="D836" s="739"/>
      <c r="E836" s="765"/>
      <c r="F836" s="765"/>
      <c r="G836" s="765"/>
      <c r="H836" s="765"/>
      <c r="I836" s="746" t="str">
        <f t="shared" si="37"/>
        <v/>
      </c>
      <c r="J836" s="731"/>
      <c r="K836" s="731" t="str">
        <f t="shared" ref="K836:K899" si="39">IF(AA836-AE836 = 0,"",AA836-AE836)</f>
        <v/>
      </c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32"/>
      <c r="AB836" s="732"/>
      <c r="AC836" s="732"/>
      <c r="AD836" s="732"/>
      <c r="AE836" s="733"/>
      <c r="AF836" s="734" t="str">
        <f t="shared" si="38"/>
        <v/>
      </c>
      <c r="AG836" s="773"/>
    </row>
    <row r="837" spans="1:64" ht="18.75" x14ac:dyDescent="0.25">
      <c r="A837" s="758"/>
      <c r="B837" s="737"/>
      <c r="C837" s="730"/>
      <c r="D837" s="739"/>
      <c r="E837" s="765"/>
      <c r="F837" s="765"/>
      <c r="G837" s="765"/>
      <c r="H837" s="765"/>
      <c r="I837" s="746" t="str">
        <f t="shared" ref="I837:I900" si="40">AF837</f>
        <v/>
      </c>
      <c r="J837" s="731"/>
      <c r="K837" s="731" t="str">
        <f t="shared" si="39"/>
        <v/>
      </c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32"/>
      <c r="AB837" s="732"/>
      <c r="AC837" s="732"/>
      <c r="AD837" s="732"/>
      <c r="AE837" s="733"/>
      <c r="AF837" s="734" t="str">
        <f t="shared" ref="AF837:AF900" si="41">IF(AE837 &lt;&gt;"", AE837/AA837,"")</f>
        <v/>
      </c>
      <c r="AG837" s="773"/>
    </row>
    <row r="838" spans="1:64" ht="18.75" x14ac:dyDescent="0.25">
      <c r="A838" s="758"/>
      <c r="B838" s="737"/>
      <c r="C838" s="730"/>
      <c r="D838" s="739"/>
      <c r="E838" s="765"/>
      <c r="F838" s="765"/>
      <c r="G838" s="765"/>
      <c r="H838" s="765"/>
      <c r="I838" s="746" t="str">
        <f t="shared" si="40"/>
        <v/>
      </c>
      <c r="J838" s="731"/>
      <c r="K838" s="731" t="str">
        <f t="shared" si="39"/>
        <v/>
      </c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32"/>
      <c r="AB838" s="732"/>
      <c r="AC838" s="732"/>
      <c r="AD838" s="732"/>
      <c r="AE838" s="733"/>
      <c r="AF838" s="734" t="str">
        <f t="shared" si="41"/>
        <v/>
      </c>
      <c r="AG838" s="773"/>
    </row>
    <row r="839" spans="1:64" ht="18.75" x14ac:dyDescent="0.25">
      <c r="A839" s="758"/>
      <c r="B839" s="737"/>
      <c r="C839" s="730"/>
      <c r="D839" s="739"/>
      <c r="E839" s="765"/>
      <c r="F839" s="765"/>
      <c r="G839" s="765"/>
      <c r="H839" s="765"/>
      <c r="I839" s="746" t="str">
        <f t="shared" si="40"/>
        <v/>
      </c>
      <c r="J839" s="731"/>
      <c r="K839" s="731" t="str">
        <f t="shared" si="39"/>
        <v/>
      </c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32"/>
      <c r="AB839" s="732"/>
      <c r="AC839" s="732"/>
      <c r="AD839" s="732"/>
      <c r="AE839" s="733"/>
      <c r="AF839" s="734" t="str">
        <f t="shared" si="41"/>
        <v/>
      </c>
      <c r="AG839" s="773"/>
    </row>
    <row r="840" spans="1:64" ht="18.75" x14ac:dyDescent="0.25">
      <c r="A840" s="758"/>
      <c r="B840" s="737"/>
      <c r="C840" s="730"/>
      <c r="D840" s="739"/>
      <c r="E840" s="765"/>
      <c r="F840" s="765"/>
      <c r="G840" s="765"/>
      <c r="H840" s="765"/>
      <c r="I840" s="746" t="str">
        <f t="shared" si="40"/>
        <v/>
      </c>
      <c r="J840" s="731"/>
      <c r="K840" s="731" t="str">
        <f t="shared" si="39"/>
        <v/>
      </c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32"/>
      <c r="AB840" s="732"/>
      <c r="AC840" s="732"/>
      <c r="AD840" s="732"/>
      <c r="AE840" s="733"/>
      <c r="AF840" s="734" t="str">
        <f t="shared" si="41"/>
        <v/>
      </c>
      <c r="AG840" s="773"/>
    </row>
    <row r="841" spans="1:64" ht="18.75" x14ac:dyDescent="0.25">
      <c r="A841" s="758"/>
      <c r="B841" s="737"/>
      <c r="C841" s="730"/>
      <c r="D841" s="739"/>
      <c r="E841" s="765"/>
      <c r="F841" s="765"/>
      <c r="G841" s="765"/>
      <c r="H841" s="765"/>
      <c r="I841" s="746" t="str">
        <f t="shared" si="40"/>
        <v/>
      </c>
      <c r="J841" s="731"/>
      <c r="K841" s="731" t="str">
        <f t="shared" si="39"/>
        <v/>
      </c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32"/>
      <c r="AB841" s="732"/>
      <c r="AC841" s="732"/>
      <c r="AD841" s="732"/>
      <c r="AE841" s="733"/>
      <c r="AF841" s="734" t="str">
        <f t="shared" si="41"/>
        <v/>
      </c>
      <c r="AG841" s="773"/>
    </row>
    <row r="842" spans="1:64" ht="18.75" x14ac:dyDescent="0.25">
      <c r="A842" s="758"/>
      <c r="B842" s="737"/>
      <c r="C842" s="730"/>
      <c r="D842" s="739"/>
      <c r="E842" s="765"/>
      <c r="F842" s="765"/>
      <c r="G842" s="765"/>
      <c r="H842" s="765"/>
      <c r="I842" s="746" t="str">
        <f t="shared" si="40"/>
        <v/>
      </c>
      <c r="J842" s="731"/>
      <c r="K842" s="731" t="str">
        <f t="shared" si="39"/>
        <v/>
      </c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32"/>
      <c r="AB842" s="732"/>
      <c r="AC842" s="732"/>
      <c r="AD842" s="732"/>
      <c r="AE842" s="733"/>
      <c r="AF842" s="734" t="str">
        <f t="shared" si="41"/>
        <v/>
      </c>
      <c r="AG842" s="774"/>
      <c r="AH842" s="778"/>
      <c r="AI842" s="736"/>
      <c r="AJ842" s="736"/>
      <c r="AK842" s="736"/>
      <c r="AL842" s="736"/>
      <c r="AM842" s="736"/>
      <c r="AN842" s="736"/>
      <c r="AO842" s="736"/>
      <c r="AP842" s="736"/>
      <c r="AQ842" s="736"/>
      <c r="AR842" s="736"/>
      <c r="AS842" s="736"/>
      <c r="AT842" s="736"/>
      <c r="AU842" s="736"/>
      <c r="AV842" s="736"/>
      <c r="AW842" s="736"/>
      <c r="AX842" s="736"/>
      <c r="AY842" s="736"/>
      <c r="AZ842" s="736"/>
      <c r="BA842" s="736"/>
      <c r="BB842" s="736"/>
      <c r="BC842" s="736"/>
      <c r="BD842" s="736"/>
      <c r="BE842" s="736"/>
      <c r="BF842" s="736"/>
      <c r="BG842" s="736"/>
      <c r="BH842" s="736"/>
      <c r="BI842" s="736"/>
      <c r="BJ842" s="736"/>
      <c r="BK842" s="736"/>
      <c r="BL842" s="736"/>
    </row>
    <row r="843" spans="1:64" ht="18.75" x14ac:dyDescent="0.25">
      <c r="A843" s="758"/>
      <c r="B843" s="737"/>
      <c r="C843" s="730"/>
      <c r="D843" s="739"/>
      <c r="E843" s="765"/>
      <c r="F843" s="765"/>
      <c r="G843" s="765"/>
      <c r="H843" s="765"/>
      <c r="I843" s="746" t="str">
        <f t="shared" si="40"/>
        <v/>
      </c>
      <c r="J843" s="731"/>
      <c r="K843" s="731" t="str">
        <f t="shared" si="39"/>
        <v/>
      </c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32"/>
      <c r="AB843" s="732"/>
      <c r="AC843" s="732"/>
      <c r="AD843" s="732"/>
      <c r="AE843" s="733"/>
      <c r="AF843" s="734" t="str">
        <f t="shared" si="41"/>
        <v/>
      </c>
      <c r="AG843" s="774"/>
      <c r="AH843" s="778"/>
      <c r="AI843" s="736"/>
      <c r="AJ843" s="736"/>
      <c r="AK843" s="736"/>
      <c r="AL843" s="736"/>
      <c r="AM843" s="736"/>
      <c r="AN843" s="736"/>
      <c r="AO843" s="736"/>
      <c r="AP843" s="736"/>
      <c r="AQ843" s="736"/>
      <c r="AR843" s="736"/>
      <c r="AS843" s="736"/>
      <c r="AT843" s="736"/>
      <c r="AU843" s="736"/>
      <c r="AV843" s="736"/>
      <c r="AW843" s="736"/>
      <c r="AX843" s="736"/>
      <c r="AY843" s="736"/>
      <c r="AZ843" s="736"/>
      <c r="BA843" s="736"/>
      <c r="BB843" s="736"/>
      <c r="BC843" s="736"/>
      <c r="BD843" s="736"/>
      <c r="BE843" s="736"/>
      <c r="BF843" s="736"/>
      <c r="BG843" s="736"/>
      <c r="BH843" s="736"/>
      <c r="BI843" s="736"/>
      <c r="BJ843" s="736"/>
      <c r="BK843" s="736"/>
      <c r="BL843" s="736"/>
    </row>
    <row r="844" spans="1:64" ht="18.75" x14ac:dyDescent="0.25">
      <c r="A844" s="758"/>
      <c r="B844" s="737"/>
      <c r="C844" s="730"/>
      <c r="D844" s="739"/>
      <c r="E844" s="765"/>
      <c r="F844" s="765"/>
      <c r="G844" s="765"/>
      <c r="H844" s="765"/>
      <c r="I844" s="746" t="str">
        <f t="shared" si="40"/>
        <v/>
      </c>
      <c r="J844" s="731"/>
      <c r="K844" s="731" t="str">
        <f t="shared" si="39"/>
        <v/>
      </c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32"/>
      <c r="AB844" s="732"/>
      <c r="AC844" s="732"/>
      <c r="AD844" s="732"/>
      <c r="AE844" s="733"/>
      <c r="AF844" s="734" t="str">
        <f t="shared" si="41"/>
        <v/>
      </c>
      <c r="AG844" s="773"/>
    </row>
    <row r="845" spans="1:64" ht="18.75" x14ac:dyDescent="0.25">
      <c r="A845" s="758"/>
      <c r="B845" s="737"/>
      <c r="C845" s="730"/>
      <c r="D845" s="739"/>
      <c r="E845" s="765"/>
      <c r="F845" s="765"/>
      <c r="G845" s="765"/>
      <c r="H845" s="765"/>
      <c r="I845" s="746" t="str">
        <f t="shared" si="40"/>
        <v/>
      </c>
      <c r="J845" s="731"/>
      <c r="K845" s="731" t="str">
        <f t="shared" si="39"/>
        <v/>
      </c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32"/>
      <c r="AB845" s="732"/>
      <c r="AC845" s="732"/>
      <c r="AD845" s="732"/>
      <c r="AE845" s="733"/>
      <c r="AF845" s="734" t="str">
        <f t="shared" si="41"/>
        <v/>
      </c>
      <c r="AG845" s="773"/>
    </row>
    <row r="846" spans="1:64" ht="18.75" x14ac:dyDescent="0.25">
      <c r="A846" s="758"/>
      <c r="B846" s="737"/>
      <c r="C846" s="730"/>
      <c r="D846" s="739"/>
      <c r="E846" s="765"/>
      <c r="F846" s="765"/>
      <c r="G846" s="765"/>
      <c r="H846" s="765"/>
      <c r="I846" s="746" t="str">
        <f t="shared" si="40"/>
        <v/>
      </c>
      <c r="J846" s="731"/>
      <c r="K846" s="731" t="str">
        <f t="shared" si="39"/>
        <v/>
      </c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32"/>
      <c r="AB846" s="732"/>
      <c r="AC846" s="732"/>
      <c r="AD846" s="732"/>
      <c r="AE846" s="733"/>
      <c r="AF846" s="734" t="str">
        <f t="shared" si="41"/>
        <v/>
      </c>
      <c r="AG846" s="774"/>
      <c r="AH846" s="778"/>
      <c r="AI846" s="736"/>
      <c r="AJ846" s="736"/>
      <c r="AK846" s="736"/>
      <c r="AL846" s="736"/>
      <c r="AM846" s="736"/>
      <c r="AN846" s="736"/>
      <c r="AO846" s="736"/>
      <c r="AP846" s="736"/>
      <c r="AQ846" s="736"/>
      <c r="AR846" s="736"/>
      <c r="AS846" s="736"/>
      <c r="AT846" s="736"/>
      <c r="AU846" s="736"/>
      <c r="AV846" s="736"/>
      <c r="AW846" s="736"/>
      <c r="AX846" s="736"/>
      <c r="AY846" s="736"/>
      <c r="AZ846" s="736"/>
      <c r="BA846" s="736"/>
      <c r="BB846" s="736"/>
      <c r="BC846" s="736"/>
      <c r="BD846" s="736"/>
      <c r="BE846" s="736"/>
      <c r="BF846" s="736"/>
      <c r="BG846" s="736"/>
      <c r="BH846" s="736"/>
      <c r="BI846" s="736"/>
      <c r="BJ846" s="736"/>
      <c r="BK846" s="736"/>
      <c r="BL846" s="736"/>
    </row>
    <row r="847" spans="1:64" ht="18.75" x14ac:dyDescent="0.25">
      <c r="A847" s="758"/>
      <c r="B847" s="737"/>
      <c r="C847" s="730"/>
      <c r="D847" s="739"/>
      <c r="E847" s="765"/>
      <c r="F847" s="765"/>
      <c r="G847" s="765"/>
      <c r="H847" s="765"/>
      <c r="I847" s="746" t="str">
        <f t="shared" si="40"/>
        <v/>
      </c>
      <c r="J847" s="731"/>
      <c r="K847" s="731" t="str">
        <f t="shared" si="39"/>
        <v/>
      </c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32"/>
      <c r="AB847" s="732"/>
      <c r="AC847" s="732"/>
      <c r="AD847" s="732"/>
      <c r="AE847" s="733"/>
      <c r="AF847" s="734" t="str">
        <f t="shared" si="41"/>
        <v/>
      </c>
      <c r="AG847" s="773"/>
    </row>
    <row r="848" spans="1:64" ht="18.75" x14ac:dyDescent="0.25">
      <c r="A848" s="758"/>
      <c r="B848" s="737"/>
      <c r="C848" s="730"/>
      <c r="D848" s="739"/>
      <c r="E848" s="765"/>
      <c r="F848" s="765"/>
      <c r="G848" s="765"/>
      <c r="H848" s="765"/>
      <c r="I848" s="746" t="str">
        <f t="shared" si="40"/>
        <v/>
      </c>
      <c r="J848" s="731"/>
      <c r="K848" s="731" t="str">
        <f t="shared" si="39"/>
        <v/>
      </c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32"/>
      <c r="AB848" s="732"/>
      <c r="AC848" s="732"/>
      <c r="AD848" s="732"/>
      <c r="AE848" s="733"/>
      <c r="AF848" s="734" t="str">
        <f t="shared" si="41"/>
        <v/>
      </c>
      <c r="AG848" s="773"/>
    </row>
    <row r="849" spans="1:64" ht="18.75" x14ac:dyDescent="0.25">
      <c r="A849" s="758"/>
      <c r="B849" s="737"/>
      <c r="C849" s="730"/>
      <c r="D849" s="739"/>
      <c r="E849" s="765"/>
      <c r="F849" s="765"/>
      <c r="G849" s="765"/>
      <c r="H849" s="765"/>
      <c r="I849" s="746" t="str">
        <f t="shared" si="40"/>
        <v/>
      </c>
      <c r="J849" s="731"/>
      <c r="K849" s="731" t="str">
        <f t="shared" si="39"/>
        <v/>
      </c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32"/>
      <c r="AB849" s="732"/>
      <c r="AC849" s="732"/>
      <c r="AD849" s="732"/>
      <c r="AE849" s="733"/>
      <c r="AF849" s="734" t="str">
        <f t="shared" si="41"/>
        <v/>
      </c>
      <c r="AG849" s="774"/>
      <c r="AH849" s="778"/>
      <c r="AI849" s="736"/>
      <c r="AJ849" s="736"/>
      <c r="AK849" s="736"/>
      <c r="AL849" s="736"/>
      <c r="AM849" s="736"/>
      <c r="AN849" s="736"/>
      <c r="AO849" s="736"/>
      <c r="AP849" s="736"/>
      <c r="AQ849" s="736"/>
      <c r="AR849" s="736"/>
      <c r="AS849" s="736"/>
      <c r="AT849" s="736"/>
      <c r="AU849" s="736"/>
      <c r="AV849" s="736"/>
      <c r="AW849" s="736"/>
      <c r="AX849" s="736"/>
      <c r="AY849" s="736"/>
      <c r="AZ849" s="736"/>
      <c r="BA849" s="736"/>
      <c r="BB849" s="736"/>
      <c r="BC849" s="736"/>
      <c r="BD849" s="736"/>
      <c r="BE849" s="736"/>
      <c r="BF849" s="736"/>
      <c r="BG849" s="736"/>
      <c r="BH849" s="736"/>
      <c r="BI849" s="736"/>
      <c r="BJ849" s="736"/>
      <c r="BK849" s="736"/>
      <c r="BL849" s="736"/>
    </row>
    <row r="850" spans="1:64" ht="18.75" x14ac:dyDescent="0.25">
      <c r="A850" s="758"/>
      <c r="B850" s="737"/>
      <c r="C850" s="730"/>
      <c r="D850" s="739"/>
      <c r="E850" s="765"/>
      <c r="F850" s="765"/>
      <c r="G850" s="765"/>
      <c r="H850" s="765"/>
      <c r="I850" s="746" t="str">
        <f t="shared" si="40"/>
        <v/>
      </c>
      <c r="J850" s="731"/>
      <c r="K850" s="731" t="str">
        <f t="shared" si="39"/>
        <v/>
      </c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32"/>
      <c r="AB850" s="732"/>
      <c r="AC850" s="732"/>
      <c r="AD850" s="732"/>
      <c r="AE850" s="733"/>
      <c r="AF850" s="734" t="str">
        <f t="shared" si="41"/>
        <v/>
      </c>
      <c r="AG850" s="773"/>
    </row>
    <row r="851" spans="1:64" ht="18.75" x14ac:dyDescent="0.25">
      <c r="A851" s="758"/>
      <c r="B851" s="737"/>
      <c r="C851" s="730"/>
      <c r="D851" s="739"/>
      <c r="E851" s="765"/>
      <c r="F851" s="765"/>
      <c r="G851" s="765"/>
      <c r="H851" s="765"/>
      <c r="I851" s="746" t="str">
        <f t="shared" si="40"/>
        <v/>
      </c>
      <c r="J851" s="731"/>
      <c r="K851" s="731" t="str">
        <f t="shared" si="39"/>
        <v/>
      </c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32"/>
      <c r="AB851" s="732"/>
      <c r="AC851" s="732"/>
      <c r="AD851" s="732"/>
      <c r="AE851" s="733"/>
      <c r="AF851" s="734" t="str">
        <f t="shared" si="41"/>
        <v/>
      </c>
      <c r="AG851" s="774"/>
      <c r="AH851" s="778"/>
      <c r="AI851" s="736"/>
      <c r="AJ851" s="736"/>
      <c r="AK851" s="736"/>
      <c r="AL851" s="736"/>
      <c r="AM851" s="736"/>
      <c r="AN851" s="736"/>
      <c r="AO851" s="736"/>
      <c r="AP851" s="736"/>
      <c r="AQ851" s="736"/>
      <c r="AR851" s="736"/>
      <c r="AS851" s="736"/>
      <c r="AT851" s="736"/>
      <c r="AU851" s="736"/>
      <c r="AV851" s="736"/>
      <c r="AW851" s="736"/>
      <c r="AX851" s="736"/>
      <c r="AY851" s="736"/>
      <c r="AZ851" s="736"/>
      <c r="BA851" s="736"/>
      <c r="BB851" s="736"/>
      <c r="BC851" s="736"/>
      <c r="BD851" s="736"/>
      <c r="BE851" s="736"/>
      <c r="BF851" s="736"/>
      <c r="BG851" s="736"/>
      <c r="BH851" s="736"/>
      <c r="BI851" s="736"/>
      <c r="BJ851" s="736"/>
      <c r="BK851" s="736"/>
      <c r="BL851" s="736"/>
    </row>
    <row r="852" spans="1:64" ht="18.75" x14ac:dyDescent="0.25">
      <c r="A852" s="758"/>
      <c r="B852" s="737"/>
      <c r="C852" s="730"/>
      <c r="D852" s="739"/>
      <c r="E852" s="765"/>
      <c r="F852" s="765"/>
      <c r="G852" s="765"/>
      <c r="H852" s="765"/>
      <c r="I852" s="746" t="str">
        <f t="shared" si="40"/>
        <v/>
      </c>
      <c r="J852" s="731"/>
      <c r="K852" s="731" t="str">
        <f t="shared" si="39"/>
        <v/>
      </c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32"/>
      <c r="AB852" s="732"/>
      <c r="AC852" s="732"/>
      <c r="AD852" s="732"/>
      <c r="AE852" s="733"/>
      <c r="AF852" s="734" t="str">
        <f t="shared" si="41"/>
        <v/>
      </c>
      <c r="AG852" s="774"/>
      <c r="AH852" s="778"/>
      <c r="AI852" s="736"/>
      <c r="AJ852" s="736"/>
      <c r="AK852" s="736"/>
      <c r="AL852" s="736"/>
      <c r="AM852" s="736"/>
      <c r="AN852" s="736"/>
      <c r="AO852" s="736"/>
      <c r="AP852" s="736"/>
      <c r="AQ852" s="736"/>
      <c r="AR852" s="736"/>
      <c r="AS852" s="736"/>
      <c r="AT852" s="736"/>
      <c r="AU852" s="736"/>
      <c r="AV852" s="736"/>
      <c r="AW852" s="736"/>
      <c r="AX852" s="736"/>
      <c r="AY852" s="736"/>
      <c r="AZ852" s="736"/>
      <c r="BA852" s="736"/>
      <c r="BB852" s="736"/>
      <c r="BC852" s="736"/>
      <c r="BD852" s="736"/>
      <c r="BE852" s="736"/>
      <c r="BF852" s="736"/>
      <c r="BG852" s="736"/>
      <c r="BH852" s="736"/>
      <c r="BI852" s="736"/>
      <c r="BJ852" s="736"/>
      <c r="BK852" s="736"/>
      <c r="BL852" s="736"/>
    </row>
    <row r="853" spans="1:64" ht="18.75" x14ac:dyDescent="0.25">
      <c r="A853" s="758"/>
      <c r="B853" s="737"/>
      <c r="C853" s="730"/>
      <c r="D853" s="739"/>
      <c r="E853" s="765"/>
      <c r="F853" s="765"/>
      <c r="G853" s="765"/>
      <c r="H853" s="765"/>
      <c r="I853" s="746" t="str">
        <f t="shared" si="40"/>
        <v/>
      </c>
      <c r="J853" s="731"/>
      <c r="K853" s="731" t="str">
        <f t="shared" si="39"/>
        <v/>
      </c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32"/>
      <c r="AB853" s="732"/>
      <c r="AC853" s="732"/>
      <c r="AD853" s="732"/>
      <c r="AE853" s="733"/>
      <c r="AF853" s="734" t="str">
        <f t="shared" si="41"/>
        <v/>
      </c>
      <c r="AG853" s="773"/>
    </row>
    <row r="854" spans="1:64" ht="18.75" x14ac:dyDescent="0.25">
      <c r="A854" s="758"/>
      <c r="B854" s="737"/>
      <c r="C854" s="730"/>
      <c r="D854" s="739"/>
      <c r="E854" s="765"/>
      <c r="F854" s="765"/>
      <c r="G854" s="765"/>
      <c r="H854" s="765"/>
      <c r="I854" s="746" t="str">
        <f t="shared" si="40"/>
        <v/>
      </c>
      <c r="J854" s="731"/>
      <c r="K854" s="731" t="str">
        <f t="shared" si="39"/>
        <v/>
      </c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32"/>
      <c r="AB854" s="732"/>
      <c r="AC854" s="732"/>
      <c r="AD854" s="732"/>
      <c r="AE854" s="733"/>
      <c r="AF854" s="734" t="str">
        <f t="shared" si="41"/>
        <v/>
      </c>
      <c r="AG854" s="774"/>
      <c r="AH854" s="778"/>
      <c r="AI854" s="736"/>
      <c r="AJ854" s="736"/>
      <c r="AK854" s="736"/>
      <c r="AL854" s="736"/>
      <c r="AM854" s="736"/>
      <c r="AN854" s="736"/>
      <c r="AO854" s="736"/>
      <c r="AP854" s="736"/>
      <c r="AQ854" s="736"/>
      <c r="AR854" s="736"/>
      <c r="AS854" s="736"/>
      <c r="AT854" s="736"/>
      <c r="AU854" s="736"/>
      <c r="AV854" s="736"/>
      <c r="AW854" s="736"/>
      <c r="AX854" s="736"/>
      <c r="AY854" s="736"/>
      <c r="AZ854" s="736"/>
      <c r="BA854" s="736"/>
      <c r="BB854" s="736"/>
      <c r="BC854" s="736"/>
      <c r="BD854" s="736"/>
      <c r="BE854" s="736"/>
      <c r="BF854" s="736"/>
      <c r="BG854" s="736"/>
      <c r="BH854" s="736"/>
      <c r="BI854" s="736"/>
      <c r="BJ854" s="736"/>
      <c r="BK854" s="736"/>
      <c r="BL854" s="736"/>
    </row>
    <row r="855" spans="1:64" ht="18.75" x14ac:dyDescent="0.25">
      <c r="A855" s="758"/>
      <c r="B855" s="737"/>
      <c r="C855" s="730"/>
      <c r="D855" s="739"/>
      <c r="E855" s="765"/>
      <c r="F855" s="765"/>
      <c r="G855" s="765"/>
      <c r="H855" s="765"/>
      <c r="I855" s="746" t="str">
        <f t="shared" si="40"/>
        <v/>
      </c>
      <c r="J855" s="731"/>
      <c r="K855" s="731" t="str">
        <f t="shared" si="39"/>
        <v/>
      </c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32"/>
      <c r="AB855" s="732"/>
      <c r="AC855" s="732"/>
      <c r="AD855" s="732"/>
      <c r="AE855" s="733"/>
      <c r="AF855" s="734" t="str">
        <f t="shared" si="41"/>
        <v/>
      </c>
      <c r="AG855" s="773"/>
    </row>
    <row r="856" spans="1:64" ht="18.75" x14ac:dyDescent="0.25">
      <c r="A856" s="758"/>
      <c r="B856" s="737"/>
      <c r="C856" s="730"/>
      <c r="D856" s="739"/>
      <c r="E856" s="765"/>
      <c r="F856" s="765"/>
      <c r="G856" s="765"/>
      <c r="H856" s="765"/>
      <c r="I856" s="746" t="str">
        <f t="shared" si="40"/>
        <v/>
      </c>
      <c r="J856" s="731"/>
      <c r="K856" s="731" t="str">
        <f t="shared" si="39"/>
        <v/>
      </c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32"/>
      <c r="AB856" s="732"/>
      <c r="AC856" s="732"/>
      <c r="AD856" s="732"/>
      <c r="AE856" s="733"/>
      <c r="AF856" s="734" t="str">
        <f t="shared" si="41"/>
        <v/>
      </c>
      <c r="AG856" s="774"/>
      <c r="AH856" s="778"/>
      <c r="AI856" s="736"/>
      <c r="AJ856" s="736"/>
      <c r="AK856" s="736"/>
      <c r="AL856" s="736"/>
      <c r="AM856" s="736"/>
      <c r="AN856" s="736"/>
      <c r="AO856" s="736"/>
      <c r="AP856" s="736"/>
      <c r="AQ856" s="736"/>
      <c r="AR856" s="736"/>
      <c r="AS856" s="736"/>
      <c r="AT856" s="736"/>
      <c r="AU856" s="736"/>
      <c r="AV856" s="736"/>
      <c r="AW856" s="736"/>
      <c r="AX856" s="736"/>
      <c r="AY856" s="736"/>
      <c r="AZ856" s="736"/>
      <c r="BA856" s="736"/>
      <c r="BB856" s="736"/>
      <c r="BC856" s="736"/>
      <c r="BD856" s="736"/>
      <c r="BE856" s="736"/>
      <c r="BF856" s="736"/>
      <c r="BG856" s="736"/>
      <c r="BH856" s="736"/>
      <c r="BI856" s="736"/>
      <c r="BJ856" s="736"/>
      <c r="BK856" s="736"/>
      <c r="BL856" s="736"/>
    </row>
    <row r="857" spans="1:64" ht="18.75" x14ac:dyDescent="0.25">
      <c r="A857" s="758"/>
      <c r="B857" s="737"/>
      <c r="C857" s="730"/>
      <c r="D857" s="739"/>
      <c r="E857" s="765"/>
      <c r="F857" s="765"/>
      <c r="G857" s="765"/>
      <c r="H857" s="765"/>
      <c r="I857" s="746" t="str">
        <f t="shared" si="40"/>
        <v/>
      </c>
      <c r="J857" s="731"/>
      <c r="K857" s="731" t="str">
        <f t="shared" si="39"/>
        <v/>
      </c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32"/>
      <c r="AB857" s="732"/>
      <c r="AC857" s="732"/>
      <c r="AD857" s="732"/>
      <c r="AE857" s="733"/>
      <c r="AF857" s="734" t="str">
        <f t="shared" si="41"/>
        <v/>
      </c>
      <c r="AG857" s="774"/>
      <c r="AH857" s="778"/>
      <c r="AI857" s="736"/>
      <c r="AJ857" s="736"/>
      <c r="AK857" s="736"/>
      <c r="AL857" s="736"/>
      <c r="AM857" s="736"/>
      <c r="AN857" s="736"/>
      <c r="AO857" s="736"/>
      <c r="AP857" s="736"/>
      <c r="AQ857" s="736"/>
      <c r="AR857" s="736"/>
      <c r="AS857" s="736"/>
      <c r="AT857" s="736"/>
      <c r="AU857" s="736"/>
      <c r="AV857" s="736"/>
      <c r="AW857" s="736"/>
      <c r="AX857" s="736"/>
      <c r="AY857" s="736"/>
      <c r="AZ857" s="736"/>
      <c r="BA857" s="736"/>
      <c r="BB857" s="736"/>
      <c r="BC857" s="736"/>
      <c r="BD857" s="736"/>
      <c r="BE857" s="736"/>
      <c r="BF857" s="736"/>
      <c r="BG857" s="736"/>
      <c r="BH857" s="736"/>
      <c r="BI857" s="736"/>
      <c r="BJ857" s="736"/>
      <c r="BK857" s="736"/>
      <c r="BL857" s="736"/>
    </row>
    <row r="858" spans="1:64" ht="18.75" x14ac:dyDescent="0.25">
      <c r="A858" s="758"/>
      <c r="B858" s="737"/>
      <c r="C858" s="730"/>
      <c r="D858" s="739"/>
      <c r="E858" s="765"/>
      <c r="F858" s="765"/>
      <c r="G858" s="765"/>
      <c r="H858" s="765"/>
      <c r="I858" s="746" t="str">
        <f t="shared" si="40"/>
        <v/>
      </c>
      <c r="J858" s="731"/>
      <c r="K858" s="731" t="str">
        <f t="shared" si="39"/>
        <v/>
      </c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32"/>
      <c r="AB858" s="732"/>
      <c r="AC858" s="732"/>
      <c r="AD858" s="732"/>
      <c r="AE858" s="733"/>
      <c r="AF858" s="734" t="str">
        <f t="shared" si="41"/>
        <v/>
      </c>
      <c r="AG858" s="774"/>
      <c r="AH858" s="778"/>
      <c r="AI858" s="736"/>
      <c r="AJ858" s="736"/>
      <c r="AK858" s="736"/>
      <c r="AL858" s="736"/>
      <c r="AM858" s="736"/>
      <c r="AN858" s="736"/>
      <c r="AO858" s="736"/>
      <c r="AP858" s="736"/>
      <c r="AQ858" s="736"/>
      <c r="AR858" s="736"/>
      <c r="AS858" s="736"/>
      <c r="AT858" s="736"/>
      <c r="AU858" s="736"/>
      <c r="AV858" s="736"/>
      <c r="AW858" s="736"/>
      <c r="AX858" s="736"/>
      <c r="AY858" s="736"/>
      <c r="AZ858" s="736"/>
      <c r="BA858" s="736"/>
      <c r="BB858" s="736"/>
      <c r="BC858" s="736"/>
      <c r="BD858" s="736"/>
      <c r="BE858" s="736"/>
      <c r="BF858" s="736"/>
      <c r="BG858" s="736"/>
      <c r="BH858" s="736"/>
      <c r="BI858" s="736"/>
      <c r="BJ858" s="736"/>
      <c r="BK858" s="736"/>
      <c r="BL858" s="736"/>
    </row>
    <row r="859" spans="1:64" ht="18.75" x14ac:dyDescent="0.25">
      <c r="A859" s="758"/>
      <c r="B859" s="737"/>
      <c r="C859" s="730"/>
      <c r="D859" s="739"/>
      <c r="E859" s="765"/>
      <c r="F859" s="765"/>
      <c r="G859" s="765"/>
      <c r="H859" s="765"/>
      <c r="I859" s="746" t="str">
        <f t="shared" si="40"/>
        <v/>
      </c>
      <c r="J859" s="731"/>
      <c r="K859" s="731" t="str">
        <f t="shared" si="39"/>
        <v/>
      </c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32"/>
      <c r="AB859" s="732"/>
      <c r="AC859" s="732"/>
      <c r="AD859" s="732"/>
      <c r="AE859" s="733"/>
      <c r="AF859" s="734" t="str">
        <f t="shared" si="41"/>
        <v/>
      </c>
      <c r="AG859" s="774"/>
      <c r="AH859" s="778"/>
      <c r="AI859" s="736"/>
      <c r="AJ859" s="736"/>
      <c r="AK859" s="736"/>
      <c r="AL859" s="736"/>
      <c r="AM859" s="736"/>
      <c r="AN859" s="736"/>
      <c r="AO859" s="736"/>
      <c r="AP859" s="736"/>
      <c r="AQ859" s="736"/>
      <c r="AR859" s="736"/>
      <c r="AS859" s="736"/>
      <c r="AT859" s="736"/>
      <c r="AU859" s="736"/>
      <c r="AV859" s="736"/>
      <c r="AW859" s="736"/>
      <c r="AX859" s="736"/>
      <c r="AY859" s="736"/>
      <c r="AZ859" s="736"/>
      <c r="BA859" s="736"/>
      <c r="BB859" s="736"/>
      <c r="BC859" s="736"/>
      <c r="BD859" s="736"/>
      <c r="BE859" s="736"/>
      <c r="BF859" s="736"/>
      <c r="BG859" s="736"/>
      <c r="BH859" s="736"/>
      <c r="BI859" s="736"/>
      <c r="BJ859" s="736"/>
      <c r="BK859" s="736"/>
      <c r="BL859" s="736"/>
    </row>
    <row r="860" spans="1:64" ht="18.75" x14ac:dyDescent="0.25">
      <c r="A860" s="758"/>
      <c r="B860" s="737"/>
      <c r="C860" s="730"/>
      <c r="D860" s="739"/>
      <c r="E860" s="765"/>
      <c r="F860" s="765"/>
      <c r="G860" s="765"/>
      <c r="H860" s="765"/>
      <c r="I860" s="746" t="str">
        <f t="shared" si="40"/>
        <v/>
      </c>
      <c r="J860" s="731"/>
      <c r="K860" s="731" t="str">
        <f t="shared" si="39"/>
        <v/>
      </c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32"/>
      <c r="AB860" s="732"/>
      <c r="AC860" s="732"/>
      <c r="AD860" s="732"/>
      <c r="AE860" s="733"/>
      <c r="AF860" s="734" t="str">
        <f t="shared" si="41"/>
        <v/>
      </c>
      <c r="AG860" s="774"/>
      <c r="AH860" s="778"/>
      <c r="AI860" s="736"/>
      <c r="AJ860" s="736"/>
      <c r="AK860" s="736"/>
      <c r="AL860" s="736"/>
      <c r="AM860" s="736"/>
      <c r="AN860" s="736"/>
      <c r="AO860" s="736"/>
      <c r="AP860" s="736"/>
      <c r="AQ860" s="736"/>
      <c r="AR860" s="736"/>
      <c r="AS860" s="736"/>
      <c r="AT860" s="736"/>
      <c r="AU860" s="736"/>
      <c r="AV860" s="736"/>
      <c r="AW860" s="736"/>
      <c r="AX860" s="736"/>
      <c r="AY860" s="736"/>
      <c r="AZ860" s="736"/>
      <c r="BA860" s="736"/>
      <c r="BB860" s="736"/>
      <c r="BC860" s="736"/>
      <c r="BD860" s="736"/>
      <c r="BE860" s="736"/>
      <c r="BF860" s="736"/>
      <c r="BG860" s="736"/>
      <c r="BH860" s="736"/>
      <c r="BI860" s="736"/>
      <c r="BJ860" s="736"/>
      <c r="BK860" s="736"/>
      <c r="BL860" s="736"/>
    </row>
    <row r="861" spans="1:64" ht="18.75" x14ac:dyDescent="0.25">
      <c r="A861" s="758"/>
      <c r="B861" s="737"/>
      <c r="C861" s="730"/>
      <c r="D861" s="739"/>
      <c r="E861" s="765"/>
      <c r="F861" s="765"/>
      <c r="G861" s="765"/>
      <c r="H861" s="765"/>
      <c r="I861" s="746" t="str">
        <f t="shared" si="40"/>
        <v/>
      </c>
      <c r="J861" s="731"/>
      <c r="K861" s="731" t="str">
        <f t="shared" si="39"/>
        <v/>
      </c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32"/>
      <c r="AB861" s="732"/>
      <c r="AC861" s="732"/>
      <c r="AD861" s="732"/>
      <c r="AE861" s="733"/>
      <c r="AF861" s="734" t="str">
        <f t="shared" si="41"/>
        <v/>
      </c>
      <c r="AG861" s="774"/>
      <c r="AH861" s="778"/>
      <c r="AI861" s="736"/>
      <c r="AJ861" s="736"/>
      <c r="AK861" s="736"/>
      <c r="AL861" s="736"/>
      <c r="AM861" s="736"/>
      <c r="AN861" s="736"/>
      <c r="AO861" s="736"/>
      <c r="AP861" s="736"/>
      <c r="AQ861" s="736"/>
      <c r="AR861" s="736"/>
      <c r="AS861" s="736"/>
      <c r="AT861" s="736"/>
      <c r="AU861" s="736"/>
      <c r="AV861" s="736"/>
      <c r="AW861" s="736"/>
      <c r="AX861" s="736"/>
      <c r="AY861" s="736"/>
      <c r="AZ861" s="736"/>
      <c r="BA861" s="736"/>
      <c r="BB861" s="736"/>
      <c r="BC861" s="736"/>
      <c r="BD861" s="736"/>
      <c r="BE861" s="736"/>
      <c r="BF861" s="736"/>
      <c r="BG861" s="736"/>
      <c r="BH861" s="736"/>
      <c r="BI861" s="736"/>
      <c r="BJ861" s="736"/>
      <c r="BK861" s="736"/>
      <c r="BL861" s="736"/>
    </row>
    <row r="862" spans="1:64" ht="18.75" x14ac:dyDescent="0.25">
      <c r="A862" s="758"/>
      <c r="B862" s="737"/>
      <c r="C862" s="730"/>
      <c r="D862" s="739"/>
      <c r="E862" s="765"/>
      <c r="F862" s="765"/>
      <c r="G862" s="765"/>
      <c r="H862" s="765"/>
      <c r="I862" s="746" t="str">
        <f t="shared" si="40"/>
        <v/>
      </c>
      <c r="J862" s="731"/>
      <c r="K862" s="731" t="str">
        <f t="shared" si="39"/>
        <v/>
      </c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32"/>
      <c r="AB862" s="732"/>
      <c r="AC862" s="732"/>
      <c r="AD862" s="732"/>
      <c r="AE862" s="733"/>
      <c r="AF862" s="734" t="str">
        <f t="shared" si="41"/>
        <v/>
      </c>
      <c r="AG862" s="774"/>
      <c r="AH862" s="778"/>
      <c r="AI862" s="736"/>
      <c r="AJ862" s="736"/>
      <c r="AK862" s="736"/>
      <c r="AL862" s="736"/>
      <c r="AM862" s="736"/>
      <c r="AN862" s="736"/>
      <c r="AO862" s="736"/>
      <c r="AP862" s="736"/>
      <c r="AQ862" s="736"/>
      <c r="AR862" s="736"/>
      <c r="AS862" s="736"/>
      <c r="AT862" s="736"/>
      <c r="AU862" s="736"/>
      <c r="AV862" s="736"/>
      <c r="AW862" s="736"/>
      <c r="AX862" s="736"/>
      <c r="AY862" s="736"/>
      <c r="AZ862" s="736"/>
      <c r="BA862" s="736"/>
      <c r="BB862" s="736"/>
      <c r="BC862" s="736"/>
      <c r="BD862" s="736"/>
      <c r="BE862" s="736"/>
      <c r="BF862" s="736"/>
      <c r="BG862" s="736"/>
      <c r="BH862" s="736"/>
      <c r="BI862" s="736"/>
      <c r="BJ862" s="736"/>
      <c r="BK862" s="736"/>
      <c r="BL862" s="736"/>
    </row>
    <row r="863" spans="1:64" ht="18.75" x14ac:dyDescent="0.25">
      <c r="A863" s="758"/>
      <c r="B863" s="737"/>
      <c r="C863" s="730"/>
      <c r="D863" s="739"/>
      <c r="E863" s="765"/>
      <c r="F863" s="765"/>
      <c r="G863" s="765"/>
      <c r="H863" s="765"/>
      <c r="I863" s="746" t="str">
        <f t="shared" si="40"/>
        <v/>
      </c>
      <c r="J863" s="731"/>
      <c r="K863" s="731" t="str">
        <f t="shared" si="39"/>
        <v/>
      </c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32"/>
      <c r="AB863" s="732"/>
      <c r="AC863" s="732"/>
      <c r="AD863" s="732"/>
      <c r="AE863" s="733"/>
      <c r="AF863" s="734" t="str">
        <f t="shared" si="41"/>
        <v/>
      </c>
      <c r="AG863" s="773"/>
    </row>
    <row r="864" spans="1:64" ht="18.75" x14ac:dyDescent="0.25">
      <c r="A864" s="758"/>
      <c r="B864" s="737"/>
      <c r="C864" s="730"/>
      <c r="D864" s="739"/>
      <c r="E864" s="765"/>
      <c r="F864" s="765"/>
      <c r="G864" s="765"/>
      <c r="H864" s="765"/>
      <c r="I864" s="746" t="str">
        <f t="shared" si="40"/>
        <v/>
      </c>
      <c r="J864" s="731"/>
      <c r="K864" s="731" t="str">
        <f t="shared" si="39"/>
        <v/>
      </c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32"/>
      <c r="AB864" s="732"/>
      <c r="AC864" s="732"/>
      <c r="AD864" s="732"/>
      <c r="AE864" s="733"/>
      <c r="AF864" s="734" t="str">
        <f t="shared" si="41"/>
        <v/>
      </c>
      <c r="AG864" s="774"/>
      <c r="AH864" s="778"/>
      <c r="AI864" s="736"/>
      <c r="AJ864" s="736"/>
      <c r="AK864" s="736"/>
      <c r="AL864" s="736"/>
      <c r="AM864" s="736"/>
      <c r="AN864" s="736"/>
      <c r="AO864" s="736"/>
      <c r="AP864" s="736"/>
      <c r="AQ864" s="736"/>
      <c r="AR864" s="736"/>
      <c r="AS864" s="736"/>
      <c r="AT864" s="736"/>
      <c r="AU864" s="736"/>
      <c r="AV864" s="736"/>
      <c r="AW864" s="736"/>
      <c r="AX864" s="736"/>
      <c r="AY864" s="736"/>
      <c r="AZ864" s="736"/>
      <c r="BA864" s="736"/>
      <c r="BB864" s="736"/>
      <c r="BC864" s="736"/>
      <c r="BD864" s="736"/>
      <c r="BE864" s="736"/>
      <c r="BF864" s="736"/>
      <c r="BG864" s="736"/>
      <c r="BH864" s="736"/>
      <c r="BI864" s="736"/>
      <c r="BJ864" s="736"/>
      <c r="BK864" s="736"/>
      <c r="BL864" s="736"/>
    </row>
    <row r="865" spans="1:64" ht="18.75" x14ac:dyDescent="0.25">
      <c r="A865" s="758"/>
      <c r="B865" s="737"/>
      <c r="C865" s="730"/>
      <c r="D865" s="739"/>
      <c r="E865" s="765"/>
      <c r="F865" s="765"/>
      <c r="G865" s="765"/>
      <c r="H865" s="765"/>
      <c r="I865" s="746" t="str">
        <f t="shared" si="40"/>
        <v/>
      </c>
      <c r="J865" s="731"/>
      <c r="K865" s="731" t="str">
        <f t="shared" si="39"/>
        <v/>
      </c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32"/>
      <c r="AB865" s="732"/>
      <c r="AC865" s="732"/>
      <c r="AD865" s="732"/>
      <c r="AE865" s="733"/>
      <c r="AF865" s="734" t="str">
        <f t="shared" si="41"/>
        <v/>
      </c>
      <c r="AG865" s="774"/>
      <c r="AH865" s="778"/>
      <c r="AI865" s="736"/>
      <c r="AJ865" s="736"/>
      <c r="AK865" s="736"/>
      <c r="AL865" s="736"/>
      <c r="AM865" s="736"/>
      <c r="AN865" s="736"/>
      <c r="AO865" s="736"/>
      <c r="AP865" s="736"/>
      <c r="AQ865" s="736"/>
      <c r="AR865" s="736"/>
      <c r="AS865" s="736"/>
      <c r="AT865" s="736"/>
      <c r="AU865" s="736"/>
      <c r="AV865" s="736"/>
      <c r="AW865" s="736"/>
      <c r="AX865" s="736"/>
      <c r="AY865" s="736"/>
      <c r="AZ865" s="736"/>
      <c r="BA865" s="736"/>
      <c r="BB865" s="736"/>
      <c r="BC865" s="736"/>
      <c r="BD865" s="736"/>
      <c r="BE865" s="736"/>
      <c r="BF865" s="736"/>
      <c r="BG865" s="736"/>
      <c r="BH865" s="736"/>
      <c r="BI865" s="736"/>
      <c r="BJ865" s="736"/>
      <c r="BK865" s="736"/>
      <c r="BL865" s="736"/>
    </row>
    <row r="866" spans="1:64" ht="18.75" x14ac:dyDescent="0.25">
      <c r="A866" s="758"/>
      <c r="B866" s="737"/>
      <c r="C866" s="730"/>
      <c r="D866" s="739"/>
      <c r="E866" s="765"/>
      <c r="F866" s="765"/>
      <c r="G866" s="765"/>
      <c r="H866" s="765"/>
      <c r="I866" s="746" t="str">
        <f t="shared" si="40"/>
        <v/>
      </c>
      <c r="J866" s="731"/>
      <c r="K866" s="731" t="str">
        <f t="shared" si="39"/>
        <v/>
      </c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32"/>
      <c r="AB866" s="732"/>
      <c r="AC866" s="732"/>
      <c r="AD866" s="732"/>
      <c r="AE866" s="733"/>
      <c r="AF866" s="734" t="str">
        <f t="shared" si="41"/>
        <v/>
      </c>
      <c r="AG866" s="774"/>
      <c r="AH866" s="778"/>
      <c r="AI866" s="736"/>
      <c r="AJ866" s="736"/>
      <c r="AK866" s="736"/>
      <c r="AL866" s="736"/>
      <c r="AM866" s="736"/>
      <c r="AN866" s="736"/>
      <c r="AO866" s="736"/>
      <c r="AP866" s="736"/>
      <c r="AQ866" s="736"/>
      <c r="AR866" s="736"/>
      <c r="AS866" s="736"/>
      <c r="AT866" s="736"/>
      <c r="AU866" s="736"/>
      <c r="AV866" s="736"/>
      <c r="AW866" s="736"/>
      <c r="AX866" s="736"/>
      <c r="AY866" s="736"/>
      <c r="AZ866" s="736"/>
      <c r="BA866" s="736"/>
      <c r="BB866" s="736"/>
      <c r="BC866" s="736"/>
      <c r="BD866" s="736"/>
      <c r="BE866" s="736"/>
      <c r="BF866" s="736"/>
      <c r="BG866" s="736"/>
      <c r="BH866" s="736"/>
      <c r="BI866" s="736"/>
      <c r="BJ866" s="736"/>
      <c r="BK866" s="736"/>
      <c r="BL866" s="736"/>
    </row>
    <row r="867" spans="1:64" ht="18.75" x14ac:dyDescent="0.25">
      <c r="A867" s="758"/>
      <c r="B867" s="737"/>
      <c r="C867" s="730"/>
      <c r="D867" s="739"/>
      <c r="E867" s="765"/>
      <c r="F867" s="765"/>
      <c r="G867" s="765"/>
      <c r="H867" s="765"/>
      <c r="I867" s="746" t="str">
        <f t="shared" si="40"/>
        <v/>
      </c>
      <c r="J867" s="731"/>
      <c r="K867" s="731" t="str">
        <f t="shared" si="39"/>
        <v/>
      </c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32"/>
      <c r="AB867" s="732"/>
      <c r="AC867" s="732"/>
      <c r="AD867" s="732"/>
      <c r="AE867" s="733"/>
      <c r="AF867" s="734" t="str">
        <f t="shared" si="41"/>
        <v/>
      </c>
      <c r="AG867" s="774"/>
      <c r="AH867" s="778"/>
      <c r="AI867" s="736"/>
      <c r="AJ867" s="736"/>
      <c r="AK867" s="736"/>
      <c r="AL867" s="736"/>
      <c r="AM867" s="736"/>
      <c r="AN867" s="736"/>
      <c r="AO867" s="736"/>
      <c r="AP867" s="736"/>
      <c r="AQ867" s="736"/>
      <c r="AR867" s="736"/>
      <c r="AS867" s="736"/>
      <c r="AT867" s="736"/>
      <c r="AU867" s="736"/>
      <c r="AV867" s="736"/>
      <c r="AW867" s="736"/>
      <c r="AX867" s="736"/>
      <c r="AY867" s="736"/>
      <c r="AZ867" s="736"/>
      <c r="BA867" s="736"/>
      <c r="BB867" s="736"/>
      <c r="BC867" s="736"/>
      <c r="BD867" s="736"/>
      <c r="BE867" s="736"/>
      <c r="BF867" s="736"/>
      <c r="BG867" s="736"/>
      <c r="BH867" s="736"/>
      <c r="BI867" s="736"/>
      <c r="BJ867" s="736"/>
      <c r="BK867" s="736"/>
      <c r="BL867" s="736"/>
    </row>
    <row r="868" spans="1:64" ht="18.75" x14ac:dyDescent="0.25">
      <c r="A868" s="758"/>
      <c r="B868" s="737"/>
      <c r="C868" s="730"/>
      <c r="D868" s="739"/>
      <c r="E868" s="765"/>
      <c r="F868" s="765"/>
      <c r="G868" s="765"/>
      <c r="H868" s="765"/>
      <c r="I868" s="746" t="str">
        <f t="shared" si="40"/>
        <v/>
      </c>
      <c r="J868" s="731"/>
      <c r="K868" s="731" t="str">
        <f t="shared" si="39"/>
        <v/>
      </c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32"/>
      <c r="AB868" s="732"/>
      <c r="AC868" s="732"/>
      <c r="AD868" s="732"/>
      <c r="AE868" s="733"/>
      <c r="AF868" s="734" t="str">
        <f t="shared" si="41"/>
        <v/>
      </c>
      <c r="AG868" s="774"/>
      <c r="AH868" s="778"/>
      <c r="AI868" s="736"/>
      <c r="AJ868" s="736"/>
      <c r="AK868" s="736"/>
      <c r="AL868" s="736"/>
      <c r="AM868" s="736"/>
      <c r="AN868" s="736"/>
      <c r="AO868" s="736"/>
      <c r="AP868" s="736"/>
      <c r="AQ868" s="736"/>
      <c r="AR868" s="736"/>
      <c r="AS868" s="736"/>
      <c r="AT868" s="736"/>
      <c r="AU868" s="736"/>
      <c r="AV868" s="736"/>
      <c r="AW868" s="736"/>
      <c r="AX868" s="736"/>
      <c r="AY868" s="736"/>
      <c r="AZ868" s="736"/>
      <c r="BA868" s="736"/>
      <c r="BB868" s="736"/>
      <c r="BC868" s="736"/>
      <c r="BD868" s="736"/>
      <c r="BE868" s="736"/>
      <c r="BF868" s="736"/>
      <c r="BG868" s="736"/>
      <c r="BH868" s="736"/>
      <c r="BI868" s="736"/>
      <c r="BJ868" s="736"/>
      <c r="BK868" s="736"/>
      <c r="BL868" s="736"/>
    </row>
    <row r="869" spans="1:64" ht="18.75" x14ac:dyDescent="0.25">
      <c r="A869" s="758"/>
      <c r="B869" s="737"/>
      <c r="C869" s="730"/>
      <c r="D869" s="739"/>
      <c r="E869" s="765"/>
      <c r="F869" s="765"/>
      <c r="G869" s="765"/>
      <c r="H869" s="765"/>
      <c r="I869" s="746" t="str">
        <f t="shared" si="40"/>
        <v/>
      </c>
      <c r="J869" s="731"/>
      <c r="K869" s="731" t="str">
        <f t="shared" si="39"/>
        <v/>
      </c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32"/>
      <c r="AB869" s="732"/>
      <c r="AC869" s="732"/>
      <c r="AD869" s="732"/>
      <c r="AE869" s="733"/>
      <c r="AF869" s="734" t="str">
        <f t="shared" si="41"/>
        <v/>
      </c>
      <c r="AG869" s="774"/>
      <c r="AH869" s="778"/>
      <c r="AI869" s="736"/>
      <c r="AJ869" s="736"/>
      <c r="AK869" s="736"/>
      <c r="AL869" s="736"/>
      <c r="AM869" s="736"/>
      <c r="AN869" s="736"/>
      <c r="AO869" s="736"/>
      <c r="AP869" s="736"/>
      <c r="AQ869" s="736"/>
      <c r="AR869" s="736"/>
      <c r="AS869" s="736"/>
      <c r="AT869" s="736"/>
      <c r="AU869" s="736"/>
      <c r="AV869" s="736"/>
      <c r="AW869" s="736"/>
      <c r="AX869" s="736"/>
      <c r="AY869" s="736"/>
      <c r="AZ869" s="736"/>
      <c r="BA869" s="736"/>
      <c r="BB869" s="736"/>
      <c r="BC869" s="736"/>
      <c r="BD869" s="736"/>
      <c r="BE869" s="736"/>
      <c r="BF869" s="736"/>
      <c r="BG869" s="736"/>
      <c r="BH869" s="736"/>
      <c r="BI869" s="736"/>
      <c r="BJ869" s="736"/>
      <c r="BK869" s="736"/>
      <c r="BL869" s="736"/>
    </row>
    <row r="870" spans="1:64" ht="18.75" x14ac:dyDescent="0.25">
      <c r="A870" s="758"/>
      <c r="B870" s="737"/>
      <c r="C870" s="730"/>
      <c r="D870" s="739"/>
      <c r="E870" s="765"/>
      <c r="F870" s="765"/>
      <c r="G870" s="765"/>
      <c r="H870" s="765"/>
      <c r="I870" s="746" t="str">
        <f t="shared" si="40"/>
        <v/>
      </c>
      <c r="J870" s="731"/>
      <c r="K870" s="731" t="str">
        <f t="shared" si="39"/>
        <v/>
      </c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32"/>
      <c r="AB870" s="732"/>
      <c r="AC870" s="732"/>
      <c r="AD870" s="732"/>
      <c r="AE870" s="733"/>
      <c r="AF870" s="734" t="str">
        <f t="shared" si="41"/>
        <v/>
      </c>
      <c r="AG870" s="773"/>
    </row>
    <row r="871" spans="1:64" ht="18.75" x14ac:dyDescent="0.25">
      <c r="A871" s="758"/>
      <c r="B871" s="737"/>
      <c r="C871" s="730"/>
      <c r="D871" s="739"/>
      <c r="E871" s="765"/>
      <c r="F871" s="765"/>
      <c r="G871" s="765"/>
      <c r="H871" s="765"/>
      <c r="I871" s="746" t="str">
        <f t="shared" si="40"/>
        <v/>
      </c>
      <c r="J871" s="731"/>
      <c r="K871" s="731" t="str">
        <f t="shared" si="39"/>
        <v/>
      </c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32"/>
      <c r="AB871" s="732"/>
      <c r="AC871" s="732"/>
      <c r="AD871" s="732"/>
      <c r="AE871" s="733"/>
      <c r="AF871" s="734" t="str">
        <f t="shared" si="41"/>
        <v/>
      </c>
      <c r="AG871" s="774"/>
      <c r="AH871" s="778"/>
      <c r="AI871" s="736"/>
      <c r="AJ871" s="736"/>
      <c r="AK871" s="736"/>
      <c r="AL871" s="736"/>
      <c r="AM871" s="736"/>
      <c r="AN871" s="736"/>
      <c r="AO871" s="736"/>
      <c r="AP871" s="736"/>
      <c r="AQ871" s="736"/>
      <c r="AR871" s="736"/>
      <c r="AS871" s="736"/>
      <c r="AT871" s="736"/>
      <c r="AU871" s="736"/>
      <c r="AV871" s="736"/>
      <c r="AW871" s="736"/>
      <c r="AX871" s="736"/>
      <c r="AY871" s="736"/>
      <c r="AZ871" s="736"/>
      <c r="BA871" s="736"/>
      <c r="BB871" s="736"/>
      <c r="BC871" s="736"/>
      <c r="BD871" s="736"/>
      <c r="BE871" s="736"/>
      <c r="BF871" s="736"/>
      <c r="BG871" s="736"/>
      <c r="BH871" s="736"/>
      <c r="BI871" s="736"/>
      <c r="BJ871" s="736"/>
      <c r="BK871" s="736"/>
      <c r="BL871" s="736"/>
    </row>
    <row r="872" spans="1:64" ht="18.75" x14ac:dyDescent="0.25">
      <c r="A872" s="758"/>
      <c r="B872" s="737"/>
      <c r="C872" s="730"/>
      <c r="D872" s="739"/>
      <c r="E872" s="765"/>
      <c r="F872" s="765"/>
      <c r="G872" s="765"/>
      <c r="H872" s="765"/>
      <c r="I872" s="746" t="str">
        <f t="shared" si="40"/>
        <v/>
      </c>
      <c r="J872" s="731"/>
      <c r="K872" s="731" t="str">
        <f t="shared" si="39"/>
        <v/>
      </c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32"/>
      <c r="AB872" s="732"/>
      <c r="AC872" s="732"/>
      <c r="AD872" s="732"/>
      <c r="AE872" s="733"/>
      <c r="AF872" s="734" t="str">
        <f t="shared" si="41"/>
        <v/>
      </c>
      <c r="AG872" s="773"/>
    </row>
    <row r="873" spans="1:64" ht="18.75" x14ac:dyDescent="0.25">
      <c r="A873" s="758"/>
      <c r="B873" s="737"/>
      <c r="C873" s="730"/>
      <c r="D873" s="739"/>
      <c r="E873" s="765"/>
      <c r="F873" s="765"/>
      <c r="G873" s="765"/>
      <c r="H873" s="765"/>
      <c r="I873" s="746" t="str">
        <f t="shared" si="40"/>
        <v/>
      </c>
      <c r="J873" s="731"/>
      <c r="K873" s="731" t="str">
        <f t="shared" si="39"/>
        <v/>
      </c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32"/>
      <c r="AB873" s="732"/>
      <c r="AC873" s="732"/>
      <c r="AD873" s="732"/>
      <c r="AE873" s="733"/>
      <c r="AF873" s="734" t="str">
        <f t="shared" si="41"/>
        <v/>
      </c>
      <c r="AG873" s="773"/>
    </row>
    <row r="874" spans="1:64" ht="18.75" x14ac:dyDescent="0.25">
      <c r="A874" s="758"/>
      <c r="B874" s="737"/>
      <c r="C874" s="730"/>
      <c r="D874" s="739"/>
      <c r="E874" s="765"/>
      <c r="F874" s="765"/>
      <c r="G874" s="765"/>
      <c r="H874" s="765"/>
      <c r="I874" s="746" t="str">
        <f t="shared" si="40"/>
        <v/>
      </c>
      <c r="J874" s="731"/>
      <c r="K874" s="731" t="str">
        <f t="shared" si="39"/>
        <v/>
      </c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32"/>
      <c r="AB874" s="732"/>
      <c r="AC874" s="732"/>
      <c r="AD874" s="732"/>
      <c r="AE874" s="733"/>
      <c r="AF874" s="734" t="str">
        <f t="shared" si="41"/>
        <v/>
      </c>
      <c r="AG874" s="774"/>
      <c r="AH874" s="778"/>
      <c r="AI874" s="736"/>
      <c r="AJ874" s="736"/>
      <c r="AK874" s="736"/>
      <c r="AL874" s="736"/>
      <c r="AM874" s="736"/>
      <c r="AN874" s="736"/>
      <c r="AO874" s="736"/>
      <c r="AP874" s="736"/>
      <c r="AQ874" s="736"/>
      <c r="AR874" s="736"/>
      <c r="AS874" s="736"/>
      <c r="AT874" s="736"/>
      <c r="AU874" s="736"/>
      <c r="AV874" s="736"/>
      <c r="AW874" s="736"/>
      <c r="AX874" s="736"/>
      <c r="AY874" s="736"/>
      <c r="AZ874" s="736"/>
      <c r="BA874" s="736"/>
      <c r="BB874" s="736"/>
      <c r="BC874" s="736"/>
      <c r="BD874" s="736"/>
      <c r="BE874" s="736"/>
      <c r="BF874" s="736"/>
      <c r="BG874" s="736"/>
      <c r="BH874" s="736"/>
      <c r="BI874" s="736"/>
      <c r="BJ874" s="736"/>
      <c r="BK874" s="736"/>
      <c r="BL874" s="736"/>
    </row>
    <row r="875" spans="1:64" ht="18.75" x14ac:dyDescent="0.25">
      <c r="A875" s="758"/>
      <c r="B875" s="737"/>
      <c r="C875" s="730"/>
      <c r="D875" s="739"/>
      <c r="E875" s="765"/>
      <c r="F875" s="765"/>
      <c r="G875" s="765"/>
      <c r="H875" s="765"/>
      <c r="I875" s="746" t="str">
        <f t="shared" si="40"/>
        <v/>
      </c>
      <c r="J875" s="731"/>
      <c r="K875" s="731" t="str">
        <f t="shared" si="39"/>
        <v/>
      </c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32"/>
      <c r="AB875" s="732"/>
      <c r="AC875" s="732"/>
      <c r="AD875" s="732"/>
      <c r="AE875" s="733"/>
      <c r="AF875" s="734" t="str">
        <f t="shared" si="41"/>
        <v/>
      </c>
      <c r="AG875" s="774"/>
      <c r="AH875" s="778"/>
      <c r="AI875" s="736"/>
      <c r="AJ875" s="736"/>
      <c r="AK875" s="736"/>
      <c r="AL875" s="736"/>
      <c r="AM875" s="736"/>
      <c r="AN875" s="736"/>
      <c r="AO875" s="736"/>
      <c r="AP875" s="736"/>
      <c r="AQ875" s="736"/>
      <c r="AR875" s="736"/>
      <c r="AS875" s="736"/>
      <c r="AT875" s="736"/>
      <c r="AU875" s="736"/>
      <c r="AV875" s="736"/>
      <c r="AW875" s="736"/>
      <c r="AX875" s="736"/>
      <c r="AY875" s="736"/>
      <c r="AZ875" s="736"/>
      <c r="BA875" s="736"/>
      <c r="BB875" s="736"/>
      <c r="BC875" s="736"/>
      <c r="BD875" s="736"/>
      <c r="BE875" s="736"/>
      <c r="BF875" s="736"/>
      <c r="BG875" s="736"/>
      <c r="BH875" s="736"/>
      <c r="BI875" s="736"/>
      <c r="BJ875" s="736"/>
      <c r="BK875" s="736"/>
      <c r="BL875" s="736"/>
    </row>
    <row r="876" spans="1:64" ht="18.75" x14ac:dyDescent="0.25">
      <c r="A876" s="758"/>
      <c r="B876" s="737"/>
      <c r="C876" s="730"/>
      <c r="D876" s="739"/>
      <c r="E876" s="765"/>
      <c r="F876" s="765"/>
      <c r="G876" s="765"/>
      <c r="H876" s="765"/>
      <c r="I876" s="746" t="str">
        <f t="shared" si="40"/>
        <v/>
      </c>
      <c r="J876" s="731"/>
      <c r="K876" s="731" t="str">
        <f t="shared" si="39"/>
        <v/>
      </c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32"/>
      <c r="AB876" s="732"/>
      <c r="AC876" s="732"/>
      <c r="AD876" s="732"/>
      <c r="AE876" s="733"/>
      <c r="AF876" s="734" t="str">
        <f t="shared" si="41"/>
        <v/>
      </c>
      <c r="AG876" s="774"/>
      <c r="AH876" s="778"/>
      <c r="AI876" s="736"/>
      <c r="AJ876" s="736"/>
      <c r="AK876" s="736"/>
      <c r="AL876" s="736"/>
      <c r="AM876" s="736"/>
      <c r="AN876" s="736"/>
      <c r="AO876" s="736"/>
      <c r="AP876" s="736"/>
      <c r="AQ876" s="736"/>
      <c r="AR876" s="736"/>
      <c r="AS876" s="736"/>
      <c r="AT876" s="736"/>
      <c r="AU876" s="736"/>
      <c r="AV876" s="736"/>
      <c r="AW876" s="736"/>
      <c r="AX876" s="736"/>
      <c r="AY876" s="736"/>
      <c r="AZ876" s="736"/>
      <c r="BA876" s="736"/>
      <c r="BB876" s="736"/>
      <c r="BC876" s="736"/>
      <c r="BD876" s="736"/>
      <c r="BE876" s="736"/>
      <c r="BF876" s="736"/>
      <c r="BG876" s="736"/>
      <c r="BH876" s="736"/>
      <c r="BI876" s="736"/>
      <c r="BJ876" s="736"/>
      <c r="BK876" s="736"/>
      <c r="BL876" s="736"/>
    </row>
    <row r="877" spans="1:64" ht="18.75" x14ac:dyDescent="0.25">
      <c r="A877" s="758"/>
      <c r="B877" s="737"/>
      <c r="C877" s="730"/>
      <c r="D877" s="739"/>
      <c r="E877" s="765"/>
      <c r="F877" s="765"/>
      <c r="G877" s="765"/>
      <c r="H877" s="765"/>
      <c r="I877" s="746" t="str">
        <f t="shared" si="40"/>
        <v/>
      </c>
      <c r="J877" s="731"/>
      <c r="K877" s="731" t="str">
        <f t="shared" si="39"/>
        <v/>
      </c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32"/>
      <c r="AB877" s="732"/>
      <c r="AC877" s="732"/>
      <c r="AD877" s="732"/>
      <c r="AE877" s="733"/>
      <c r="AF877" s="734" t="str">
        <f t="shared" si="41"/>
        <v/>
      </c>
      <c r="AG877" s="773"/>
    </row>
    <row r="878" spans="1:64" ht="18.75" x14ac:dyDescent="0.25">
      <c r="A878" s="758"/>
      <c r="B878" s="737"/>
      <c r="C878" s="730"/>
      <c r="D878" s="739"/>
      <c r="E878" s="765"/>
      <c r="F878" s="765"/>
      <c r="G878" s="765"/>
      <c r="H878" s="765"/>
      <c r="I878" s="746" t="str">
        <f t="shared" si="40"/>
        <v/>
      </c>
      <c r="J878" s="731"/>
      <c r="K878" s="731" t="str">
        <f t="shared" si="39"/>
        <v/>
      </c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32"/>
      <c r="AB878" s="732"/>
      <c r="AC878" s="732"/>
      <c r="AD878" s="732"/>
      <c r="AE878" s="733"/>
      <c r="AF878" s="734" t="str">
        <f t="shared" si="41"/>
        <v/>
      </c>
      <c r="AG878" s="773"/>
    </row>
    <row r="879" spans="1:64" ht="18.75" x14ac:dyDescent="0.25">
      <c r="A879" s="758"/>
      <c r="B879" s="737"/>
      <c r="C879" s="730"/>
      <c r="D879" s="739"/>
      <c r="E879" s="765"/>
      <c r="F879" s="765"/>
      <c r="G879" s="765"/>
      <c r="H879" s="765"/>
      <c r="I879" s="746" t="str">
        <f t="shared" si="40"/>
        <v/>
      </c>
      <c r="J879" s="731"/>
      <c r="K879" s="731" t="str">
        <f t="shared" si="39"/>
        <v/>
      </c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32"/>
      <c r="AB879" s="732"/>
      <c r="AC879" s="732"/>
      <c r="AD879" s="732"/>
      <c r="AE879" s="733"/>
      <c r="AF879" s="734" t="str">
        <f t="shared" si="41"/>
        <v/>
      </c>
      <c r="AG879" s="773"/>
    </row>
    <row r="880" spans="1:64" ht="18.75" x14ac:dyDescent="0.25">
      <c r="A880" s="758"/>
      <c r="B880" s="737"/>
      <c r="C880" s="730"/>
      <c r="D880" s="739"/>
      <c r="E880" s="765"/>
      <c r="F880" s="765"/>
      <c r="G880" s="765"/>
      <c r="H880" s="765"/>
      <c r="I880" s="746" t="str">
        <f t="shared" si="40"/>
        <v/>
      </c>
      <c r="J880" s="731"/>
      <c r="K880" s="731" t="str">
        <f t="shared" si="39"/>
        <v/>
      </c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32"/>
      <c r="AB880" s="732"/>
      <c r="AC880" s="732"/>
      <c r="AD880" s="732"/>
      <c r="AE880" s="733"/>
      <c r="AF880" s="734" t="str">
        <f t="shared" si="41"/>
        <v/>
      </c>
      <c r="AG880" s="774"/>
      <c r="AH880" s="778"/>
      <c r="AI880" s="736"/>
      <c r="AJ880" s="736"/>
      <c r="AK880" s="736"/>
      <c r="AL880" s="736"/>
      <c r="AM880" s="736"/>
      <c r="AN880" s="736"/>
      <c r="AO880" s="736"/>
      <c r="AP880" s="736"/>
      <c r="AQ880" s="736"/>
      <c r="AR880" s="736"/>
      <c r="AS880" s="736"/>
      <c r="AT880" s="736"/>
      <c r="AU880" s="736"/>
      <c r="AV880" s="736"/>
      <c r="AW880" s="736"/>
      <c r="AX880" s="736"/>
      <c r="AY880" s="736"/>
      <c r="AZ880" s="736"/>
      <c r="BA880" s="736"/>
      <c r="BB880" s="736"/>
      <c r="BC880" s="736"/>
      <c r="BD880" s="736"/>
      <c r="BE880" s="736"/>
      <c r="BF880" s="736"/>
      <c r="BG880" s="736"/>
      <c r="BH880" s="736"/>
      <c r="BI880" s="736"/>
      <c r="BJ880" s="736"/>
      <c r="BK880" s="736"/>
      <c r="BL880" s="736"/>
    </row>
    <row r="881" spans="1:64" ht="18.75" x14ac:dyDescent="0.25">
      <c r="A881" s="758"/>
      <c r="B881" s="737"/>
      <c r="C881" s="730"/>
      <c r="D881" s="739"/>
      <c r="E881" s="765"/>
      <c r="F881" s="765"/>
      <c r="G881" s="765"/>
      <c r="H881" s="765"/>
      <c r="I881" s="746" t="str">
        <f t="shared" si="40"/>
        <v/>
      </c>
      <c r="J881" s="731"/>
      <c r="K881" s="731" t="str">
        <f t="shared" si="39"/>
        <v/>
      </c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32"/>
      <c r="AB881" s="732"/>
      <c r="AC881" s="732"/>
      <c r="AD881" s="732"/>
      <c r="AE881" s="733"/>
      <c r="AF881" s="734" t="str">
        <f t="shared" si="41"/>
        <v/>
      </c>
      <c r="AG881" s="773"/>
    </row>
    <row r="882" spans="1:64" ht="18.75" x14ac:dyDescent="0.25">
      <c r="A882" s="758"/>
      <c r="B882" s="737"/>
      <c r="C882" s="730"/>
      <c r="D882" s="739"/>
      <c r="E882" s="765"/>
      <c r="F882" s="765"/>
      <c r="G882" s="765"/>
      <c r="H882" s="765"/>
      <c r="I882" s="746" t="str">
        <f t="shared" si="40"/>
        <v/>
      </c>
      <c r="J882" s="731"/>
      <c r="K882" s="731" t="str">
        <f t="shared" si="39"/>
        <v/>
      </c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32"/>
      <c r="AB882" s="732"/>
      <c r="AC882" s="732"/>
      <c r="AD882" s="732"/>
      <c r="AE882" s="733"/>
      <c r="AF882" s="734" t="str">
        <f t="shared" si="41"/>
        <v/>
      </c>
      <c r="AG882" s="773"/>
    </row>
    <row r="883" spans="1:64" ht="18.75" x14ac:dyDescent="0.25">
      <c r="A883" s="758"/>
      <c r="B883" s="737"/>
      <c r="C883" s="730"/>
      <c r="D883" s="739"/>
      <c r="E883" s="765"/>
      <c r="F883" s="765"/>
      <c r="G883" s="765"/>
      <c r="H883" s="765"/>
      <c r="I883" s="746" t="str">
        <f t="shared" si="40"/>
        <v/>
      </c>
      <c r="J883" s="731"/>
      <c r="K883" s="731" t="str">
        <f t="shared" si="39"/>
        <v/>
      </c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32"/>
      <c r="AB883" s="732"/>
      <c r="AC883" s="732"/>
      <c r="AD883" s="732"/>
      <c r="AE883" s="733"/>
      <c r="AF883" s="734" t="str">
        <f t="shared" si="41"/>
        <v/>
      </c>
      <c r="AG883" s="773"/>
    </row>
    <row r="884" spans="1:64" ht="18.75" x14ac:dyDescent="0.25">
      <c r="A884" s="758"/>
      <c r="B884" s="737"/>
      <c r="C884" s="730"/>
      <c r="D884" s="739"/>
      <c r="E884" s="765"/>
      <c r="F884" s="765"/>
      <c r="G884" s="765"/>
      <c r="H884" s="765"/>
      <c r="I884" s="746" t="str">
        <f t="shared" si="40"/>
        <v/>
      </c>
      <c r="J884" s="731"/>
      <c r="K884" s="731" t="str">
        <f t="shared" si="39"/>
        <v/>
      </c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32"/>
      <c r="AB884" s="732"/>
      <c r="AC884" s="732"/>
      <c r="AD884" s="732"/>
      <c r="AE884" s="733"/>
      <c r="AF884" s="734" t="str">
        <f t="shared" si="41"/>
        <v/>
      </c>
      <c r="AG884" s="773"/>
    </row>
    <row r="885" spans="1:64" ht="18.75" x14ac:dyDescent="0.25">
      <c r="A885" s="758"/>
      <c r="B885" s="737"/>
      <c r="C885" s="730"/>
      <c r="D885" s="739"/>
      <c r="E885" s="765"/>
      <c r="F885" s="765"/>
      <c r="G885" s="765"/>
      <c r="H885" s="765"/>
      <c r="I885" s="746" t="str">
        <f t="shared" si="40"/>
        <v/>
      </c>
      <c r="J885" s="731"/>
      <c r="K885" s="731" t="str">
        <f t="shared" si="39"/>
        <v/>
      </c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32"/>
      <c r="AB885" s="732"/>
      <c r="AC885" s="732"/>
      <c r="AD885" s="732"/>
      <c r="AE885" s="733"/>
      <c r="AF885" s="734" t="str">
        <f t="shared" si="41"/>
        <v/>
      </c>
      <c r="AG885" s="773"/>
    </row>
    <row r="886" spans="1:64" ht="18.75" x14ac:dyDescent="0.25">
      <c r="A886" s="758"/>
      <c r="B886" s="737"/>
      <c r="C886" s="730"/>
      <c r="D886" s="739"/>
      <c r="E886" s="765"/>
      <c r="F886" s="765"/>
      <c r="G886" s="765"/>
      <c r="H886" s="765"/>
      <c r="I886" s="746" t="str">
        <f t="shared" si="40"/>
        <v/>
      </c>
      <c r="J886" s="731"/>
      <c r="K886" s="731" t="str">
        <f t="shared" si="39"/>
        <v/>
      </c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32"/>
      <c r="AB886" s="732"/>
      <c r="AC886" s="732"/>
      <c r="AD886" s="732"/>
      <c r="AE886" s="733"/>
      <c r="AF886" s="734" t="str">
        <f t="shared" si="41"/>
        <v/>
      </c>
      <c r="AG886" s="773"/>
    </row>
    <row r="887" spans="1:64" ht="18.75" x14ac:dyDescent="0.25">
      <c r="A887" s="758"/>
      <c r="B887" s="737"/>
      <c r="C887" s="730"/>
      <c r="D887" s="739"/>
      <c r="E887" s="765"/>
      <c r="F887" s="765"/>
      <c r="G887" s="765"/>
      <c r="H887" s="765"/>
      <c r="I887" s="746" t="str">
        <f t="shared" si="40"/>
        <v/>
      </c>
      <c r="J887" s="731"/>
      <c r="K887" s="731" t="str">
        <f t="shared" si="39"/>
        <v/>
      </c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32"/>
      <c r="AB887" s="732"/>
      <c r="AC887" s="732"/>
      <c r="AD887" s="732"/>
      <c r="AE887" s="733"/>
      <c r="AF887" s="734" t="str">
        <f t="shared" si="41"/>
        <v/>
      </c>
      <c r="AG887" s="773"/>
    </row>
    <row r="888" spans="1:64" ht="18.75" x14ac:dyDescent="0.25">
      <c r="A888" s="758"/>
      <c r="B888" s="737"/>
      <c r="C888" s="730"/>
      <c r="D888" s="739"/>
      <c r="E888" s="765"/>
      <c r="F888" s="765"/>
      <c r="G888" s="765"/>
      <c r="H888" s="765"/>
      <c r="I888" s="746" t="str">
        <f t="shared" si="40"/>
        <v/>
      </c>
      <c r="J888" s="731"/>
      <c r="K888" s="731" t="str">
        <f t="shared" si="39"/>
        <v/>
      </c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32"/>
      <c r="AB888" s="732"/>
      <c r="AC888" s="732"/>
      <c r="AD888" s="732"/>
      <c r="AE888" s="733"/>
      <c r="AF888" s="734" t="str">
        <f t="shared" si="41"/>
        <v/>
      </c>
      <c r="AG888" s="773"/>
    </row>
    <row r="889" spans="1:64" ht="18.75" x14ac:dyDescent="0.25">
      <c r="A889" s="758"/>
      <c r="B889" s="737"/>
      <c r="C889" s="730"/>
      <c r="D889" s="739"/>
      <c r="E889" s="765"/>
      <c r="F889" s="765"/>
      <c r="G889" s="765"/>
      <c r="H889" s="765"/>
      <c r="I889" s="746" t="str">
        <f t="shared" si="40"/>
        <v/>
      </c>
      <c r="J889" s="731"/>
      <c r="K889" s="731" t="str">
        <f t="shared" si="39"/>
        <v/>
      </c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32"/>
      <c r="AB889" s="732"/>
      <c r="AC889" s="732"/>
      <c r="AD889" s="732"/>
      <c r="AE889" s="733"/>
      <c r="AF889" s="734" t="str">
        <f t="shared" si="41"/>
        <v/>
      </c>
      <c r="AG889" s="773"/>
    </row>
    <row r="890" spans="1:64" ht="18.75" x14ac:dyDescent="0.25">
      <c r="A890" s="758"/>
      <c r="B890" s="737"/>
      <c r="C890" s="730"/>
      <c r="D890" s="739"/>
      <c r="E890" s="765"/>
      <c r="F890" s="765"/>
      <c r="G890" s="765"/>
      <c r="H890" s="765"/>
      <c r="I890" s="746" t="str">
        <f t="shared" si="40"/>
        <v/>
      </c>
      <c r="J890" s="731"/>
      <c r="K890" s="731" t="str">
        <f t="shared" si="39"/>
        <v/>
      </c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32"/>
      <c r="AB890" s="732"/>
      <c r="AC890" s="732"/>
      <c r="AD890" s="732"/>
      <c r="AE890" s="733"/>
      <c r="AF890" s="734" t="str">
        <f t="shared" si="41"/>
        <v/>
      </c>
      <c r="AG890" s="773"/>
    </row>
    <row r="891" spans="1:64" ht="18.75" x14ac:dyDescent="0.25">
      <c r="A891" s="758"/>
      <c r="B891" s="737"/>
      <c r="C891" s="730"/>
      <c r="D891" s="739"/>
      <c r="E891" s="765"/>
      <c r="F891" s="765"/>
      <c r="G891" s="765"/>
      <c r="H891" s="765"/>
      <c r="I891" s="746" t="str">
        <f t="shared" si="40"/>
        <v/>
      </c>
      <c r="J891" s="731"/>
      <c r="K891" s="731" t="str">
        <f t="shared" si="39"/>
        <v/>
      </c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32"/>
      <c r="AB891" s="732"/>
      <c r="AC891" s="732"/>
      <c r="AD891" s="732"/>
      <c r="AE891" s="733"/>
      <c r="AF891" s="734" t="str">
        <f t="shared" si="41"/>
        <v/>
      </c>
      <c r="AG891" s="773"/>
    </row>
    <row r="892" spans="1:64" ht="19.5" customHeight="1" x14ac:dyDescent="0.25">
      <c r="A892" s="758"/>
      <c r="B892" s="737"/>
      <c r="C892" s="730"/>
      <c r="D892" s="739"/>
      <c r="E892" s="765"/>
      <c r="F892" s="765"/>
      <c r="G892" s="765"/>
      <c r="H892" s="765"/>
      <c r="I892" s="746" t="str">
        <f t="shared" si="40"/>
        <v/>
      </c>
      <c r="J892" s="731"/>
      <c r="K892" s="731" t="str">
        <f t="shared" si="39"/>
        <v/>
      </c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32"/>
      <c r="AB892" s="732"/>
      <c r="AC892" s="732"/>
      <c r="AD892" s="732"/>
      <c r="AE892" s="733"/>
      <c r="AF892" s="734" t="str">
        <f t="shared" si="41"/>
        <v/>
      </c>
      <c r="AG892" s="773"/>
    </row>
    <row r="893" spans="1:64" ht="18.75" x14ac:dyDescent="0.25">
      <c r="A893" s="758"/>
      <c r="B893" s="737"/>
      <c r="C893" s="730"/>
      <c r="D893" s="739"/>
      <c r="E893" s="765"/>
      <c r="F893" s="765"/>
      <c r="G893" s="765"/>
      <c r="H893" s="765"/>
      <c r="I893" s="746" t="str">
        <f t="shared" si="40"/>
        <v/>
      </c>
      <c r="J893" s="731"/>
      <c r="K893" s="731" t="str">
        <f t="shared" si="39"/>
        <v/>
      </c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32"/>
      <c r="AB893" s="732"/>
      <c r="AC893" s="732"/>
      <c r="AD893" s="732"/>
      <c r="AE893" s="733"/>
      <c r="AF893" s="734" t="str">
        <f t="shared" si="41"/>
        <v/>
      </c>
      <c r="AG893" s="773"/>
    </row>
    <row r="894" spans="1:64" ht="18.75" x14ac:dyDescent="0.25">
      <c r="A894" s="758"/>
      <c r="B894" s="737"/>
      <c r="C894" s="730"/>
      <c r="D894" s="739"/>
      <c r="E894" s="765"/>
      <c r="F894" s="765"/>
      <c r="G894" s="765"/>
      <c r="H894" s="765"/>
      <c r="I894" s="746" t="str">
        <f t="shared" si="40"/>
        <v/>
      </c>
      <c r="J894" s="731"/>
      <c r="K894" s="731" t="str">
        <f t="shared" si="39"/>
        <v/>
      </c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32"/>
      <c r="AB894" s="732"/>
      <c r="AC894" s="732"/>
      <c r="AD894" s="732"/>
      <c r="AE894" s="733"/>
      <c r="AF894" s="734" t="str">
        <f t="shared" si="41"/>
        <v/>
      </c>
      <c r="AG894" s="773"/>
    </row>
    <row r="895" spans="1:64" ht="19.5" customHeight="1" x14ac:dyDescent="0.25">
      <c r="A895" s="758"/>
      <c r="B895" s="737"/>
      <c r="C895" s="730"/>
      <c r="D895" s="739"/>
      <c r="E895" s="765"/>
      <c r="F895" s="765"/>
      <c r="G895" s="765"/>
      <c r="H895" s="765"/>
      <c r="I895" s="746" t="str">
        <f t="shared" si="40"/>
        <v/>
      </c>
      <c r="J895" s="731"/>
      <c r="K895" s="731" t="str">
        <f t="shared" si="39"/>
        <v/>
      </c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32"/>
      <c r="AB895" s="732"/>
      <c r="AC895" s="732"/>
      <c r="AD895" s="732"/>
      <c r="AE895" s="733"/>
      <c r="AF895" s="734" t="str">
        <f t="shared" si="41"/>
        <v/>
      </c>
      <c r="AG895" s="775"/>
      <c r="AH895" s="779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</row>
    <row r="896" spans="1:64" ht="19.5" customHeight="1" x14ac:dyDescent="0.25">
      <c r="A896" s="758"/>
      <c r="B896" s="737"/>
      <c r="C896" s="730"/>
      <c r="D896" s="739"/>
      <c r="E896" s="765"/>
      <c r="F896" s="765"/>
      <c r="G896" s="765"/>
      <c r="H896" s="765"/>
      <c r="I896" s="746" t="str">
        <f t="shared" si="40"/>
        <v/>
      </c>
      <c r="J896" s="731"/>
      <c r="K896" s="731" t="str">
        <f t="shared" si="39"/>
        <v/>
      </c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32"/>
      <c r="AB896" s="732"/>
      <c r="AC896" s="732"/>
      <c r="AD896" s="732"/>
      <c r="AE896" s="733"/>
      <c r="AF896" s="734" t="str">
        <f t="shared" si="41"/>
        <v/>
      </c>
      <c r="AG896" s="775"/>
      <c r="AH896" s="779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</row>
    <row r="897" spans="1:64" ht="18.75" x14ac:dyDescent="0.25">
      <c r="A897" s="758"/>
      <c r="B897" s="737"/>
      <c r="C897" s="730"/>
      <c r="D897" s="739"/>
      <c r="E897" s="765"/>
      <c r="F897" s="765"/>
      <c r="G897" s="765"/>
      <c r="H897" s="765"/>
      <c r="I897" s="746" t="str">
        <f t="shared" si="40"/>
        <v/>
      </c>
      <c r="J897" s="731"/>
      <c r="K897" s="731" t="str">
        <f t="shared" si="39"/>
        <v/>
      </c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32"/>
      <c r="AB897" s="732"/>
      <c r="AC897" s="732"/>
      <c r="AD897" s="732"/>
      <c r="AE897" s="733"/>
      <c r="AF897" s="734" t="str">
        <f t="shared" si="41"/>
        <v/>
      </c>
      <c r="AG897" s="773"/>
    </row>
    <row r="898" spans="1:64" ht="18.75" x14ac:dyDescent="0.25">
      <c r="A898" s="758"/>
      <c r="B898" s="737"/>
      <c r="C898" s="730"/>
      <c r="D898" s="739"/>
      <c r="E898" s="765"/>
      <c r="F898" s="765"/>
      <c r="G898" s="765"/>
      <c r="H898" s="765"/>
      <c r="I898" s="746" t="str">
        <f t="shared" si="40"/>
        <v/>
      </c>
      <c r="J898" s="731"/>
      <c r="K898" s="731" t="str">
        <f t="shared" si="39"/>
        <v/>
      </c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32"/>
      <c r="AB898" s="732"/>
      <c r="AC898" s="732"/>
      <c r="AD898" s="732"/>
      <c r="AE898" s="733"/>
      <c r="AF898" s="734" t="str">
        <f t="shared" si="41"/>
        <v/>
      </c>
      <c r="AG898" s="773"/>
    </row>
    <row r="899" spans="1:64" ht="18.75" x14ac:dyDescent="0.25">
      <c r="A899" s="758"/>
      <c r="B899" s="737"/>
      <c r="C899" s="730"/>
      <c r="D899" s="739"/>
      <c r="E899" s="765"/>
      <c r="F899" s="765"/>
      <c r="G899" s="765"/>
      <c r="H899" s="765"/>
      <c r="I899" s="746" t="str">
        <f t="shared" si="40"/>
        <v/>
      </c>
      <c r="J899" s="731"/>
      <c r="K899" s="731" t="str">
        <f t="shared" si="39"/>
        <v/>
      </c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32"/>
      <c r="AB899" s="732"/>
      <c r="AC899" s="732"/>
      <c r="AD899" s="732"/>
      <c r="AE899" s="733"/>
      <c r="AF899" s="734" t="str">
        <f t="shared" si="41"/>
        <v/>
      </c>
      <c r="AG899" s="773"/>
    </row>
    <row r="900" spans="1:64" ht="18.75" x14ac:dyDescent="0.25">
      <c r="A900" s="758"/>
      <c r="B900" s="737"/>
      <c r="C900" s="730"/>
      <c r="D900" s="739"/>
      <c r="E900" s="765"/>
      <c r="F900" s="765"/>
      <c r="G900" s="765"/>
      <c r="H900" s="765"/>
      <c r="I900" s="746" t="str">
        <f t="shared" si="40"/>
        <v/>
      </c>
      <c r="J900" s="731"/>
      <c r="K900" s="731" t="str">
        <f t="shared" ref="K900:K963" si="42">IF(AA900-AE900 = 0,"",AA900-AE900)</f>
        <v/>
      </c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32"/>
      <c r="AB900" s="732"/>
      <c r="AC900" s="732"/>
      <c r="AD900" s="732"/>
      <c r="AE900" s="733"/>
      <c r="AF900" s="734" t="str">
        <f t="shared" si="41"/>
        <v/>
      </c>
      <c r="AG900" s="773"/>
    </row>
    <row r="901" spans="1:64" ht="18.75" x14ac:dyDescent="0.25">
      <c r="A901" s="758"/>
      <c r="B901" s="737"/>
      <c r="C901" s="730"/>
      <c r="D901" s="739"/>
      <c r="E901" s="765"/>
      <c r="F901" s="765"/>
      <c r="G901" s="765"/>
      <c r="H901" s="765"/>
      <c r="I901" s="746" t="str">
        <f t="shared" ref="I901:I964" si="43">AF901</f>
        <v/>
      </c>
      <c r="J901" s="731"/>
      <c r="K901" s="731" t="str">
        <f t="shared" si="42"/>
        <v/>
      </c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32"/>
      <c r="AB901" s="732"/>
      <c r="AC901" s="732"/>
      <c r="AD901" s="732"/>
      <c r="AE901" s="733"/>
      <c r="AF901" s="734" t="str">
        <f t="shared" ref="AF901:AF964" si="44">IF(AE901 &lt;&gt;"", AE901/AA901,"")</f>
        <v/>
      </c>
      <c r="AG901" s="773"/>
    </row>
    <row r="902" spans="1:64" ht="18.75" x14ac:dyDescent="0.25">
      <c r="A902" s="758"/>
      <c r="B902" s="737"/>
      <c r="C902" s="730"/>
      <c r="D902" s="739"/>
      <c r="E902" s="765"/>
      <c r="F902" s="765"/>
      <c r="G902" s="765"/>
      <c r="H902" s="765"/>
      <c r="I902" s="746" t="str">
        <f t="shared" si="43"/>
        <v/>
      </c>
      <c r="J902" s="731"/>
      <c r="K902" s="731" t="str">
        <f t="shared" si="42"/>
        <v/>
      </c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32"/>
      <c r="AB902" s="732"/>
      <c r="AC902" s="732"/>
      <c r="AD902" s="732"/>
      <c r="AE902" s="733"/>
      <c r="AF902" s="734" t="str">
        <f t="shared" si="44"/>
        <v/>
      </c>
      <c r="AG902" s="773"/>
    </row>
    <row r="903" spans="1:64" ht="18.75" x14ac:dyDescent="0.25">
      <c r="A903" s="758"/>
      <c r="B903" s="737"/>
      <c r="C903" s="730"/>
      <c r="D903" s="739"/>
      <c r="E903" s="765"/>
      <c r="F903" s="765"/>
      <c r="G903" s="765"/>
      <c r="H903" s="765"/>
      <c r="I903" s="746" t="str">
        <f t="shared" si="43"/>
        <v/>
      </c>
      <c r="J903" s="731"/>
      <c r="K903" s="731" t="str">
        <f t="shared" si="42"/>
        <v/>
      </c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32"/>
      <c r="AB903" s="732"/>
      <c r="AC903" s="732"/>
      <c r="AD903" s="732"/>
      <c r="AE903" s="733"/>
      <c r="AF903" s="734" t="str">
        <f t="shared" si="44"/>
        <v/>
      </c>
      <c r="AG903" s="775"/>
      <c r="AH903" s="779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</row>
    <row r="904" spans="1:64" ht="18.75" x14ac:dyDescent="0.25">
      <c r="A904" s="758"/>
      <c r="B904" s="737"/>
      <c r="C904" s="730"/>
      <c r="D904" s="739"/>
      <c r="E904" s="765"/>
      <c r="F904" s="765"/>
      <c r="G904" s="765"/>
      <c r="H904" s="765"/>
      <c r="I904" s="746" t="str">
        <f t="shared" si="43"/>
        <v/>
      </c>
      <c r="J904" s="731"/>
      <c r="K904" s="731" t="str">
        <f t="shared" si="42"/>
        <v/>
      </c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32"/>
      <c r="AB904" s="732"/>
      <c r="AC904" s="732"/>
      <c r="AD904" s="732"/>
      <c r="AE904" s="733"/>
      <c r="AF904" s="734" t="str">
        <f t="shared" si="44"/>
        <v/>
      </c>
      <c r="AG904" s="773"/>
    </row>
    <row r="905" spans="1:64" ht="18.75" x14ac:dyDescent="0.25">
      <c r="A905" s="758"/>
      <c r="B905" s="737"/>
      <c r="C905" s="730"/>
      <c r="D905" s="739"/>
      <c r="E905" s="765"/>
      <c r="F905" s="765"/>
      <c r="G905" s="765"/>
      <c r="H905" s="765"/>
      <c r="I905" s="746" t="str">
        <f t="shared" si="43"/>
        <v/>
      </c>
      <c r="J905" s="731"/>
      <c r="K905" s="731" t="str">
        <f t="shared" si="42"/>
        <v/>
      </c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32"/>
      <c r="AB905" s="732"/>
      <c r="AC905" s="732"/>
      <c r="AD905" s="732"/>
      <c r="AE905" s="733"/>
      <c r="AF905" s="734" t="str">
        <f t="shared" si="44"/>
        <v/>
      </c>
      <c r="AG905" s="773"/>
    </row>
    <row r="906" spans="1:64" ht="18.75" x14ac:dyDescent="0.25">
      <c r="A906" s="758"/>
      <c r="B906" s="737"/>
      <c r="C906" s="730"/>
      <c r="D906" s="739"/>
      <c r="E906" s="765"/>
      <c r="F906" s="765"/>
      <c r="G906" s="765"/>
      <c r="H906" s="765"/>
      <c r="I906" s="746" t="str">
        <f t="shared" si="43"/>
        <v/>
      </c>
      <c r="J906" s="731"/>
      <c r="K906" s="731" t="str">
        <f t="shared" si="42"/>
        <v/>
      </c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32"/>
      <c r="AB906" s="732"/>
      <c r="AC906" s="732"/>
      <c r="AD906" s="732"/>
      <c r="AE906" s="733"/>
      <c r="AF906" s="734" t="str">
        <f t="shared" si="44"/>
        <v/>
      </c>
      <c r="AG906" s="773"/>
    </row>
    <row r="907" spans="1:64" ht="18.75" x14ac:dyDescent="0.25">
      <c r="A907" s="758"/>
      <c r="B907" s="737"/>
      <c r="C907" s="730"/>
      <c r="D907" s="739"/>
      <c r="E907" s="765"/>
      <c r="F907" s="765"/>
      <c r="G907" s="765"/>
      <c r="H907" s="765"/>
      <c r="I907" s="746" t="str">
        <f t="shared" si="43"/>
        <v/>
      </c>
      <c r="J907" s="731"/>
      <c r="K907" s="731" t="str">
        <f t="shared" si="42"/>
        <v/>
      </c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32"/>
      <c r="AB907" s="732"/>
      <c r="AC907" s="732"/>
      <c r="AD907" s="732"/>
      <c r="AE907" s="733"/>
      <c r="AF907" s="734" t="str">
        <f t="shared" si="44"/>
        <v/>
      </c>
      <c r="AG907" s="773"/>
    </row>
    <row r="908" spans="1:64" ht="18.75" x14ac:dyDescent="0.25">
      <c r="A908" s="758"/>
      <c r="B908" s="737"/>
      <c r="C908" s="730"/>
      <c r="D908" s="739"/>
      <c r="E908" s="765"/>
      <c r="F908" s="765"/>
      <c r="G908" s="765"/>
      <c r="H908" s="765"/>
      <c r="I908" s="746" t="str">
        <f t="shared" si="43"/>
        <v/>
      </c>
      <c r="J908" s="731"/>
      <c r="K908" s="731" t="str">
        <f t="shared" si="42"/>
        <v/>
      </c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32"/>
      <c r="AB908" s="732"/>
      <c r="AC908" s="732"/>
      <c r="AD908" s="732"/>
      <c r="AE908" s="733"/>
      <c r="AF908" s="734" t="str">
        <f t="shared" si="44"/>
        <v/>
      </c>
      <c r="AG908" s="773"/>
    </row>
    <row r="909" spans="1:64" ht="19.5" customHeight="1" x14ac:dyDescent="0.25">
      <c r="A909" s="758"/>
      <c r="B909" s="737"/>
      <c r="C909" s="730"/>
      <c r="D909" s="739"/>
      <c r="E909" s="765"/>
      <c r="F909" s="765"/>
      <c r="G909" s="765"/>
      <c r="H909" s="765"/>
      <c r="I909" s="746" t="str">
        <f t="shared" si="43"/>
        <v/>
      </c>
      <c r="J909" s="731"/>
      <c r="K909" s="731" t="str">
        <f t="shared" si="42"/>
        <v/>
      </c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32"/>
      <c r="AB909" s="732"/>
      <c r="AC909" s="732"/>
      <c r="AD909" s="732"/>
      <c r="AE909" s="733"/>
      <c r="AF909" s="734" t="str">
        <f t="shared" si="44"/>
        <v/>
      </c>
      <c r="AG909" s="775"/>
      <c r="AH909" s="779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</row>
    <row r="910" spans="1:64" ht="19.5" customHeight="1" x14ac:dyDescent="0.25">
      <c r="A910" s="758"/>
      <c r="B910" s="737"/>
      <c r="C910" s="730"/>
      <c r="D910" s="739"/>
      <c r="E910" s="765"/>
      <c r="F910" s="765"/>
      <c r="G910" s="765"/>
      <c r="H910" s="765"/>
      <c r="I910" s="746" t="str">
        <f t="shared" si="43"/>
        <v/>
      </c>
      <c r="J910" s="731"/>
      <c r="K910" s="731" t="str">
        <f t="shared" si="42"/>
        <v/>
      </c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32"/>
      <c r="AB910" s="732"/>
      <c r="AC910" s="732"/>
      <c r="AD910" s="732"/>
      <c r="AE910" s="733"/>
      <c r="AF910" s="734" t="str">
        <f t="shared" si="44"/>
        <v/>
      </c>
      <c r="AG910" s="775"/>
      <c r="AH910" s="779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</row>
    <row r="911" spans="1:64" ht="18.75" x14ac:dyDescent="0.25">
      <c r="A911" s="758"/>
      <c r="B911" s="737"/>
      <c r="C911" s="730"/>
      <c r="D911" s="739"/>
      <c r="E911" s="765"/>
      <c r="F911" s="765"/>
      <c r="G911" s="765"/>
      <c r="H911" s="765"/>
      <c r="I911" s="746" t="str">
        <f t="shared" si="43"/>
        <v/>
      </c>
      <c r="J911" s="731"/>
      <c r="K911" s="731" t="str">
        <f t="shared" si="42"/>
        <v/>
      </c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32"/>
      <c r="AB911" s="732"/>
      <c r="AC911" s="732"/>
      <c r="AD911" s="732"/>
      <c r="AE911" s="733"/>
      <c r="AF911" s="734" t="str">
        <f t="shared" si="44"/>
        <v/>
      </c>
      <c r="AG911" s="773"/>
    </row>
    <row r="912" spans="1:64" ht="18.75" x14ac:dyDescent="0.25">
      <c r="A912" s="758"/>
      <c r="B912" s="737"/>
      <c r="C912" s="730"/>
      <c r="D912" s="739"/>
      <c r="E912" s="765"/>
      <c r="F912" s="765"/>
      <c r="G912" s="765"/>
      <c r="H912" s="765"/>
      <c r="I912" s="746" t="str">
        <f t="shared" si="43"/>
        <v/>
      </c>
      <c r="J912" s="731"/>
      <c r="K912" s="731" t="str">
        <f t="shared" si="42"/>
        <v/>
      </c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32"/>
      <c r="AB912" s="732"/>
      <c r="AC912" s="732"/>
      <c r="AD912" s="732"/>
      <c r="AE912" s="733"/>
      <c r="AF912" s="734" t="str">
        <f t="shared" si="44"/>
        <v/>
      </c>
      <c r="AG912" s="773"/>
    </row>
    <row r="913" spans="1:64" ht="18.75" x14ac:dyDescent="0.25">
      <c r="A913" s="758"/>
      <c r="B913" s="737"/>
      <c r="C913" s="730"/>
      <c r="D913" s="739"/>
      <c r="E913" s="765"/>
      <c r="F913" s="765"/>
      <c r="G913" s="765"/>
      <c r="H913" s="765"/>
      <c r="I913" s="746" t="str">
        <f t="shared" si="43"/>
        <v/>
      </c>
      <c r="J913" s="731"/>
      <c r="K913" s="731" t="str">
        <f t="shared" si="42"/>
        <v/>
      </c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32"/>
      <c r="AB913" s="732"/>
      <c r="AC913" s="732"/>
      <c r="AD913" s="732"/>
      <c r="AE913" s="733"/>
      <c r="AF913" s="734" t="str">
        <f t="shared" si="44"/>
        <v/>
      </c>
      <c r="AG913" s="773"/>
    </row>
    <row r="914" spans="1:64" ht="18.75" x14ac:dyDescent="0.25">
      <c r="A914" s="758"/>
      <c r="B914" s="737"/>
      <c r="C914" s="730"/>
      <c r="D914" s="739"/>
      <c r="E914" s="765"/>
      <c r="F914" s="765"/>
      <c r="G914" s="765"/>
      <c r="H914" s="765"/>
      <c r="I914" s="746" t="str">
        <f t="shared" si="43"/>
        <v/>
      </c>
      <c r="J914" s="731"/>
      <c r="K914" s="731" t="str">
        <f t="shared" si="42"/>
        <v/>
      </c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32"/>
      <c r="AB914" s="732"/>
      <c r="AC914" s="732"/>
      <c r="AD914" s="732"/>
      <c r="AE914" s="733"/>
      <c r="AF914" s="734" t="str">
        <f t="shared" si="44"/>
        <v/>
      </c>
      <c r="AG914" s="773"/>
    </row>
    <row r="915" spans="1:64" ht="18.75" x14ac:dyDescent="0.25">
      <c r="A915" s="758"/>
      <c r="B915" s="737"/>
      <c r="C915" s="730"/>
      <c r="D915" s="739"/>
      <c r="E915" s="765"/>
      <c r="F915" s="765"/>
      <c r="G915" s="765"/>
      <c r="H915" s="765"/>
      <c r="I915" s="746" t="str">
        <f t="shared" si="43"/>
        <v/>
      </c>
      <c r="J915" s="731"/>
      <c r="K915" s="731" t="str">
        <f t="shared" si="42"/>
        <v/>
      </c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32"/>
      <c r="AB915" s="732"/>
      <c r="AC915" s="732"/>
      <c r="AD915" s="732"/>
      <c r="AE915" s="733"/>
      <c r="AF915" s="734" t="str">
        <f t="shared" si="44"/>
        <v/>
      </c>
      <c r="AG915" s="773"/>
    </row>
    <row r="916" spans="1:64" ht="18.75" x14ac:dyDescent="0.25">
      <c r="A916" s="758"/>
      <c r="B916" s="737"/>
      <c r="C916" s="730"/>
      <c r="D916" s="739"/>
      <c r="E916" s="765"/>
      <c r="F916" s="765"/>
      <c r="G916" s="765"/>
      <c r="H916" s="765"/>
      <c r="I916" s="746" t="str">
        <f t="shared" si="43"/>
        <v/>
      </c>
      <c r="J916" s="731"/>
      <c r="K916" s="731" t="str">
        <f t="shared" si="42"/>
        <v/>
      </c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32"/>
      <c r="AB916" s="732"/>
      <c r="AC916" s="732"/>
      <c r="AD916" s="732"/>
      <c r="AE916" s="733"/>
      <c r="AF916" s="734" t="str">
        <f t="shared" si="44"/>
        <v/>
      </c>
      <c r="AG916" s="773"/>
    </row>
    <row r="917" spans="1:64" ht="18.75" x14ac:dyDescent="0.25">
      <c r="A917" s="758"/>
      <c r="B917" s="737"/>
      <c r="C917" s="730"/>
      <c r="D917" s="739"/>
      <c r="E917" s="765"/>
      <c r="F917" s="765"/>
      <c r="G917" s="765"/>
      <c r="H917" s="765"/>
      <c r="I917" s="746" t="str">
        <f t="shared" si="43"/>
        <v/>
      </c>
      <c r="J917" s="731"/>
      <c r="K917" s="731" t="str">
        <f t="shared" si="42"/>
        <v/>
      </c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32"/>
      <c r="AB917" s="732"/>
      <c r="AC917" s="732"/>
      <c r="AD917" s="732"/>
      <c r="AE917" s="733"/>
      <c r="AF917" s="734" t="str">
        <f t="shared" si="44"/>
        <v/>
      </c>
      <c r="AG917" s="775"/>
      <c r="AH917" s="779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</row>
    <row r="918" spans="1:64" ht="18.75" x14ac:dyDescent="0.25">
      <c r="A918" s="758"/>
      <c r="B918" s="737"/>
      <c r="C918" s="730"/>
      <c r="D918" s="739"/>
      <c r="E918" s="765"/>
      <c r="F918" s="765"/>
      <c r="G918" s="765"/>
      <c r="H918" s="765"/>
      <c r="I918" s="746" t="str">
        <f t="shared" si="43"/>
        <v/>
      </c>
      <c r="J918" s="731"/>
      <c r="K918" s="731" t="str">
        <f t="shared" si="42"/>
        <v/>
      </c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32"/>
      <c r="AB918" s="732"/>
      <c r="AC918" s="732"/>
      <c r="AD918" s="732"/>
      <c r="AE918" s="733"/>
      <c r="AF918" s="734" t="str">
        <f t="shared" si="44"/>
        <v/>
      </c>
      <c r="AG918" s="773"/>
    </row>
    <row r="919" spans="1:64" ht="18.75" x14ac:dyDescent="0.25">
      <c r="A919" s="758"/>
      <c r="B919" s="737"/>
      <c r="C919" s="730"/>
      <c r="D919" s="739"/>
      <c r="E919" s="765"/>
      <c r="F919" s="765"/>
      <c r="G919" s="765"/>
      <c r="H919" s="765"/>
      <c r="I919" s="746" t="str">
        <f t="shared" si="43"/>
        <v/>
      </c>
      <c r="J919" s="731"/>
      <c r="K919" s="731" t="str">
        <f t="shared" si="42"/>
        <v/>
      </c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32"/>
      <c r="AB919" s="732"/>
      <c r="AC919" s="732"/>
      <c r="AD919" s="732"/>
      <c r="AE919" s="733"/>
      <c r="AF919" s="734" t="str">
        <f t="shared" si="44"/>
        <v/>
      </c>
      <c r="AG919" s="773"/>
    </row>
    <row r="920" spans="1:64" ht="18.75" x14ac:dyDescent="0.25">
      <c r="A920" s="758"/>
      <c r="B920" s="737"/>
      <c r="C920" s="730"/>
      <c r="D920" s="739"/>
      <c r="E920" s="765"/>
      <c r="F920" s="765"/>
      <c r="G920" s="765"/>
      <c r="H920" s="765"/>
      <c r="I920" s="746" t="str">
        <f t="shared" si="43"/>
        <v/>
      </c>
      <c r="J920" s="731"/>
      <c r="K920" s="731" t="str">
        <f t="shared" si="42"/>
        <v/>
      </c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32"/>
      <c r="AB920" s="732"/>
      <c r="AC920" s="732"/>
      <c r="AD920" s="732"/>
      <c r="AE920" s="733"/>
      <c r="AF920" s="734" t="str">
        <f t="shared" si="44"/>
        <v/>
      </c>
      <c r="AG920" s="773"/>
    </row>
    <row r="921" spans="1:64" ht="18.75" x14ac:dyDescent="0.25">
      <c r="A921" s="758"/>
      <c r="B921" s="737"/>
      <c r="C921" s="730"/>
      <c r="D921" s="739"/>
      <c r="E921" s="765"/>
      <c r="F921" s="765"/>
      <c r="G921" s="765"/>
      <c r="H921" s="765"/>
      <c r="I921" s="746" t="str">
        <f t="shared" si="43"/>
        <v/>
      </c>
      <c r="J921" s="731"/>
      <c r="K921" s="731" t="str">
        <f t="shared" si="42"/>
        <v/>
      </c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32"/>
      <c r="AB921" s="732"/>
      <c r="AC921" s="732"/>
      <c r="AD921" s="732"/>
      <c r="AE921" s="733"/>
      <c r="AF921" s="734" t="str">
        <f t="shared" si="44"/>
        <v/>
      </c>
      <c r="AG921" s="773"/>
    </row>
    <row r="922" spans="1:64" ht="18.75" x14ac:dyDescent="0.25">
      <c r="A922" s="758"/>
      <c r="B922" s="737"/>
      <c r="C922" s="730"/>
      <c r="D922" s="739"/>
      <c r="E922" s="765"/>
      <c r="F922" s="765"/>
      <c r="G922" s="765"/>
      <c r="H922" s="765"/>
      <c r="I922" s="746" t="str">
        <f t="shared" si="43"/>
        <v/>
      </c>
      <c r="J922" s="731"/>
      <c r="K922" s="731" t="str">
        <f t="shared" si="42"/>
        <v/>
      </c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32"/>
      <c r="AB922" s="732"/>
      <c r="AC922" s="732"/>
      <c r="AD922" s="732"/>
      <c r="AE922" s="733"/>
      <c r="AF922" s="734" t="str">
        <f t="shared" si="44"/>
        <v/>
      </c>
      <c r="AG922" s="773"/>
    </row>
    <row r="923" spans="1:64" ht="18.75" x14ac:dyDescent="0.25">
      <c r="A923" s="758"/>
      <c r="B923" s="737"/>
      <c r="C923" s="730"/>
      <c r="D923" s="739"/>
      <c r="E923" s="765"/>
      <c r="F923" s="765"/>
      <c r="G923" s="765"/>
      <c r="H923" s="765"/>
      <c r="I923" s="746" t="str">
        <f t="shared" si="43"/>
        <v/>
      </c>
      <c r="J923" s="731"/>
      <c r="K923" s="731" t="str">
        <f t="shared" si="42"/>
        <v/>
      </c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32"/>
      <c r="AB923" s="732"/>
      <c r="AC923" s="732"/>
      <c r="AD923" s="732"/>
      <c r="AE923" s="733"/>
      <c r="AF923" s="734" t="str">
        <f t="shared" si="44"/>
        <v/>
      </c>
      <c r="AG923" s="773"/>
    </row>
    <row r="924" spans="1:64" ht="19.5" customHeight="1" x14ac:dyDescent="0.25">
      <c r="A924" s="758"/>
      <c r="B924" s="737"/>
      <c r="C924" s="730"/>
      <c r="D924" s="739"/>
      <c r="E924" s="765"/>
      <c r="F924" s="765"/>
      <c r="G924" s="765"/>
      <c r="H924" s="765"/>
      <c r="I924" s="746" t="str">
        <f t="shared" si="43"/>
        <v/>
      </c>
      <c r="J924" s="731"/>
      <c r="K924" s="731" t="str">
        <f t="shared" si="42"/>
        <v/>
      </c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32"/>
      <c r="AB924" s="732"/>
      <c r="AC924" s="732"/>
      <c r="AD924" s="732"/>
      <c r="AE924" s="733"/>
      <c r="AF924" s="734" t="str">
        <f t="shared" si="44"/>
        <v/>
      </c>
      <c r="AG924" s="775"/>
      <c r="AH924" s="779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</row>
    <row r="925" spans="1:64" ht="19.5" customHeight="1" x14ac:dyDescent="0.25">
      <c r="A925" s="758"/>
      <c r="B925" s="737"/>
      <c r="C925" s="730"/>
      <c r="D925" s="739"/>
      <c r="E925" s="765"/>
      <c r="F925" s="765"/>
      <c r="G925" s="765"/>
      <c r="H925" s="765"/>
      <c r="I925" s="746" t="str">
        <f t="shared" si="43"/>
        <v/>
      </c>
      <c r="J925" s="731"/>
      <c r="K925" s="731" t="str">
        <f t="shared" si="42"/>
        <v/>
      </c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32"/>
      <c r="AB925" s="732"/>
      <c r="AC925" s="732"/>
      <c r="AD925" s="732"/>
      <c r="AE925" s="733"/>
      <c r="AF925" s="734" t="str">
        <f t="shared" si="44"/>
        <v/>
      </c>
      <c r="AG925" s="775"/>
      <c r="AH925" s="779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</row>
    <row r="926" spans="1:64" ht="18.75" x14ac:dyDescent="0.25">
      <c r="A926" s="758"/>
      <c r="B926" s="737"/>
      <c r="C926" s="730"/>
      <c r="D926" s="739"/>
      <c r="E926" s="765"/>
      <c r="F926" s="765"/>
      <c r="G926" s="765"/>
      <c r="H926" s="765"/>
      <c r="I926" s="746" t="str">
        <f t="shared" si="43"/>
        <v/>
      </c>
      <c r="J926" s="731"/>
      <c r="K926" s="731" t="str">
        <f t="shared" si="42"/>
        <v/>
      </c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32"/>
      <c r="AB926" s="732"/>
      <c r="AC926" s="732"/>
      <c r="AD926" s="732"/>
      <c r="AE926" s="733"/>
      <c r="AF926" s="734" t="str">
        <f t="shared" si="44"/>
        <v/>
      </c>
      <c r="AG926" s="773"/>
    </row>
    <row r="927" spans="1:64" ht="18.75" x14ac:dyDescent="0.25">
      <c r="A927" s="758"/>
      <c r="B927" s="737"/>
      <c r="C927" s="730"/>
      <c r="D927" s="739"/>
      <c r="E927" s="765"/>
      <c r="F927" s="765"/>
      <c r="G927" s="765"/>
      <c r="H927" s="765"/>
      <c r="I927" s="746" t="str">
        <f t="shared" si="43"/>
        <v/>
      </c>
      <c r="J927" s="731"/>
      <c r="K927" s="731" t="str">
        <f t="shared" si="42"/>
        <v/>
      </c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32"/>
      <c r="AB927" s="732"/>
      <c r="AC927" s="732"/>
      <c r="AD927" s="732"/>
      <c r="AE927" s="733"/>
      <c r="AF927" s="734" t="str">
        <f t="shared" si="44"/>
        <v/>
      </c>
      <c r="AG927" s="773"/>
    </row>
    <row r="928" spans="1:64" ht="18.75" x14ac:dyDescent="0.25">
      <c r="A928" s="758"/>
      <c r="B928" s="737"/>
      <c r="C928" s="730"/>
      <c r="D928" s="739"/>
      <c r="E928" s="765"/>
      <c r="F928" s="765"/>
      <c r="G928" s="765"/>
      <c r="H928" s="765"/>
      <c r="I928" s="746" t="str">
        <f t="shared" si="43"/>
        <v/>
      </c>
      <c r="J928" s="731"/>
      <c r="K928" s="731" t="str">
        <f t="shared" si="42"/>
        <v/>
      </c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32"/>
      <c r="AB928" s="732"/>
      <c r="AC928" s="732"/>
      <c r="AD928" s="732"/>
      <c r="AE928" s="733"/>
      <c r="AF928" s="734" t="str">
        <f t="shared" si="44"/>
        <v/>
      </c>
      <c r="AG928" s="773"/>
    </row>
    <row r="929" spans="1:64" ht="18.75" x14ac:dyDescent="0.25">
      <c r="A929" s="758"/>
      <c r="B929" s="737"/>
      <c r="C929" s="730"/>
      <c r="D929" s="739"/>
      <c r="E929" s="765"/>
      <c r="F929" s="765"/>
      <c r="G929" s="765"/>
      <c r="H929" s="765"/>
      <c r="I929" s="746" t="str">
        <f t="shared" si="43"/>
        <v/>
      </c>
      <c r="J929" s="731"/>
      <c r="K929" s="731" t="str">
        <f t="shared" si="42"/>
        <v/>
      </c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32"/>
      <c r="AB929" s="732"/>
      <c r="AC929" s="732"/>
      <c r="AD929" s="732"/>
      <c r="AE929" s="733"/>
      <c r="AF929" s="734" t="str">
        <f t="shared" si="44"/>
        <v/>
      </c>
      <c r="AG929" s="773"/>
    </row>
    <row r="930" spans="1:64" ht="18.75" x14ac:dyDescent="0.25">
      <c r="A930" s="758"/>
      <c r="B930" s="737"/>
      <c r="C930" s="730"/>
      <c r="D930" s="739"/>
      <c r="E930" s="765"/>
      <c r="F930" s="765"/>
      <c r="G930" s="765"/>
      <c r="H930" s="765"/>
      <c r="I930" s="746" t="str">
        <f t="shared" si="43"/>
        <v/>
      </c>
      <c r="J930" s="731"/>
      <c r="K930" s="731" t="str">
        <f t="shared" si="42"/>
        <v/>
      </c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32"/>
      <c r="AB930" s="732"/>
      <c r="AC930" s="732"/>
      <c r="AD930" s="732"/>
      <c r="AE930" s="733"/>
      <c r="AF930" s="734" t="str">
        <f t="shared" si="44"/>
        <v/>
      </c>
      <c r="AG930" s="773"/>
    </row>
    <row r="931" spans="1:64" ht="18.75" x14ac:dyDescent="0.25">
      <c r="A931" s="758"/>
      <c r="B931" s="737"/>
      <c r="C931" s="730"/>
      <c r="D931" s="739"/>
      <c r="E931" s="765"/>
      <c r="F931" s="765"/>
      <c r="G931" s="765"/>
      <c r="H931" s="765"/>
      <c r="I931" s="746" t="str">
        <f t="shared" si="43"/>
        <v/>
      </c>
      <c r="J931" s="731"/>
      <c r="K931" s="731" t="str">
        <f t="shared" si="42"/>
        <v/>
      </c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32"/>
      <c r="AB931" s="732"/>
      <c r="AC931" s="732"/>
      <c r="AD931" s="732"/>
      <c r="AE931" s="733"/>
      <c r="AF931" s="734" t="str">
        <f t="shared" si="44"/>
        <v/>
      </c>
      <c r="AG931" s="773"/>
    </row>
    <row r="932" spans="1:64" ht="18.75" x14ac:dyDescent="0.25">
      <c r="A932" s="758"/>
      <c r="B932" s="737"/>
      <c r="C932" s="730"/>
      <c r="D932" s="739"/>
      <c r="E932" s="765"/>
      <c r="F932" s="765"/>
      <c r="G932" s="765"/>
      <c r="H932" s="765"/>
      <c r="I932" s="746" t="str">
        <f t="shared" si="43"/>
        <v/>
      </c>
      <c r="J932" s="731"/>
      <c r="K932" s="731" t="str">
        <f t="shared" si="42"/>
        <v/>
      </c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32"/>
      <c r="AB932" s="732"/>
      <c r="AC932" s="732"/>
      <c r="AD932" s="732"/>
      <c r="AE932" s="733"/>
      <c r="AF932" s="734" t="str">
        <f t="shared" si="44"/>
        <v/>
      </c>
      <c r="AG932" s="775"/>
      <c r="AH932" s="779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</row>
    <row r="933" spans="1:64" ht="18.75" x14ac:dyDescent="0.25">
      <c r="A933" s="758"/>
      <c r="B933" s="737"/>
      <c r="C933" s="730"/>
      <c r="D933" s="739"/>
      <c r="E933" s="765"/>
      <c r="F933" s="765"/>
      <c r="G933" s="765"/>
      <c r="H933" s="765"/>
      <c r="I933" s="746" t="str">
        <f t="shared" si="43"/>
        <v/>
      </c>
      <c r="J933" s="731"/>
      <c r="K933" s="731" t="str">
        <f t="shared" si="42"/>
        <v/>
      </c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32"/>
      <c r="AB933" s="732"/>
      <c r="AC933" s="732"/>
      <c r="AD933" s="732"/>
      <c r="AE933" s="733"/>
      <c r="AF933" s="734" t="str">
        <f t="shared" si="44"/>
        <v/>
      </c>
      <c r="AG933" s="773"/>
    </row>
    <row r="934" spans="1:64" ht="18.75" x14ac:dyDescent="0.25">
      <c r="A934" s="758"/>
      <c r="B934" s="737"/>
      <c r="C934" s="730"/>
      <c r="D934" s="739"/>
      <c r="E934" s="765"/>
      <c r="F934" s="765"/>
      <c r="G934" s="765"/>
      <c r="H934" s="765"/>
      <c r="I934" s="746" t="str">
        <f t="shared" si="43"/>
        <v/>
      </c>
      <c r="J934" s="731"/>
      <c r="K934" s="731" t="str">
        <f t="shared" si="42"/>
        <v/>
      </c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32"/>
      <c r="AB934" s="732"/>
      <c r="AC934" s="732"/>
      <c r="AD934" s="732"/>
      <c r="AE934" s="733"/>
      <c r="AF934" s="734" t="str">
        <f t="shared" si="44"/>
        <v/>
      </c>
      <c r="AG934" s="773"/>
    </row>
    <row r="935" spans="1:64" ht="18.75" x14ac:dyDescent="0.25">
      <c r="A935" s="758"/>
      <c r="B935" s="737"/>
      <c r="C935" s="730"/>
      <c r="D935" s="739"/>
      <c r="E935" s="765"/>
      <c r="F935" s="765"/>
      <c r="G935" s="765"/>
      <c r="H935" s="765"/>
      <c r="I935" s="746" t="str">
        <f t="shared" si="43"/>
        <v/>
      </c>
      <c r="J935" s="731"/>
      <c r="K935" s="731" t="str">
        <f t="shared" si="42"/>
        <v/>
      </c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32"/>
      <c r="AB935" s="732"/>
      <c r="AC935" s="732"/>
      <c r="AD935" s="732"/>
      <c r="AE935" s="733"/>
      <c r="AF935" s="734" t="str">
        <f t="shared" si="44"/>
        <v/>
      </c>
      <c r="AG935" s="773"/>
    </row>
    <row r="936" spans="1:64" ht="18.75" x14ac:dyDescent="0.25">
      <c r="A936" s="758"/>
      <c r="B936" s="737"/>
      <c r="C936" s="730"/>
      <c r="D936" s="739"/>
      <c r="E936" s="765"/>
      <c r="F936" s="765"/>
      <c r="G936" s="765"/>
      <c r="H936" s="765"/>
      <c r="I936" s="746" t="str">
        <f t="shared" si="43"/>
        <v/>
      </c>
      <c r="J936" s="731"/>
      <c r="K936" s="731" t="str">
        <f t="shared" si="42"/>
        <v/>
      </c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32"/>
      <c r="AB936" s="732"/>
      <c r="AC936" s="732"/>
      <c r="AD936" s="732"/>
      <c r="AE936" s="733"/>
      <c r="AF936" s="734" t="str">
        <f t="shared" si="44"/>
        <v/>
      </c>
      <c r="AG936" s="773"/>
    </row>
    <row r="937" spans="1:64" ht="18.75" x14ac:dyDescent="0.25">
      <c r="A937" s="758"/>
      <c r="B937" s="737"/>
      <c r="C937" s="730"/>
      <c r="D937" s="739"/>
      <c r="E937" s="765"/>
      <c r="F937" s="765"/>
      <c r="G937" s="765"/>
      <c r="H937" s="765"/>
      <c r="I937" s="746" t="str">
        <f t="shared" si="43"/>
        <v/>
      </c>
      <c r="J937" s="731"/>
      <c r="K937" s="731" t="str">
        <f t="shared" si="42"/>
        <v/>
      </c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32"/>
      <c r="AB937" s="732"/>
      <c r="AC937" s="732"/>
      <c r="AD937" s="732"/>
      <c r="AE937" s="733"/>
      <c r="AF937" s="734" t="str">
        <f t="shared" si="44"/>
        <v/>
      </c>
      <c r="AG937" s="773"/>
    </row>
    <row r="938" spans="1:64" ht="18.75" customHeight="1" x14ac:dyDescent="0.25">
      <c r="A938" s="758"/>
      <c r="B938" s="737"/>
      <c r="C938" s="730"/>
      <c r="D938" s="739"/>
      <c r="E938" s="765"/>
      <c r="F938" s="765"/>
      <c r="G938" s="765"/>
      <c r="H938" s="765"/>
      <c r="I938" s="746" t="str">
        <f t="shared" si="43"/>
        <v/>
      </c>
      <c r="J938" s="731"/>
      <c r="K938" s="731" t="str">
        <f t="shared" si="42"/>
        <v/>
      </c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32"/>
      <c r="AB938" s="732"/>
      <c r="AC938" s="732"/>
      <c r="AD938" s="732"/>
      <c r="AE938" s="733"/>
      <c r="AF938" s="734" t="str">
        <f t="shared" si="44"/>
        <v/>
      </c>
      <c r="AG938" s="772"/>
      <c r="AH938" s="777"/>
      <c r="AI938" s="735"/>
      <c r="AJ938" s="735"/>
      <c r="AK938" s="735"/>
      <c r="AL938" s="735"/>
      <c r="AM938" s="735"/>
      <c r="AN938" s="735"/>
      <c r="AO938" s="735"/>
      <c r="AP938" s="735"/>
      <c r="AQ938" s="735"/>
      <c r="AR938" s="735"/>
      <c r="AS938" s="735"/>
      <c r="AT938" s="735"/>
      <c r="AU938" s="735"/>
      <c r="AV938" s="735"/>
      <c r="AW938" s="735"/>
      <c r="AX938" s="735"/>
      <c r="AY938" s="735"/>
      <c r="AZ938" s="735"/>
      <c r="BA938" s="735"/>
      <c r="BB938" s="735"/>
      <c r="BC938" s="735"/>
      <c r="BD938" s="735"/>
      <c r="BE938" s="735"/>
      <c r="BF938" s="735"/>
      <c r="BG938" s="735"/>
      <c r="BH938" s="735"/>
      <c r="BI938" s="735"/>
      <c r="BJ938" s="735"/>
      <c r="BK938" s="735"/>
      <c r="BL938" s="735"/>
    </row>
    <row r="939" spans="1:64" ht="19.5" customHeight="1" x14ac:dyDescent="0.25">
      <c r="A939" s="758"/>
      <c r="B939" s="737"/>
      <c r="C939" s="730"/>
      <c r="D939" s="739"/>
      <c r="E939" s="765"/>
      <c r="F939" s="765"/>
      <c r="G939" s="765"/>
      <c r="H939" s="765"/>
      <c r="I939" s="746" t="str">
        <f t="shared" si="43"/>
        <v/>
      </c>
      <c r="J939" s="731"/>
      <c r="K939" s="731" t="str">
        <f t="shared" si="42"/>
        <v/>
      </c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32"/>
      <c r="AB939" s="732"/>
      <c r="AC939" s="732"/>
      <c r="AD939" s="732"/>
      <c r="AE939" s="733"/>
      <c r="AF939" s="734" t="str">
        <f t="shared" si="44"/>
        <v/>
      </c>
      <c r="AG939" s="772"/>
      <c r="AH939" s="777"/>
      <c r="AI939" s="735"/>
      <c r="AJ939" s="735"/>
      <c r="AK939" s="735"/>
      <c r="AL939" s="735"/>
      <c r="AM939" s="735"/>
      <c r="AN939" s="735"/>
      <c r="AO939" s="735"/>
      <c r="AP939" s="735"/>
      <c r="AQ939" s="735"/>
      <c r="AR939" s="735"/>
      <c r="AS939" s="735"/>
      <c r="AT939" s="735"/>
      <c r="AU939" s="735"/>
      <c r="AV939" s="735"/>
      <c r="AW939" s="735"/>
      <c r="AX939" s="735"/>
      <c r="AY939" s="735"/>
      <c r="AZ939" s="735"/>
      <c r="BA939" s="735"/>
      <c r="BB939" s="735"/>
      <c r="BC939" s="735"/>
      <c r="BD939" s="735"/>
      <c r="BE939" s="735"/>
      <c r="BF939" s="735"/>
      <c r="BG939" s="735"/>
      <c r="BH939" s="735"/>
      <c r="BI939" s="735"/>
      <c r="BJ939" s="735"/>
      <c r="BK939" s="735"/>
      <c r="BL939" s="735"/>
    </row>
    <row r="940" spans="1:64" ht="19.5" customHeight="1" x14ac:dyDescent="0.25">
      <c r="A940" s="758"/>
      <c r="B940" s="737"/>
      <c r="C940" s="730"/>
      <c r="D940" s="739"/>
      <c r="E940" s="765"/>
      <c r="F940" s="765"/>
      <c r="G940" s="765"/>
      <c r="H940" s="765"/>
      <c r="I940" s="746" t="str">
        <f t="shared" si="43"/>
        <v/>
      </c>
      <c r="J940" s="731"/>
      <c r="K940" s="731" t="str">
        <f t="shared" si="42"/>
        <v/>
      </c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32"/>
      <c r="AB940" s="732"/>
      <c r="AC940" s="732"/>
      <c r="AD940" s="732"/>
      <c r="AE940" s="733"/>
      <c r="AF940" s="734" t="str">
        <f t="shared" si="44"/>
        <v/>
      </c>
      <c r="AG940" s="772"/>
      <c r="AH940" s="777"/>
      <c r="AI940" s="735"/>
      <c r="AJ940" s="735"/>
      <c r="AK940" s="735"/>
      <c r="AL940" s="735"/>
      <c r="AM940" s="735"/>
      <c r="AN940" s="735"/>
      <c r="AO940" s="735"/>
      <c r="AP940" s="735"/>
      <c r="AQ940" s="735"/>
      <c r="AR940" s="735"/>
      <c r="AS940" s="735"/>
      <c r="AT940" s="735"/>
      <c r="AU940" s="735"/>
      <c r="AV940" s="735"/>
      <c r="AW940" s="735"/>
      <c r="AX940" s="735"/>
      <c r="AY940" s="735"/>
      <c r="AZ940" s="735"/>
      <c r="BA940" s="735"/>
      <c r="BB940" s="735"/>
      <c r="BC940" s="735"/>
      <c r="BD940" s="735"/>
      <c r="BE940" s="735"/>
      <c r="BF940" s="735"/>
      <c r="BG940" s="735"/>
      <c r="BH940" s="735"/>
      <c r="BI940" s="735"/>
      <c r="BJ940" s="735"/>
      <c r="BK940" s="735"/>
      <c r="BL940" s="735"/>
    </row>
    <row r="941" spans="1:64" ht="19.5" customHeight="1" x14ac:dyDescent="0.25">
      <c r="A941" s="758"/>
      <c r="B941" s="737"/>
      <c r="C941" s="730"/>
      <c r="D941" s="739"/>
      <c r="E941" s="765"/>
      <c r="F941" s="765"/>
      <c r="G941" s="765"/>
      <c r="H941" s="765"/>
      <c r="I941" s="746" t="str">
        <f t="shared" si="43"/>
        <v/>
      </c>
      <c r="J941" s="731"/>
      <c r="K941" s="731" t="str">
        <f t="shared" si="42"/>
        <v/>
      </c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32"/>
      <c r="AB941" s="732"/>
      <c r="AC941" s="732"/>
      <c r="AD941" s="732"/>
      <c r="AE941" s="733"/>
      <c r="AF941" s="734" t="str">
        <f t="shared" si="44"/>
        <v/>
      </c>
      <c r="AG941" s="772"/>
      <c r="AH941" s="777"/>
      <c r="AI941" s="735"/>
      <c r="AJ941" s="735"/>
      <c r="AK941" s="735"/>
      <c r="AL941" s="735"/>
      <c r="AM941" s="735"/>
      <c r="AN941" s="735"/>
      <c r="AO941" s="735"/>
      <c r="AP941" s="735"/>
      <c r="AQ941" s="735"/>
      <c r="AR941" s="735"/>
      <c r="AS941" s="735"/>
      <c r="AT941" s="735"/>
      <c r="AU941" s="735"/>
      <c r="AV941" s="735"/>
      <c r="AW941" s="735"/>
      <c r="AX941" s="735"/>
      <c r="AY941" s="735"/>
      <c r="AZ941" s="735"/>
      <c r="BA941" s="735"/>
      <c r="BB941" s="735"/>
      <c r="BC941" s="735"/>
      <c r="BD941" s="735"/>
      <c r="BE941" s="735"/>
      <c r="BF941" s="735"/>
      <c r="BG941" s="735"/>
      <c r="BH941" s="735"/>
      <c r="BI941" s="735"/>
      <c r="BJ941" s="735"/>
      <c r="BK941" s="735"/>
      <c r="BL941" s="735"/>
    </row>
    <row r="942" spans="1:64" ht="18.75" x14ac:dyDescent="0.25">
      <c r="A942" s="758"/>
      <c r="B942" s="737"/>
      <c r="C942" s="730"/>
      <c r="D942" s="739"/>
      <c r="E942" s="765"/>
      <c r="F942" s="765"/>
      <c r="G942" s="765"/>
      <c r="H942" s="765"/>
      <c r="I942" s="746" t="str">
        <f t="shared" si="43"/>
        <v/>
      </c>
      <c r="J942" s="731"/>
      <c r="K942" s="731" t="str">
        <f t="shared" si="42"/>
        <v/>
      </c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32"/>
      <c r="AB942" s="732"/>
      <c r="AC942" s="732"/>
      <c r="AD942" s="732"/>
      <c r="AE942" s="733"/>
      <c r="AF942" s="734" t="str">
        <f t="shared" si="44"/>
        <v/>
      </c>
      <c r="AG942" s="773"/>
    </row>
    <row r="943" spans="1:64" ht="18.75" x14ac:dyDescent="0.25">
      <c r="A943" s="758"/>
      <c r="B943" s="737"/>
      <c r="C943" s="730"/>
      <c r="D943" s="739"/>
      <c r="E943" s="765"/>
      <c r="F943" s="765"/>
      <c r="G943" s="765"/>
      <c r="H943" s="765"/>
      <c r="I943" s="746" t="str">
        <f t="shared" si="43"/>
        <v/>
      </c>
      <c r="J943" s="731"/>
      <c r="K943" s="731" t="str">
        <f t="shared" si="42"/>
        <v/>
      </c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32"/>
      <c r="AB943" s="732"/>
      <c r="AC943" s="732"/>
      <c r="AD943" s="732"/>
      <c r="AE943" s="733"/>
      <c r="AF943" s="734" t="str">
        <f t="shared" si="44"/>
        <v/>
      </c>
      <c r="AG943" s="773"/>
    </row>
    <row r="944" spans="1:64" ht="18.75" x14ac:dyDescent="0.25">
      <c r="A944" s="758"/>
      <c r="B944" s="737"/>
      <c r="C944" s="730"/>
      <c r="D944" s="739"/>
      <c r="E944" s="765"/>
      <c r="F944" s="765"/>
      <c r="G944" s="765"/>
      <c r="H944" s="765"/>
      <c r="I944" s="746" t="str">
        <f t="shared" si="43"/>
        <v/>
      </c>
      <c r="J944" s="731"/>
      <c r="K944" s="731" t="str">
        <f t="shared" si="42"/>
        <v/>
      </c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32"/>
      <c r="AB944" s="732"/>
      <c r="AC944" s="732"/>
      <c r="AD944" s="732"/>
      <c r="AE944" s="733"/>
      <c r="AF944" s="734" t="str">
        <f t="shared" si="44"/>
        <v/>
      </c>
      <c r="AG944" s="773"/>
    </row>
    <row r="945" spans="1:64" ht="18.75" x14ac:dyDescent="0.25">
      <c r="A945" s="758"/>
      <c r="B945" s="737"/>
      <c r="C945" s="730"/>
      <c r="D945" s="739"/>
      <c r="E945" s="765"/>
      <c r="F945" s="765"/>
      <c r="G945" s="765"/>
      <c r="H945" s="765"/>
      <c r="I945" s="746" t="str">
        <f t="shared" si="43"/>
        <v/>
      </c>
      <c r="J945" s="731"/>
      <c r="K945" s="731" t="str">
        <f t="shared" si="42"/>
        <v/>
      </c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32"/>
      <c r="AB945" s="732"/>
      <c r="AC945" s="732"/>
      <c r="AD945" s="732"/>
      <c r="AE945" s="733"/>
      <c r="AF945" s="734" t="str">
        <f t="shared" si="44"/>
        <v/>
      </c>
      <c r="AG945" s="773"/>
    </row>
    <row r="946" spans="1:64" ht="18.75" x14ac:dyDescent="0.25">
      <c r="A946" s="758"/>
      <c r="B946" s="737"/>
      <c r="C946" s="730"/>
      <c r="D946" s="739"/>
      <c r="E946" s="765"/>
      <c r="F946" s="765"/>
      <c r="G946" s="765"/>
      <c r="H946" s="765"/>
      <c r="I946" s="746" t="str">
        <f t="shared" si="43"/>
        <v/>
      </c>
      <c r="J946" s="731"/>
      <c r="K946" s="731" t="str">
        <f t="shared" si="42"/>
        <v/>
      </c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32"/>
      <c r="AB946" s="732"/>
      <c r="AC946" s="732"/>
      <c r="AD946" s="732"/>
      <c r="AE946" s="733"/>
      <c r="AF946" s="734" t="str">
        <f t="shared" si="44"/>
        <v/>
      </c>
      <c r="AG946" s="773"/>
    </row>
    <row r="947" spans="1:64" ht="18.75" x14ac:dyDescent="0.25">
      <c r="A947" s="758"/>
      <c r="B947" s="737"/>
      <c r="C947" s="730"/>
      <c r="D947" s="739"/>
      <c r="E947" s="765"/>
      <c r="F947" s="765"/>
      <c r="G947" s="765"/>
      <c r="H947" s="765"/>
      <c r="I947" s="746" t="str">
        <f t="shared" si="43"/>
        <v/>
      </c>
      <c r="J947" s="731"/>
      <c r="K947" s="731" t="str">
        <f t="shared" si="42"/>
        <v/>
      </c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32"/>
      <c r="AB947" s="732"/>
      <c r="AC947" s="732"/>
      <c r="AD947" s="732"/>
      <c r="AE947" s="733"/>
      <c r="AF947" s="734" t="str">
        <f t="shared" si="44"/>
        <v/>
      </c>
      <c r="AG947" s="773"/>
    </row>
    <row r="948" spans="1:64" ht="18.75" x14ac:dyDescent="0.25">
      <c r="A948" s="758"/>
      <c r="B948" s="737"/>
      <c r="C948" s="730"/>
      <c r="D948" s="739"/>
      <c r="E948" s="765"/>
      <c r="F948" s="765"/>
      <c r="G948" s="765"/>
      <c r="H948" s="765"/>
      <c r="I948" s="746" t="str">
        <f t="shared" si="43"/>
        <v/>
      </c>
      <c r="J948" s="731"/>
      <c r="K948" s="731" t="str">
        <f t="shared" si="42"/>
        <v/>
      </c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32"/>
      <c r="AB948" s="732"/>
      <c r="AC948" s="732"/>
      <c r="AD948" s="732"/>
      <c r="AE948" s="733"/>
      <c r="AF948" s="734" t="str">
        <f t="shared" si="44"/>
        <v/>
      </c>
      <c r="AG948" s="773"/>
    </row>
    <row r="949" spans="1:64" ht="18.75" x14ac:dyDescent="0.25">
      <c r="A949" s="758"/>
      <c r="B949" s="737"/>
      <c r="C949" s="730"/>
      <c r="D949" s="739"/>
      <c r="E949" s="765"/>
      <c r="F949" s="765"/>
      <c r="G949" s="765"/>
      <c r="H949" s="765"/>
      <c r="I949" s="746" t="str">
        <f t="shared" si="43"/>
        <v/>
      </c>
      <c r="J949" s="731"/>
      <c r="K949" s="731" t="str">
        <f t="shared" si="42"/>
        <v/>
      </c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32"/>
      <c r="AB949" s="732"/>
      <c r="AC949" s="732"/>
      <c r="AD949" s="732"/>
      <c r="AE949" s="733"/>
      <c r="AF949" s="734" t="str">
        <f t="shared" si="44"/>
        <v/>
      </c>
      <c r="AG949" s="773"/>
    </row>
    <row r="950" spans="1:64" ht="18.75" x14ac:dyDescent="0.25">
      <c r="A950" s="758"/>
      <c r="B950" s="737"/>
      <c r="C950" s="730"/>
      <c r="D950" s="739"/>
      <c r="E950" s="765"/>
      <c r="F950" s="765"/>
      <c r="G950" s="765"/>
      <c r="H950" s="765"/>
      <c r="I950" s="746" t="str">
        <f t="shared" si="43"/>
        <v/>
      </c>
      <c r="J950" s="731"/>
      <c r="K950" s="731" t="str">
        <f t="shared" si="42"/>
        <v/>
      </c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32"/>
      <c r="AB950" s="732"/>
      <c r="AC950" s="732"/>
      <c r="AD950" s="732"/>
      <c r="AE950" s="733"/>
      <c r="AF950" s="734" t="str">
        <f t="shared" si="44"/>
        <v/>
      </c>
      <c r="AG950" s="773"/>
    </row>
    <row r="951" spans="1:64" ht="18.75" x14ac:dyDescent="0.25">
      <c r="A951" s="758"/>
      <c r="B951" s="737"/>
      <c r="C951" s="730"/>
      <c r="D951" s="739"/>
      <c r="E951" s="765"/>
      <c r="F951" s="765"/>
      <c r="G951" s="765"/>
      <c r="H951" s="765"/>
      <c r="I951" s="746" t="str">
        <f t="shared" si="43"/>
        <v/>
      </c>
      <c r="J951" s="731"/>
      <c r="K951" s="731" t="str">
        <f t="shared" si="42"/>
        <v/>
      </c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32"/>
      <c r="AB951" s="732"/>
      <c r="AC951" s="732"/>
      <c r="AD951" s="732"/>
      <c r="AE951" s="733"/>
      <c r="AF951" s="734" t="str">
        <f t="shared" si="44"/>
        <v/>
      </c>
      <c r="AG951" s="773"/>
    </row>
    <row r="952" spans="1:64" ht="18.75" x14ac:dyDescent="0.25">
      <c r="A952" s="758"/>
      <c r="B952" s="737"/>
      <c r="C952" s="730"/>
      <c r="D952" s="739"/>
      <c r="E952" s="765"/>
      <c r="F952" s="765"/>
      <c r="G952" s="765"/>
      <c r="H952" s="765"/>
      <c r="I952" s="746" t="str">
        <f t="shared" si="43"/>
        <v/>
      </c>
      <c r="J952" s="731"/>
      <c r="K952" s="731" t="str">
        <f t="shared" si="42"/>
        <v/>
      </c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32"/>
      <c r="AB952" s="732"/>
      <c r="AC952" s="732"/>
      <c r="AD952" s="732"/>
      <c r="AE952" s="733"/>
      <c r="AF952" s="734" t="str">
        <f t="shared" si="44"/>
        <v/>
      </c>
      <c r="AG952" s="773"/>
    </row>
    <row r="953" spans="1:64" ht="18.75" x14ac:dyDescent="0.25">
      <c r="A953" s="758"/>
      <c r="B953" s="737"/>
      <c r="C953" s="730"/>
      <c r="D953" s="739"/>
      <c r="E953" s="765"/>
      <c r="F953" s="765"/>
      <c r="G953" s="765"/>
      <c r="H953" s="765"/>
      <c r="I953" s="746" t="str">
        <f t="shared" si="43"/>
        <v/>
      </c>
      <c r="J953" s="731"/>
      <c r="K953" s="731" t="str">
        <f t="shared" si="42"/>
        <v/>
      </c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32"/>
      <c r="AB953" s="732"/>
      <c r="AC953" s="732"/>
      <c r="AD953" s="732"/>
      <c r="AE953" s="733"/>
      <c r="AF953" s="734" t="str">
        <f t="shared" si="44"/>
        <v/>
      </c>
      <c r="AG953" s="773"/>
    </row>
    <row r="954" spans="1:64" ht="18.75" x14ac:dyDescent="0.25">
      <c r="A954" s="758"/>
      <c r="B954" s="737"/>
      <c r="C954" s="730"/>
      <c r="D954" s="739"/>
      <c r="E954" s="765"/>
      <c r="F954" s="765"/>
      <c r="G954" s="765"/>
      <c r="H954" s="765"/>
      <c r="I954" s="746" t="str">
        <f t="shared" si="43"/>
        <v/>
      </c>
      <c r="J954" s="731"/>
      <c r="K954" s="731" t="str">
        <f t="shared" si="42"/>
        <v/>
      </c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32"/>
      <c r="AB954" s="732"/>
      <c r="AC954" s="732"/>
      <c r="AD954" s="732"/>
      <c r="AE954" s="733"/>
      <c r="AF954" s="734" t="str">
        <f t="shared" si="44"/>
        <v/>
      </c>
      <c r="AG954" s="773"/>
    </row>
    <row r="955" spans="1:64" ht="18.75" x14ac:dyDescent="0.25">
      <c r="A955" s="758"/>
      <c r="B955" s="737"/>
      <c r="C955" s="730"/>
      <c r="D955" s="739"/>
      <c r="E955" s="765"/>
      <c r="F955" s="765"/>
      <c r="G955" s="765"/>
      <c r="H955" s="765"/>
      <c r="I955" s="746" t="str">
        <f t="shared" si="43"/>
        <v/>
      </c>
      <c r="J955" s="731"/>
      <c r="K955" s="731" t="str">
        <f t="shared" si="42"/>
        <v/>
      </c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32"/>
      <c r="AB955" s="732"/>
      <c r="AC955" s="732"/>
      <c r="AD955" s="732"/>
      <c r="AE955" s="733"/>
      <c r="AF955" s="734" t="str">
        <f t="shared" si="44"/>
        <v/>
      </c>
      <c r="AG955" s="773"/>
    </row>
    <row r="956" spans="1:64" ht="18.75" x14ac:dyDescent="0.25">
      <c r="A956" s="758"/>
      <c r="B956" s="737"/>
      <c r="C956" s="730"/>
      <c r="D956" s="739"/>
      <c r="E956" s="765"/>
      <c r="F956" s="765"/>
      <c r="G956" s="765"/>
      <c r="H956" s="765"/>
      <c r="I956" s="746" t="str">
        <f t="shared" si="43"/>
        <v/>
      </c>
      <c r="J956" s="731"/>
      <c r="K956" s="731" t="str">
        <f t="shared" si="42"/>
        <v/>
      </c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32"/>
      <c r="AB956" s="732"/>
      <c r="AC956" s="732"/>
      <c r="AD956" s="732"/>
      <c r="AE956" s="733"/>
      <c r="AF956" s="734" t="str">
        <f t="shared" si="44"/>
        <v/>
      </c>
      <c r="AG956" s="773"/>
    </row>
    <row r="957" spans="1:64" ht="18.75" x14ac:dyDescent="0.25">
      <c r="A957" s="758"/>
      <c r="B957" s="737"/>
      <c r="C957" s="730"/>
      <c r="D957" s="739"/>
      <c r="E957" s="765"/>
      <c r="F957" s="765"/>
      <c r="G957" s="765"/>
      <c r="H957" s="765"/>
      <c r="I957" s="746" t="str">
        <f t="shared" si="43"/>
        <v/>
      </c>
      <c r="J957" s="731"/>
      <c r="K957" s="731" t="str">
        <f t="shared" si="42"/>
        <v/>
      </c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32"/>
      <c r="AB957" s="732"/>
      <c r="AC957" s="732"/>
      <c r="AD957" s="732"/>
      <c r="AE957" s="733"/>
      <c r="AF957" s="734" t="str">
        <f t="shared" si="44"/>
        <v/>
      </c>
      <c r="AG957" s="773"/>
    </row>
    <row r="958" spans="1:64" ht="18.75" x14ac:dyDescent="0.25">
      <c r="A958" s="758"/>
      <c r="B958" s="737"/>
      <c r="C958" s="730"/>
      <c r="D958" s="739"/>
      <c r="E958" s="765"/>
      <c r="F958" s="765"/>
      <c r="G958" s="765"/>
      <c r="H958" s="765"/>
      <c r="I958" s="746" t="str">
        <f t="shared" si="43"/>
        <v/>
      </c>
      <c r="J958" s="731"/>
      <c r="K958" s="731" t="str">
        <f t="shared" si="42"/>
        <v/>
      </c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32"/>
      <c r="AB958" s="732"/>
      <c r="AC958" s="732"/>
      <c r="AD958" s="732"/>
      <c r="AE958" s="733"/>
      <c r="AF958" s="734" t="str">
        <f t="shared" si="44"/>
        <v/>
      </c>
      <c r="AG958" s="773"/>
    </row>
    <row r="959" spans="1:64" ht="18.75" x14ac:dyDescent="0.25">
      <c r="A959" s="758"/>
      <c r="B959" s="737"/>
      <c r="C959" s="730"/>
      <c r="D959" s="739"/>
      <c r="E959" s="765"/>
      <c r="F959" s="765"/>
      <c r="G959" s="765"/>
      <c r="H959" s="765"/>
      <c r="I959" s="746" t="str">
        <f t="shared" si="43"/>
        <v/>
      </c>
      <c r="J959" s="731"/>
      <c r="K959" s="731" t="str">
        <f t="shared" si="42"/>
        <v/>
      </c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32"/>
      <c r="AB959" s="732"/>
      <c r="AC959" s="732"/>
      <c r="AD959" s="732"/>
      <c r="AE959" s="733"/>
      <c r="AF959" s="734" t="str">
        <f t="shared" si="44"/>
        <v/>
      </c>
      <c r="AG959" s="774"/>
      <c r="AH959" s="778"/>
      <c r="AI959" s="736"/>
      <c r="AJ959" s="736"/>
      <c r="AK959" s="736"/>
      <c r="AL959" s="736"/>
      <c r="AM959" s="736"/>
      <c r="AN959" s="736"/>
      <c r="AO959" s="736"/>
      <c r="AP959" s="736"/>
      <c r="AQ959" s="736"/>
      <c r="AR959" s="736"/>
      <c r="AS959" s="736"/>
      <c r="AT959" s="736"/>
      <c r="AU959" s="736"/>
      <c r="AV959" s="736"/>
      <c r="AW959" s="736"/>
      <c r="AX959" s="736"/>
      <c r="AY959" s="736"/>
      <c r="AZ959" s="736"/>
      <c r="BA959" s="736"/>
      <c r="BB959" s="736"/>
      <c r="BC959" s="736"/>
      <c r="BD959" s="736"/>
      <c r="BE959" s="736"/>
      <c r="BF959" s="736"/>
      <c r="BG959" s="736"/>
      <c r="BH959" s="736"/>
      <c r="BI959" s="736"/>
      <c r="BJ959" s="736"/>
      <c r="BK959" s="736"/>
      <c r="BL959" s="736"/>
    </row>
    <row r="960" spans="1:64" ht="18.75" x14ac:dyDescent="0.25">
      <c r="A960" s="758"/>
      <c r="B960" s="737"/>
      <c r="C960" s="730"/>
      <c r="D960" s="739"/>
      <c r="E960" s="765"/>
      <c r="F960" s="765"/>
      <c r="G960" s="765"/>
      <c r="H960" s="765"/>
      <c r="I960" s="746" t="str">
        <f t="shared" si="43"/>
        <v/>
      </c>
      <c r="J960" s="731"/>
      <c r="K960" s="731" t="str">
        <f t="shared" si="42"/>
        <v/>
      </c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32"/>
      <c r="AB960" s="732"/>
      <c r="AC960" s="732"/>
      <c r="AD960" s="732"/>
      <c r="AE960" s="733"/>
      <c r="AF960" s="734" t="str">
        <f t="shared" si="44"/>
        <v/>
      </c>
      <c r="AG960" s="774"/>
      <c r="AH960" s="778"/>
      <c r="AI960" s="736"/>
      <c r="AJ960" s="736"/>
      <c r="AK960" s="736"/>
      <c r="AL960" s="736"/>
      <c r="AM960" s="736"/>
      <c r="AN960" s="736"/>
      <c r="AO960" s="736"/>
      <c r="AP960" s="736"/>
      <c r="AQ960" s="736"/>
      <c r="AR960" s="736"/>
      <c r="AS960" s="736"/>
      <c r="AT960" s="736"/>
      <c r="AU960" s="736"/>
      <c r="AV960" s="736"/>
      <c r="AW960" s="736"/>
      <c r="AX960" s="736"/>
      <c r="AY960" s="736"/>
      <c r="AZ960" s="736"/>
      <c r="BA960" s="736"/>
      <c r="BB960" s="736"/>
      <c r="BC960" s="736"/>
      <c r="BD960" s="736"/>
      <c r="BE960" s="736"/>
      <c r="BF960" s="736"/>
      <c r="BG960" s="736"/>
      <c r="BH960" s="736"/>
      <c r="BI960" s="736"/>
      <c r="BJ960" s="736"/>
      <c r="BK960" s="736"/>
      <c r="BL960" s="736"/>
    </row>
    <row r="961" spans="1:64" ht="18.75" x14ac:dyDescent="0.25">
      <c r="A961" s="758"/>
      <c r="B961" s="737"/>
      <c r="C961" s="730"/>
      <c r="D961" s="739"/>
      <c r="E961" s="765"/>
      <c r="F961" s="765"/>
      <c r="G961" s="765"/>
      <c r="H961" s="765"/>
      <c r="I961" s="746" t="str">
        <f t="shared" si="43"/>
        <v/>
      </c>
      <c r="J961" s="731"/>
      <c r="K961" s="731" t="str">
        <f t="shared" si="42"/>
        <v/>
      </c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32"/>
      <c r="AB961" s="732"/>
      <c r="AC961" s="732"/>
      <c r="AD961" s="732"/>
      <c r="AE961" s="733"/>
      <c r="AF961" s="734" t="str">
        <f t="shared" si="44"/>
        <v/>
      </c>
      <c r="AG961" s="773"/>
    </row>
    <row r="962" spans="1:64" ht="18.75" x14ac:dyDescent="0.25">
      <c r="A962" s="758"/>
      <c r="B962" s="737"/>
      <c r="C962" s="730"/>
      <c r="D962" s="739"/>
      <c r="E962" s="765"/>
      <c r="F962" s="765"/>
      <c r="G962" s="765"/>
      <c r="H962" s="765"/>
      <c r="I962" s="746" t="str">
        <f t="shared" si="43"/>
        <v/>
      </c>
      <c r="J962" s="731"/>
      <c r="K962" s="731" t="str">
        <f t="shared" si="42"/>
        <v/>
      </c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32"/>
      <c r="AB962" s="732"/>
      <c r="AC962" s="732"/>
      <c r="AD962" s="732"/>
      <c r="AE962" s="733"/>
      <c r="AF962" s="734" t="str">
        <f t="shared" si="44"/>
        <v/>
      </c>
      <c r="AG962" s="773"/>
    </row>
    <row r="963" spans="1:64" ht="18.75" x14ac:dyDescent="0.25">
      <c r="A963" s="758"/>
      <c r="B963" s="737"/>
      <c r="C963" s="730"/>
      <c r="D963" s="739"/>
      <c r="E963" s="765"/>
      <c r="F963" s="765"/>
      <c r="G963" s="765"/>
      <c r="H963" s="765"/>
      <c r="I963" s="746" t="str">
        <f t="shared" si="43"/>
        <v/>
      </c>
      <c r="J963" s="731"/>
      <c r="K963" s="731" t="str">
        <f t="shared" si="42"/>
        <v/>
      </c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32"/>
      <c r="AB963" s="732"/>
      <c r="AC963" s="732"/>
      <c r="AD963" s="732"/>
      <c r="AE963" s="733"/>
      <c r="AF963" s="734" t="str">
        <f t="shared" si="44"/>
        <v/>
      </c>
      <c r="AG963" s="774"/>
      <c r="AH963" s="778"/>
      <c r="AI963" s="736"/>
      <c r="AJ963" s="736"/>
      <c r="AK963" s="736"/>
      <c r="AL963" s="736"/>
      <c r="AM963" s="736"/>
      <c r="AN963" s="736"/>
      <c r="AO963" s="736"/>
      <c r="AP963" s="736"/>
      <c r="AQ963" s="736"/>
      <c r="AR963" s="736"/>
      <c r="AS963" s="736"/>
      <c r="AT963" s="736"/>
      <c r="AU963" s="736"/>
      <c r="AV963" s="736"/>
      <c r="AW963" s="736"/>
      <c r="AX963" s="736"/>
      <c r="AY963" s="736"/>
      <c r="AZ963" s="736"/>
      <c r="BA963" s="736"/>
      <c r="BB963" s="736"/>
      <c r="BC963" s="736"/>
      <c r="BD963" s="736"/>
      <c r="BE963" s="736"/>
      <c r="BF963" s="736"/>
      <c r="BG963" s="736"/>
      <c r="BH963" s="736"/>
      <c r="BI963" s="736"/>
      <c r="BJ963" s="736"/>
      <c r="BK963" s="736"/>
      <c r="BL963" s="736"/>
    </row>
    <row r="964" spans="1:64" ht="18.75" x14ac:dyDescent="0.25">
      <c r="A964" s="758"/>
      <c r="B964" s="737"/>
      <c r="C964" s="730"/>
      <c r="D964" s="739"/>
      <c r="E964" s="765"/>
      <c r="F964" s="765"/>
      <c r="G964" s="765"/>
      <c r="H964" s="765"/>
      <c r="I964" s="746" t="str">
        <f t="shared" si="43"/>
        <v/>
      </c>
      <c r="J964" s="731"/>
      <c r="K964" s="731" t="str">
        <f t="shared" ref="K964:K1027" si="45">IF(AA964-AE964 = 0,"",AA964-AE964)</f>
        <v/>
      </c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32"/>
      <c r="AB964" s="732"/>
      <c r="AC964" s="732"/>
      <c r="AD964" s="732"/>
      <c r="AE964" s="733"/>
      <c r="AF964" s="734" t="str">
        <f t="shared" si="44"/>
        <v/>
      </c>
      <c r="AG964" s="773"/>
    </row>
    <row r="965" spans="1:64" ht="18.75" x14ac:dyDescent="0.25">
      <c r="A965" s="758"/>
      <c r="B965" s="737"/>
      <c r="C965" s="730"/>
      <c r="D965" s="739"/>
      <c r="E965" s="765"/>
      <c r="F965" s="765"/>
      <c r="G965" s="765"/>
      <c r="H965" s="765"/>
      <c r="I965" s="746" t="str">
        <f t="shared" ref="I965:I1028" si="46">AF965</f>
        <v/>
      </c>
      <c r="J965" s="731"/>
      <c r="K965" s="731" t="str">
        <f t="shared" si="45"/>
        <v/>
      </c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32"/>
      <c r="AB965" s="732"/>
      <c r="AC965" s="732"/>
      <c r="AD965" s="732"/>
      <c r="AE965" s="733"/>
      <c r="AF965" s="734" t="str">
        <f t="shared" ref="AF965:AF1028" si="47">IF(AE965 &lt;&gt;"", AE965/AA965,"")</f>
        <v/>
      </c>
      <c r="AG965" s="773"/>
    </row>
    <row r="966" spans="1:64" ht="18.75" x14ac:dyDescent="0.25">
      <c r="A966" s="758"/>
      <c r="B966" s="737"/>
      <c r="C966" s="730"/>
      <c r="D966" s="739"/>
      <c r="E966" s="765"/>
      <c r="F966" s="765"/>
      <c r="G966" s="765"/>
      <c r="H966" s="765"/>
      <c r="I966" s="746" t="str">
        <f t="shared" si="46"/>
        <v/>
      </c>
      <c r="J966" s="731"/>
      <c r="K966" s="731" t="str">
        <f t="shared" si="45"/>
        <v/>
      </c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32"/>
      <c r="AB966" s="732"/>
      <c r="AC966" s="732"/>
      <c r="AD966" s="732"/>
      <c r="AE966" s="733"/>
      <c r="AF966" s="734" t="str">
        <f t="shared" si="47"/>
        <v/>
      </c>
      <c r="AG966" s="774"/>
      <c r="AH966" s="778"/>
      <c r="AI966" s="736"/>
      <c r="AJ966" s="736"/>
      <c r="AK966" s="736"/>
      <c r="AL966" s="736"/>
      <c r="AM966" s="736"/>
      <c r="AN966" s="736"/>
      <c r="AO966" s="736"/>
      <c r="AP966" s="736"/>
      <c r="AQ966" s="736"/>
      <c r="AR966" s="736"/>
      <c r="AS966" s="736"/>
      <c r="AT966" s="736"/>
      <c r="AU966" s="736"/>
      <c r="AV966" s="736"/>
      <c r="AW966" s="736"/>
      <c r="AX966" s="736"/>
      <c r="AY966" s="736"/>
      <c r="AZ966" s="736"/>
      <c r="BA966" s="736"/>
      <c r="BB966" s="736"/>
      <c r="BC966" s="736"/>
      <c r="BD966" s="736"/>
      <c r="BE966" s="736"/>
      <c r="BF966" s="736"/>
      <c r="BG966" s="736"/>
      <c r="BH966" s="736"/>
      <c r="BI966" s="736"/>
      <c r="BJ966" s="736"/>
      <c r="BK966" s="736"/>
      <c r="BL966" s="736"/>
    </row>
    <row r="967" spans="1:64" ht="18.75" x14ac:dyDescent="0.25">
      <c r="A967" s="758"/>
      <c r="B967" s="737"/>
      <c r="C967" s="730"/>
      <c r="D967" s="739"/>
      <c r="E967" s="765"/>
      <c r="F967" s="765"/>
      <c r="G967" s="765"/>
      <c r="H967" s="765"/>
      <c r="I967" s="746" t="str">
        <f t="shared" si="46"/>
        <v/>
      </c>
      <c r="J967" s="731"/>
      <c r="K967" s="731" t="str">
        <f t="shared" si="45"/>
        <v/>
      </c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32"/>
      <c r="AB967" s="732"/>
      <c r="AC967" s="732"/>
      <c r="AD967" s="732"/>
      <c r="AE967" s="733"/>
      <c r="AF967" s="734" t="str">
        <f t="shared" si="47"/>
        <v/>
      </c>
      <c r="AG967" s="773"/>
    </row>
    <row r="968" spans="1:64" ht="18.75" x14ac:dyDescent="0.25">
      <c r="A968" s="758"/>
      <c r="B968" s="737"/>
      <c r="C968" s="730"/>
      <c r="D968" s="739"/>
      <c r="E968" s="765"/>
      <c r="F968" s="765"/>
      <c r="G968" s="765"/>
      <c r="H968" s="765"/>
      <c r="I968" s="746" t="str">
        <f t="shared" si="46"/>
        <v/>
      </c>
      <c r="J968" s="731"/>
      <c r="K968" s="731" t="str">
        <f t="shared" si="45"/>
        <v/>
      </c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32"/>
      <c r="AB968" s="732"/>
      <c r="AC968" s="732"/>
      <c r="AD968" s="732"/>
      <c r="AE968" s="733"/>
      <c r="AF968" s="734" t="str">
        <f t="shared" si="47"/>
        <v/>
      </c>
      <c r="AG968" s="774"/>
      <c r="AH968" s="778"/>
      <c r="AI968" s="736"/>
      <c r="AJ968" s="736"/>
      <c r="AK968" s="736"/>
      <c r="AL968" s="736"/>
      <c r="AM968" s="736"/>
      <c r="AN968" s="736"/>
      <c r="AO968" s="736"/>
      <c r="AP968" s="736"/>
      <c r="AQ968" s="736"/>
      <c r="AR968" s="736"/>
      <c r="AS968" s="736"/>
      <c r="AT968" s="736"/>
      <c r="AU968" s="736"/>
      <c r="AV968" s="736"/>
      <c r="AW968" s="736"/>
      <c r="AX968" s="736"/>
      <c r="AY968" s="736"/>
      <c r="AZ968" s="736"/>
      <c r="BA968" s="736"/>
      <c r="BB968" s="736"/>
      <c r="BC968" s="736"/>
      <c r="BD968" s="736"/>
      <c r="BE968" s="736"/>
      <c r="BF968" s="736"/>
      <c r="BG968" s="736"/>
      <c r="BH968" s="736"/>
      <c r="BI968" s="736"/>
      <c r="BJ968" s="736"/>
      <c r="BK968" s="736"/>
      <c r="BL968" s="736"/>
    </row>
    <row r="969" spans="1:64" ht="18.75" x14ac:dyDescent="0.25">
      <c r="A969" s="758"/>
      <c r="B969" s="737"/>
      <c r="C969" s="730"/>
      <c r="D969" s="739"/>
      <c r="E969" s="765"/>
      <c r="F969" s="765"/>
      <c r="G969" s="765"/>
      <c r="H969" s="765"/>
      <c r="I969" s="746" t="str">
        <f t="shared" si="46"/>
        <v/>
      </c>
      <c r="J969" s="731"/>
      <c r="K969" s="731" t="str">
        <f t="shared" si="45"/>
        <v/>
      </c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32"/>
      <c r="AB969" s="732"/>
      <c r="AC969" s="732"/>
      <c r="AD969" s="732"/>
      <c r="AE969" s="733"/>
      <c r="AF969" s="734" t="str">
        <f t="shared" si="47"/>
        <v/>
      </c>
      <c r="AG969" s="774"/>
      <c r="AH969" s="778"/>
      <c r="AI969" s="736"/>
      <c r="AJ969" s="736"/>
      <c r="AK969" s="736"/>
      <c r="AL969" s="736"/>
      <c r="AM969" s="736"/>
      <c r="AN969" s="736"/>
      <c r="AO969" s="736"/>
      <c r="AP969" s="736"/>
      <c r="AQ969" s="736"/>
      <c r="AR969" s="736"/>
      <c r="AS969" s="736"/>
      <c r="AT969" s="736"/>
      <c r="AU969" s="736"/>
      <c r="AV969" s="736"/>
      <c r="AW969" s="736"/>
      <c r="AX969" s="736"/>
      <c r="AY969" s="736"/>
      <c r="AZ969" s="736"/>
      <c r="BA969" s="736"/>
      <c r="BB969" s="736"/>
      <c r="BC969" s="736"/>
      <c r="BD969" s="736"/>
      <c r="BE969" s="736"/>
      <c r="BF969" s="736"/>
      <c r="BG969" s="736"/>
      <c r="BH969" s="736"/>
      <c r="BI969" s="736"/>
      <c r="BJ969" s="736"/>
      <c r="BK969" s="736"/>
      <c r="BL969" s="736"/>
    </row>
    <row r="970" spans="1:64" ht="18.75" x14ac:dyDescent="0.25">
      <c r="A970" s="758"/>
      <c r="B970" s="737"/>
      <c r="C970" s="730"/>
      <c r="D970" s="739"/>
      <c r="E970" s="765"/>
      <c r="F970" s="765"/>
      <c r="G970" s="765"/>
      <c r="H970" s="765"/>
      <c r="I970" s="746" t="str">
        <f t="shared" si="46"/>
        <v/>
      </c>
      <c r="J970" s="731"/>
      <c r="K970" s="731" t="str">
        <f t="shared" si="45"/>
        <v/>
      </c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32"/>
      <c r="AB970" s="732"/>
      <c r="AC970" s="732"/>
      <c r="AD970" s="732"/>
      <c r="AE970" s="733"/>
      <c r="AF970" s="734" t="str">
        <f t="shared" si="47"/>
        <v/>
      </c>
      <c r="AG970" s="773"/>
    </row>
    <row r="971" spans="1:64" ht="18.75" x14ac:dyDescent="0.25">
      <c r="A971" s="758"/>
      <c r="B971" s="737"/>
      <c r="C971" s="730"/>
      <c r="D971" s="739"/>
      <c r="E971" s="765"/>
      <c r="F971" s="765"/>
      <c r="G971" s="765"/>
      <c r="H971" s="765"/>
      <c r="I971" s="746" t="str">
        <f t="shared" si="46"/>
        <v/>
      </c>
      <c r="J971" s="731"/>
      <c r="K971" s="731" t="str">
        <f t="shared" si="45"/>
        <v/>
      </c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32"/>
      <c r="AB971" s="732"/>
      <c r="AC971" s="732"/>
      <c r="AD971" s="732"/>
      <c r="AE971" s="733"/>
      <c r="AF971" s="734" t="str">
        <f t="shared" si="47"/>
        <v/>
      </c>
      <c r="AG971" s="774"/>
      <c r="AH971" s="778"/>
      <c r="AI971" s="736"/>
      <c r="AJ971" s="736"/>
      <c r="AK971" s="736"/>
      <c r="AL971" s="736"/>
      <c r="AM971" s="736"/>
      <c r="AN971" s="736"/>
      <c r="AO971" s="736"/>
      <c r="AP971" s="736"/>
      <c r="AQ971" s="736"/>
      <c r="AR971" s="736"/>
      <c r="AS971" s="736"/>
      <c r="AT971" s="736"/>
      <c r="AU971" s="736"/>
      <c r="AV971" s="736"/>
      <c r="AW971" s="736"/>
      <c r="AX971" s="736"/>
      <c r="AY971" s="736"/>
      <c r="AZ971" s="736"/>
      <c r="BA971" s="736"/>
      <c r="BB971" s="736"/>
      <c r="BC971" s="736"/>
      <c r="BD971" s="736"/>
      <c r="BE971" s="736"/>
      <c r="BF971" s="736"/>
      <c r="BG971" s="736"/>
      <c r="BH971" s="736"/>
      <c r="BI971" s="736"/>
      <c r="BJ971" s="736"/>
      <c r="BK971" s="736"/>
      <c r="BL971" s="736"/>
    </row>
    <row r="972" spans="1:64" ht="18.75" x14ac:dyDescent="0.25">
      <c r="A972" s="758"/>
      <c r="B972" s="737"/>
      <c r="C972" s="730"/>
      <c r="D972" s="739"/>
      <c r="E972" s="765"/>
      <c r="F972" s="765"/>
      <c r="G972" s="765"/>
      <c r="H972" s="765"/>
      <c r="I972" s="746" t="str">
        <f t="shared" si="46"/>
        <v/>
      </c>
      <c r="J972" s="731"/>
      <c r="K972" s="731" t="str">
        <f t="shared" si="45"/>
        <v/>
      </c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32"/>
      <c r="AB972" s="732"/>
      <c r="AC972" s="732"/>
      <c r="AD972" s="732"/>
      <c r="AE972" s="733"/>
      <c r="AF972" s="734" t="str">
        <f t="shared" si="47"/>
        <v/>
      </c>
      <c r="AG972" s="773"/>
    </row>
    <row r="973" spans="1:64" ht="18.75" x14ac:dyDescent="0.25">
      <c r="A973" s="758"/>
      <c r="B973" s="737"/>
      <c r="C973" s="730"/>
      <c r="D973" s="739"/>
      <c r="E973" s="765"/>
      <c r="F973" s="765"/>
      <c r="G973" s="765"/>
      <c r="H973" s="765"/>
      <c r="I973" s="746" t="str">
        <f t="shared" si="46"/>
        <v/>
      </c>
      <c r="J973" s="731"/>
      <c r="K973" s="731" t="str">
        <f t="shared" si="45"/>
        <v/>
      </c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32"/>
      <c r="AB973" s="732"/>
      <c r="AC973" s="732"/>
      <c r="AD973" s="732"/>
      <c r="AE973" s="733"/>
      <c r="AF973" s="734" t="str">
        <f t="shared" si="47"/>
        <v/>
      </c>
      <c r="AG973" s="774"/>
      <c r="AH973" s="778"/>
      <c r="AI973" s="736"/>
      <c r="AJ973" s="736"/>
      <c r="AK973" s="736"/>
      <c r="AL973" s="736"/>
      <c r="AM973" s="736"/>
      <c r="AN973" s="736"/>
      <c r="AO973" s="736"/>
      <c r="AP973" s="736"/>
      <c r="AQ973" s="736"/>
      <c r="AR973" s="736"/>
      <c r="AS973" s="736"/>
      <c r="AT973" s="736"/>
      <c r="AU973" s="736"/>
      <c r="AV973" s="736"/>
      <c r="AW973" s="736"/>
      <c r="AX973" s="736"/>
      <c r="AY973" s="736"/>
      <c r="AZ973" s="736"/>
      <c r="BA973" s="736"/>
      <c r="BB973" s="736"/>
      <c r="BC973" s="736"/>
      <c r="BD973" s="736"/>
      <c r="BE973" s="736"/>
      <c r="BF973" s="736"/>
      <c r="BG973" s="736"/>
      <c r="BH973" s="736"/>
      <c r="BI973" s="736"/>
      <c r="BJ973" s="736"/>
      <c r="BK973" s="736"/>
      <c r="BL973" s="736"/>
    </row>
    <row r="974" spans="1:64" ht="18.75" x14ac:dyDescent="0.25">
      <c r="A974" s="758"/>
      <c r="B974" s="737"/>
      <c r="C974" s="730"/>
      <c r="D974" s="739"/>
      <c r="E974" s="765"/>
      <c r="F974" s="765"/>
      <c r="G974" s="765"/>
      <c r="H974" s="765"/>
      <c r="I974" s="746" t="str">
        <f t="shared" si="46"/>
        <v/>
      </c>
      <c r="J974" s="731"/>
      <c r="K974" s="731" t="str">
        <f t="shared" si="45"/>
        <v/>
      </c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32"/>
      <c r="AB974" s="732"/>
      <c r="AC974" s="732"/>
      <c r="AD974" s="732"/>
      <c r="AE974" s="733"/>
      <c r="AF974" s="734" t="str">
        <f t="shared" si="47"/>
        <v/>
      </c>
      <c r="AG974" s="774"/>
      <c r="AH974" s="778"/>
      <c r="AI974" s="736"/>
      <c r="AJ974" s="736"/>
      <c r="AK974" s="736"/>
      <c r="AL974" s="736"/>
      <c r="AM974" s="736"/>
      <c r="AN974" s="736"/>
      <c r="AO974" s="736"/>
      <c r="AP974" s="736"/>
      <c r="AQ974" s="736"/>
      <c r="AR974" s="736"/>
      <c r="AS974" s="736"/>
      <c r="AT974" s="736"/>
      <c r="AU974" s="736"/>
      <c r="AV974" s="736"/>
      <c r="AW974" s="736"/>
      <c r="AX974" s="736"/>
      <c r="AY974" s="736"/>
      <c r="AZ974" s="736"/>
      <c r="BA974" s="736"/>
      <c r="BB974" s="736"/>
      <c r="BC974" s="736"/>
      <c r="BD974" s="736"/>
      <c r="BE974" s="736"/>
      <c r="BF974" s="736"/>
      <c r="BG974" s="736"/>
      <c r="BH974" s="736"/>
      <c r="BI974" s="736"/>
      <c r="BJ974" s="736"/>
      <c r="BK974" s="736"/>
      <c r="BL974" s="736"/>
    </row>
    <row r="975" spans="1:64" ht="18.75" x14ac:dyDescent="0.25">
      <c r="A975" s="758"/>
      <c r="B975" s="737"/>
      <c r="C975" s="730"/>
      <c r="D975" s="739"/>
      <c r="E975" s="765"/>
      <c r="F975" s="765"/>
      <c r="G975" s="765"/>
      <c r="H975" s="765"/>
      <c r="I975" s="746" t="str">
        <f t="shared" si="46"/>
        <v/>
      </c>
      <c r="J975" s="731"/>
      <c r="K975" s="731" t="str">
        <f t="shared" si="45"/>
        <v/>
      </c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32"/>
      <c r="AB975" s="732"/>
      <c r="AC975" s="732"/>
      <c r="AD975" s="732"/>
      <c r="AE975" s="733"/>
      <c r="AF975" s="734" t="str">
        <f t="shared" si="47"/>
        <v/>
      </c>
      <c r="AG975" s="774"/>
      <c r="AH975" s="778"/>
      <c r="AI975" s="736"/>
      <c r="AJ975" s="736"/>
      <c r="AK975" s="736"/>
      <c r="AL975" s="736"/>
      <c r="AM975" s="736"/>
      <c r="AN975" s="736"/>
      <c r="AO975" s="736"/>
      <c r="AP975" s="736"/>
      <c r="AQ975" s="736"/>
      <c r="AR975" s="736"/>
      <c r="AS975" s="736"/>
      <c r="AT975" s="736"/>
      <c r="AU975" s="736"/>
      <c r="AV975" s="736"/>
      <c r="AW975" s="736"/>
      <c r="AX975" s="736"/>
      <c r="AY975" s="736"/>
      <c r="AZ975" s="736"/>
      <c r="BA975" s="736"/>
      <c r="BB975" s="736"/>
      <c r="BC975" s="736"/>
      <c r="BD975" s="736"/>
      <c r="BE975" s="736"/>
      <c r="BF975" s="736"/>
      <c r="BG975" s="736"/>
      <c r="BH975" s="736"/>
      <c r="BI975" s="736"/>
      <c r="BJ975" s="736"/>
      <c r="BK975" s="736"/>
      <c r="BL975" s="736"/>
    </row>
    <row r="976" spans="1:64" ht="18.75" x14ac:dyDescent="0.25">
      <c r="A976" s="758"/>
      <c r="B976" s="737"/>
      <c r="C976" s="730"/>
      <c r="D976" s="739"/>
      <c r="E976" s="765"/>
      <c r="F976" s="765"/>
      <c r="G976" s="765"/>
      <c r="H976" s="765"/>
      <c r="I976" s="746" t="str">
        <f t="shared" si="46"/>
        <v/>
      </c>
      <c r="J976" s="731"/>
      <c r="K976" s="731" t="str">
        <f t="shared" si="45"/>
        <v/>
      </c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32"/>
      <c r="AB976" s="732"/>
      <c r="AC976" s="732"/>
      <c r="AD976" s="732"/>
      <c r="AE976" s="733"/>
      <c r="AF976" s="734" t="str">
        <f t="shared" si="47"/>
        <v/>
      </c>
      <c r="AG976" s="774"/>
      <c r="AH976" s="778"/>
      <c r="AI976" s="736"/>
      <c r="AJ976" s="736"/>
      <c r="AK976" s="736"/>
      <c r="AL976" s="736"/>
      <c r="AM976" s="736"/>
      <c r="AN976" s="736"/>
      <c r="AO976" s="736"/>
      <c r="AP976" s="736"/>
      <c r="AQ976" s="736"/>
      <c r="AR976" s="736"/>
      <c r="AS976" s="736"/>
      <c r="AT976" s="736"/>
      <c r="AU976" s="736"/>
      <c r="AV976" s="736"/>
      <c r="AW976" s="736"/>
      <c r="AX976" s="736"/>
      <c r="AY976" s="736"/>
      <c r="AZ976" s="736"/>
      <c r="BA976" s="736"/>
      <c r="BB976" s="736"/>
      <c r="BC976" s="736"/>
      <c r="BD976" s="736"/>
      <c r="BE976" s="736"/>
      <c r="BF976" s="736"/>
      <c r="BG976" s="736"/>
      <c r="BH976" s="736"/>
      <c r="BI976" s="736"/>
      <c r="BJ976" s="736"/>
      <c r="BK976" s="736"/>
      <c r="BL976" s="736"/>
    </row>
    <row r="977" spans="1:64" ht="18.75" x14ac:dyDescent="0.25">
      <c r="A977" s="758"/>
      <c r="B977" s="737"/>
      <c r="C977" s="730"/>
      <c r="D977" s="739"/>
      <c r="E977" s="765"/>
      <c r="F977" s="765"/>
      <c r="G977" s="765"/>
      <c r="H977" s="765"/>
      <c r="I977" s="746" t="str">
        <f t="shared" si="46"/>
        <v/>
      </c>
      <c r="J977" s="731"/>
      <c r="K977" s="731" t="str">
        <f t="shared" si="45"/>
        <v/>
      </c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32"/>
      <c r="AB977" s="732"/>
      <c r="AC977" s="732"/>
      <c r="AD977" s="732"/>
      <c r="AE977" s="733"/>
      <c r="AF977" s="734" t="str">
        <f t="shared" si="47"/>
        <v/>
      </c>
      <c r="AG977" s="774"/>
      <c r="AH977" s="778"/>
      <c r="AI977" s="736"/>
      <c r="AJ977" s="736"/>
      <c r="AK977" s="736"/>
      <c r="AL977" s="736"/>
      <c r="AM977" s="736"/>
      <c r="AN977" s="736"/>
      <c r="AO977" s="736"/>
      <c r="AP977" s="736"/>
      <c r="AQ977" s="736"/>
      <c r="AR977" s="736"/>
      <c r="AS977" s="736"/>
      <c r="AT977" s="736"/>
      <c r="AU977" s="736"/>
      <c r="AV977" s="736"/>
      <c r="AW977" s="736"/>
      <c r="AX977" s="736"/>
      <c r="AY977" s="736"/>
      <c r="AZ977" s="736"/>
      <c r="BA977" s="736"/>
      <c r="BB977" s="736"/>
      <c r="BC977" s="736"/>
      <c r="BD977" s="736"/>
      <c r="BE977" s="736"/>
      <c r="BF977" s="736"/>
      <c r="BG977" s="736"/>
      <c r="BH977" s="736"/>
      <c r="BI977" s="736"/>
      <c r="BJ977" s="736"/>
      <c r="BK977" s="736"/>
      <c r="BL977" s="736"/>
    </row>
    <row r="978" spans="1:64" ht="18.75" x14ac:dyDescent="0.25">
      <c r="A978" s="758"/>
      <c r="B978" s="737"/>
      <c r="C978" s="730"/>
      <c r="D978" s="739"/>
      <c r="E978" s="765"/>
      <c r="F978" s="765"/>
      <c r="G978" s="765"/>
      <c r="H978" s="765"/>
      <c r="I978" s="746" t="str">
        <f t="shared" si="46"/>
        <v/>
      </c>
      <c r="J978" s="731"/>
      <c r="K978" s="731" t="str">
        <f t="shared" si="45"/>
        <v/>
      </c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32"/>
      <c r="AB978" s="732"/>
      <c r="AC978" s="732"/>
      <c r="AD978" s="732"/>
      <c r="AE978" s="733"/>
      <c r="AF978" s="734" t="str">
        <f t="shared" si="47"/>
        <v/>
      </c>
      <c r="AG978" s="774"/>
      <c r="AH978" s="778"/>
      <c r="AI978" s="736"/>
      <c r="AJ978" s="736"/>
      <c r="AK978" s="736"/>
      <c r="AL978" s="736"/>
      <c r="AM978" s="736"/>
      <c r="AN978" s="736"/>
      <c r="AO978" s="736"/>
      <c r="AP978" s="736"/>
      <c r="AQ978" s="736"/>
      <c r="AR978" s="736"/>
      <c r="AS978" s="736"/>
      <c r="AT978" s="736"/>
      <c r="AU978" s="736"/>
      <c r="AV978" s="736"/>
      <c r="AW978" s="736"/>
      <c r="AX978" s="736"/>
      <c r="AY978" s="736"/>
      <c r="AZ978" s="736"/>
      <c r="BA978" s="736"/>
      <c r="BB978" s="736"/>
      <c r="BC978" s="736"/>
      <c r="BD978" s="736"/>
      <c r="BE978" s="736"/>
      <c r="BF978" s="736"/>
      <c r="BG978" s="736"/>
      <c r="BH978" s="736"/>
      <c r="BI978" s="736"/>
      <c r="BJ978" s="736"/>
      <c r="BK978" s="736"/>
      <c r="BL978" s="736"/>
    </row>
    <row r="979" spans="1:64" ht="18.75" x14ac:dyDescent="0.25">
      <c r="A979" s="758"/>
      <c r="B979" s="737"/>
      <c r="C979" s="730"/>
      <c r="D979" s="739"/>
      <c r="E979" s="765"/>
      <c r="F979" s="765"/>
      <c r="G979" s="765"/>
      <c r="H979" s="765"/>
      <c r="I979" s="746" t="str">
        <f t="shared" si="46"/>
        <v/>
      </c>
      <c r="J979" s="731"/>
      <c r="K979" s="731" t="str">
        <f t="shared" si="45"/>
        <v/>
      </c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32"/>
      <c r="AB979" s="732"/>
      <c r="AC979" s="732"/>
      <c r="AD979" s="732"/>
      <c r="AE979" s="733"/>
      <c r="AF979" s="734" t="str">
        <f t="shared" si="47"/>
        <v/>
      </c>
      <c r="AG979" s="774"/>
      <c r="AH979" s="778"/>
      <c r="AI979" s="736"/>
      <c r="AJ979" s="736"/>
      <c r="AK979" s="736"/>
      <c r="AL979" s="736"/>
      <c r="AM979" s="736"/>
      <c r="AN979" s="736"/>
      <c r="AO979" s="736"/>
      <c r="AP979" s="736"/>
      <c r="AQ979" s="736"/>
      <c r="AR979" s="736"/>
      <c r="AS979" s="736"/>
      <c r="AT979" s="736"/>
      <c r="AU979" s="736"/>
      <c r="AV979" s="736"/>
      <c r="AW979" s="736"/>
      <c r="AX979" s="736"/>
      <c r="AY979" s="736"/>
      <c r="AZ979" s="736"/>
      <c r="BA979" s="736"/>
      <c r="BB979" s="736"/>
      <c r="BC979" s="736"/>
      <c r="BD979" s="736"/>
      <c r="BE979" s="736"/>
      <c r="BF979" s="736"/>
      <c r="BG979" s="736"/>
      <c r="BH979" s="736"/>
      <c r="BI979" s="736"/>
      <c r="BJ979" s="736"/>
      <c r="BK979" s="736"/>
      <c r="BL979" s="736"/>
    </row>
    <row r="980" spans="1:64" ht="18.75" x14ac:dyDescent="0.25">
      <c r="A980" s="758"/>
      <c r="B980" s="737"/>
      <c r="C980" s="730"/>
      <c r="D980" s="739"/>
      <c r="E980" s="765"/>
      <c r="F980" s="765"/>
      <c r="G980" s="765"/>
      <c r="H980" s="765"/>
      <c r="I980" s="746" t="str">
        <f t="shared" si="46"/>
        <v/>
      </c>
      <c r="J980" s="731"/>
      <c r="K980" s="731" t="str">
        <f t="shared" si="45"/>
        <v/>
      </c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32"/>
      <c r="AB980" s="732"/>
      <c r="AC980" s="732"/>
      <c r="AD980" s="732"/>
      <c r="AE980" s="733"/>
      <c r="AF980" s="734" t="str">
        <f t="shared" si="47"/>
        <v/>
      </c>
      <c r="AG980" s="773"/>
    </row>
    <row r="981" spans="1:64" ht="18.75" x14ac:dyDescent="0.25">
      <c r="A981" s="758"/>
      <c r="B981" s="737"/>
      <c r="C981" s="730"/>
      <c r="D981" s="739"/>
      <c r="E981" s="765"/>
      <c r="F981" s="765"/>
      <c r="G981" s="765"/>
      <c r="H981" s="765"/>
      <c r="I981" s="746" t="str">
        <f t="shared" si="46"/>
        <v/>
      </c>
      <c r="J981" s="731"/>
      <c r="K981" s="731" t="str">
        <f t="shared" si="45"/>
        <v/>
      </c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32"/>
      <c r="AB981" s="732"/>
      <c r="AC981" s="732"/>
      <c r="AD981" s="732"/>
      <c r="AE981" s="733"/>
      <c r="AF981" s="734" t="str">
        <f t="shared" si="47"/>
        <v/>
      </c>
      <c r="AG981" s="774"/>
      <c r="AH981" s="778"/>
      <c r="AI981" s="736"/>
      <c r="AJ981" s="736"/>
      <c r="AK981" s="736"/>
      <c r="AL981" s="736"/>
      <c r="AM981" s="736"/>
      <c r="AN981" s="736"/>
      <c r="AO981" s="736"/>
      <c r="AP981" s="736"/>
      <c r="AQ981" s="736"/>
      <c r="AR981" s="736"/>
      <c r="AS981" s="736"/>
      <c r="AT981" s="736"/>
      <c r="AU981" s="736"/>
      <c r="AV981" s="736"/>
      <c r="AW981" s="736"/>
      <c r="AX981" s="736"/>
      <c r="AY981" s="736"/>
      <c r="AZ981" s="736"/>
      <c r="BA981" s="736"/>
      <c r="BB981" s="736"/>
      <c r="BC981" s="736"/>
      <c r="BD981" s="736"/>
      <c r="BE981" s="736"/>
      <c r="BF981" s="736"/>
      <c r="BG981" s="736"/>
      <c r="BH981" s="736"/>
      <c r="BI981" s="736"/>
      <c r="BJ981" s="736"/>
      <c r="BK981" s="736"/>
      <c r="BL981" s="736"/>
    </row>
    <row r="982" spans="1:64" ht="18.75" x14ac:dyDescent="0.25">
      <c r="A982" s="758"/>
      <c r="B982" s="737"/>
      <c r="C982" s="730"/>
      <c r="D982" s="739"/>
      <c r="E982" s="765"/>
      <c r="F982" s="765"/>
      <c r="G982" s="765"/>
      <c r="H982" s="765"/>
      <c r="I982" s="746" t="str">
        <f t="shared" si="46"/>
        <v/>
      </c>
      <c r="J982" s="731"/>
      <c r="K982" s="731" t="str">
        <f t="shared" si="45"/>
        <v/>
      </c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32"/>
      <c r="AB982" s="732"/>
      <c r="AC982" s="732"/>
      <c r="AD982" s="732"/>
      <c r="AE982" s="733"/>
      <c r="AF982" s="734" t="str">
        <f t="shared" si="47"/>
        <v/>
      </c>
      <c r="AG982" s="774"/>
      <c r="AH982" s="778"/>
      <c r="AI982" s="736"/>
      <c r="AJ982" s="736"/>
      <c r="AK982" s="736"/>
      <c r="AL982" s="736"/>
      <c r="AM982" s="736"/>
      <c r="AN982" s="736"/>
      <c r="AO982" s="736"/>
      <c r="AP982" s="736"/>
      <c r="AQ982" s="736"/>
      <c r="AR982" s="736"/>
      <c r="AS982" s="736"/>
      <c r="AT982" s="736"/>
      <c r="AU982" s="736"/>
      <c r="AV982" s="736"/>
      <c r="AW982" s="736"/>
      <c r="AX982" s="736"/>
      <c r="AY982" s="736"/>
      <c r="AZ982" s="736"/>
      <c r="BA982" s="736"/>
      <c r="BB982" s="736"/>
      <c r="BC982" s="736"/>
      <c r="BD982" s="736"/>
      <c r="BE982" s="736"/>
      <c r="BF982" s="736"/>
      <c r="BG982" s="736"/>
      <c r="BH982" s="736"/>
      <c r="BI982" s="736"/>
      <c r="BJ982" s="736"/>
      <c r="BK982" s="736"/>
      <c r="BL982" s="736"/>
    </row>
    <row r="983" spans="1:64" ht="18.75" x14ac:dyDescent="0.25">
      <c r="A983" s="758"/>
      <c r="B983" s="737"/>
      <c r="C983" s="730"/>
      <c r="D983" s="739"/>
      <c r="E983" s="765"/>
      <c r="F983" s="765"/>
      <c r="G983" s="765"/>
      <c r="H983" s="765"/>
      <c r="I983" s="746" t="str">
        <f t="shared" si="46"/>
        <v/>
      </c>
      <c r="J983" s="731"/>
      <c r="K983" s="731" t="str">
        <f t="shared" si="45"/>
        <v/>
      </c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32"/>
      <c r="AB983" s="732"/>
      <c r="AC983" s="732"/>
      <c r="AD983" s="732"/>
      <c r="AE983" s="733"/>
      <c r="AF983" s="734" t="str">
        <f t="shared" si="47"/>
        <v/>
      </c>
      <c r="AG983" s="774"/>
      <c r="AH983" s="778"/>
      <c r="AI983" s="736"/>
      <c r="AJ983" s="736"/>
      <c r="AK983" s="736"/>
      <c r="AL983" s="736"/>
      <c r="AM983" s="736"/>
      <c r="AN983" s="736"/>
      <c r="AO983" s="736"/>
      <c r="AP983" s="736"/>
      <c r="AQ983" s="736"/>
      <c r="AR983" s="736"/>
      <c r="AS983" s="736"/>
      <c r="AT983" s="736"/>
      <c r="AU983" s="736"/>
      <c r="AV983" s="736"/>
      <c r="AW983" s="736"/>
      <c r="AX983" s="736"/>
      <c r="AY983" s="736"/>
      <c r="AZ983" s="736"/>
      <c r="BA983" s="736"/>
      <c r="BB983" s="736"/>
      <c r="BC983" s="736"/>
      <c r="BD983" s="736"/>
      <c r="BE983" s="736"/>
      <c r="BF983" s="736"/>
      <c r="BG983" s="736"/>
      <c r="BH983" s="736"/>
      <c r="BI983" s="736"/>
      <c r="BJ983" s="736"/>
      <c r="BK983" s="736"/>
      <c r="BL983" s="736"/>
    </row>
    <row r="984" spans="1:64" ht="18.75" x14ac:dyDescent="0.25">
      <c r="A984" s="758"/>
      <c r="B984" s="737"/>
      <c r="C984" s="730"/>
      <c r="D984" s="739"/>
      <c r="E984" s="765"/>
      <c r="F984" s="765"/>
      <c r="G984" s="765"/>
      <c r="H984" s="765"/>
      <c r="I984" s="746" t="str">
        <f t="shared" si="46"/>
        <v/>
      </c>
      <c r="J984" s="731"/>
      <c r="K984" s="731" t="str">
        <f t="shared" si="45"/>
        <v/>
      </c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32"/>
      <c r="AB984" s="732"/>
      <c r="AC984" s="732"/>
      <c r="AD984" s="732"/>
      <c r="AE984" s="733"/>
      <c r="AF984" s="734" t="str">
        <f t="shared" si="47"/>
        <v/>
      </c>
      <c r="AG984" s="774"/>
      <c r="AH984" s="778"/>
      <c r="AI984" s="736"/>
      <c r="AJ984" s="736"/>
      <c r="AK984" s="736"/>
      <c r="AL984" s="736"/>
      <c r="AM984" s="736"/>
      <c r="AN984" s="736"/>
      <c r="AO984" s="736"/>
      <c r="AP984" s="736"/>
      <c r="AQ984" s="736"/>
      <c r="AR984" s="736"/>
      <c r="AS984" s="736"/>
      <c r="AT984" s="736"/>
      <c r="AU984" s="736"/>
      <c r="AV984" s="736"/>
      <c r="AW984" s="736"/>
      <c r="AX984" s="736"/>
      <c r="AY984" s="736"/>
      <c r="AZ984" s="736"/>
      <c r="BA984" s="736"/>
      <c r="BB984" s="736"/>
      <c r="BC984" s="736"/>
      <c r="BD984" s="736"/>
      <c r="BE984" s="736"/>
      <c r="BF984" s="736"/>
      <c r="BG984" s="736"/>
      <c r="BH984" s="736"/>
      <c r="BI984" s="736"/>
      <c r="BJ984" s="736"/>
      <c r="BK984" s="736"/>
      <c r="BL984" s="736"/>
    </row>
    <row r="985" spans="1:64" ht="18.75" x14ac:dyDescent="0.25">
      <c r="A985" s="758"/>
      <c r="B985" s="737"/>
      <c r="C985" s="730"/>
      <c r="D985" s="739"/>
      <c r="E985" s="765"/>
      <c r="F985" s="765"/>
      <c r="G985" s="765"/>
      <c r="H985" s="765"/>
      <c r="I985" s="746" t="str">
        <f t="shared" si="46"/>
        <v/>
      </c>
      <c r="J985" s="731"/>
      <c r="K985" s="731" t="str">
        <f t="shared" si="45"/>
        <v/>
      </c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32"/>
      <c r="AB985" s="732"/>
      <c r="AC985" s="732"/>
      <c r="AD985" s="732"/>
      <c r="AE985" s="733"/>
      <c r="AF985" s="734" t="str">
        <f t="shared" si="47"/>
        <v/>
      </c>
      <c r="AG985" s="774"/>
      <c r="AH985" s="778"/>
      <c r="AI985" s="736"/>
      <c r="AJ985" s="736"/>
      <c r="AK985" s="736"/>
      <c r="AL985" s="736"/>
      <c r="AM985" s="736"/>
      <c r="AN985" s="736"/>
      <c r="AO985" s="736"/>
      <c r="AP985" s="736"/>
      <c r="AQ985" s="736"/>
      <c r="AR985" s="736"/>
      <c r="AS985" s="736"/>
      <c r="AT985" s="736"/>
      <c r="AU985" s="736"/>
      <c r="AV985" s="736"/>
      <c r="AW985" s="736"/>
      <c r="AX985" s="736"/>
      <c r="AY985" s="736"/>
      <c r="AZ985" s="736"/>
      <c r="BA985" s="736"/>
      <c r="BB985" s="736"/>
      <c r="BC985" s="736"/>
      <c r="BD985" s="736"/>
      <c r="BE985" s="736"/>
      <c r="BF985" s="736"/>
      <c r="BG985" s="736"/>
      <c r="BH985" s="736"/>
      <c r="BI985" s="736"/>
      <c r="BJ985" s="736"/>
      <c r="BK985" s="736"/>
      <c r="BL985" s="736"/>
    </row>
    <row r="986" spans="1:64" ht="18.75" x14ac:dyDescent="0.25">
      <c r="A986" s="758"/>
      <c r="B986" s="737"/>
      <c r="C986" s="730"/>
      <c r="D986" s="739"/>
      <c r="E986" s="765"/>
      <c r="F986" s="765"/>
      <c r="G986" s="765"/>
      <c r="H986" s="765"/>
      <c r="I986" s="746" t="str">
        <f t="shared" si="46"/>
        <v/>
      </c>
      <c r="J986" s="731"/>
      <c r="K986" s="731" t="str">
        <f t="shared" si="45"/>
        <v/>
      </c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32"/>
      <c r="AB986" s="732"/>
      <c r="AC986" s="732"/>
      <c r="AD986" s="732"/>
      <c r="AE986" s="733"/>
      <c r="AF986" s="734" t="str">
        <f t="shared" si="47"/>
        <v/>
      </c>
      <c r="AG986" s="774"/>
      <c r="AH986" s="778"/>
      <c r="AI986" s="736"/>
      <c r="AJ986" s="736"/>
      <c r="AK986" s="736"/>
      <c r="AL986" s="736"/>
      <c r="AM986" s="736"/>
      <c r="AN986" s="736"/>
      <c r="AO986" s="736"/>
      <c r="AP986" s="736"/>
      <c r="AQ986" s="736"/>
      <c r="AR986" s="736"/>
      <c r="AS986" s="736"/>
      <c r="AT986" s="736"/>
      <c r="AU986" s="736"/>
      <c r="AV986" s="736"/>
      <c r="AW986" s="736"/>
      <c r="AX986" s="736"/>
      <c r="AY986" s="736"/>
      <c r="AZ986" s="736"/>
      <c r="BA986" s="736"/>
      <c r="BB986" s="736"/>
      <c r="BC986" s="736"/>
      <c r="BD986" s="736"/>
      <c r="BE986" s="736"/>
      <c r="BF986" s="736"/>
      <c r="BG986" s="736"/>
      <c r="BH986" s="736"/>
      <c r="BI986" s="736"/>
      <c r="BJ986" s="736"/>
      <c r="BK986" s="736"/>
      <c r="BL986" s="736"/>
    </row>
    <row r="987" spans="1:64" ht="18.75" x14ac:dyDescent="0.25">
      <c r="A987" s="758"/>
      <c r="B987" s="737"/>
      <c r="C987" s="730"/>
      <c r="D987" s="739"/>
      <c r="E987" s="765"/>
      <c r="F987" s="765"/>
      <c r="G987" s="765"/>
      <c r="H987" s="765"/>
      <c r="I987" s="746" t="str">
        <f t="shared" si="46"/>
        <v/>
      </c>
      <c r="J987" s="731"/>
      <c r="K987" s="731" t="str">
        <f t="shared" si="45"/>
        <v/>
      </c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32"/>
      <c r="AB987" s="732"/>
      <c r="AC987" s="732"/>
      <c r="AD987" s="732"/>
      <c r="AE987" s="733"/>
      <c r="AF987" s="734" t="str">
        <f t="shared" si="47"/>
        <v/>
      </c>
      <c r="AG987" s="773"/>
    </row>
    <row r="988" spans="1:64" ht="18.75" x14ac:dyDescent="0.25">
      <c r="A988" s="758"/>
      <c r="B988" s="737"/>
      <c r="C988" s="730"/>
      <c r="D988" s="739"/>
      <c r="E988" s="765"/>
      <c r="F988" s="765"/>
      <c r="G988" s="765"/>
      <c r="H988" s="765"/>
      <c r="I988" s="746" t="str">
        <f t="shared" si="46"/>
        <v/>
      </c>
      <c r="J988" s="731"/>
      <c r="K988" s="731" t="str">
        <f t="shared" si="45"/>
        <v/>
      </c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32"/>
      <c r="AB988" s="732"/>
      <c r="AC988" s="732"/>
      <c r="AD988" s="732"/>
      <c r="AE988" s="733"/>
      <c r="AF988" s="734" t="str">
        <f t="shared" si="47"/>
        <v/>
      </c>
      <c r="AG988" s="774"/>
      <c r="AH988" s="778"/>
      <c r="AI988" s="736"/>
      <c r="AJ988" s="736"/>
      <c r="AK988" s="736"/>
      <c r="AL988" s="736"/>
      <c r="AM988" s="736"/>
      <c r="AN988" s="736"/>
      <c r="AO988" s="736"/>
      <c r="AP988" s="736"/>
      <c r="AQ988" s="736"/>
      <c r="AR988" s="736"/>
      <c r="AS988" s="736"/>
      <c r="AT988" s="736"/>
      <c r="AU988" s="736"/>
      <c r="AV988" s="736"/>
      <c r="AW988" s="736"/>
      <c r="AX988" s="736"/>
      <c r="AY988" s="736"/>
      <c r="AZ988" s="736"/>
      <c r="BA988" s="736"/>
      <c r="BB988" s="736"/>
      <c r="BC988" s="736"/>
      <c r="BD988" s="736"/>
      <c r="BE988" s="736"/>
      <c r="BF988" s="736"/>
      <c r="BG988" s="736"/>
      <c r="BH988" s="736"/>
      <c r="BI988" s="736"/>
      <c r="BJ988" s="736"/>
      <c r="BK988" s="736"/>
      <c r="BL988" s="736"/>
    </row>
    <row r="989" spans="1:64" ht="18.75" x14ac:dyDescent="0.25">
      <c r="A989" s="758"/>
      <c r="B989" s="737"/>
      <c r="C989" s="730"/>
      <c r="D989" s="739"/>
      <c r="E989" s="765"/>
      <c r="F989" s="765"/>
      <c r="G989" s="765"/>
      <c r="H989" s="765"/>
      <c r="I989" s="746" t="str">
        <f t="shared" si="46"/>
        <v/>
      </c>
      <c r="J989" s="731"/>
      <c r="K989" s="731" t="str">
        <f t="shared" si="45"/>
        <v/>
      </c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32"/>
      <c r="AB989" s="732"/>
      <c r="AC989" s="732"/>
      <c r="AD989" s="732"/>
      <c r="AE989" s="733"/>
      <c r="AF989" s="734" t="str">
        <f t="shared" si="47"/>
        <v/>
      </c>
      <c r="AG989" s="773"/>
    </row>
    <row r="990" spans="1:64" ht="18.75" x14ac:dyDescent="0.25">
      <c r="A990" s="758"/>
      <c r="B990" s="737"/>
      <c r="C990" s="730"/>
      <c r="D990" s="739"/>
      <c r="E990" s="765"/>
      <c r="F990" s="765"/>
      <c r="G990" s="765"/>
      <c r="H990" s="765"/>
      <c r="I990" s="746" t="str">
        <f t="shared" si="46"/>
        <v/>
      </c>
      <c r="J990" s="731"/>
      <c r="K990" s="731" t="str">
        <f t="shared" si="45"/>
        <v/>
      </c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32"/>
      <c r="AB990" s="732"/>
      <c r="AC990" s="732"/>
      <c r="AD990" s="732"/>
      <c r="AE990" s="733"/>
      <c r="AF990" s="734" t="str">
        <f t="shared" si="47"/>
        <v/>
      </c>
      <c r="AG990" s="773"/>
    </row>
    <row r="991" spans="1:64" ht="18.75" x14ac:dyDescent="0.25">
      <c r="A991" s="758"/>
      <c r="B991" s="737"/>
      <c r="C991" s="730"/>
      <c r="D991" s="739"/>
      <c r="E991" s="765"/>
      <c r="F991" s="765"/>
      <c r="G991" s="765"/>
      <c r="H991" s="765"/>
      <c r="I991" s="746" t="str">
        <f t="shared" si="46"/>
        <v/>
      </c>
      <c r="J991" s="731"/>
      <c r="K991" s="731" t="str">
        <f t="shared" si="45"/>
        <v/>
      </c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32"/>
      <c r="AB991" s="732"/>
      <c r="AC991" s="732"/>
      <c r="AD991" s="732"/>
      <c r="AE991" s="733"/>
      <c r="AF991" s="734" t="str">
        <f t="shared" si="47"/>
        <v/>
      </c>
      <c r="AG991" s="774"/>
      <c r="AH991" s="778"/>
      <c r="AI991" s="736"/>
      <c r="AJ991" s="736"/>
      <c r="AK991" s="736"/>
      <c r="AL991" s="736"/>
      <c r="AM991" s="736"/>
      <c r="AN991" s="736"/>
      <c r="AO991" s="736"/>
      <c r="AP991" s="736"/>
      <c r="AQ991" s="736"/>
      <c r="AR991" s="736"/>
      <c r="AS991" s="736"/>
      <c r="AT991" s="736"/>
      <c r="AU991" s="736"/>
      <c r="AV991" s="736"/>
      <c r="AW991" s="736"/>
      <c r="AX991" s="736"/>
      <c r="AY991" s="736"/>
      <c r="AZ991" s="736"/>
      <c r="BA991" s="736"/>
      <c r="BB991" s="736"/>
      <c r="BC991" s="736"/>
      <c r="BD991" s="736"/>
      <c r="BE991" s="736"/>
      <c r="BF991" s="736"/>
      <c r="BG991" s="736"/>
      <c r="BH991" s="736"/>
      <c r="BI991" s="736"/>
      <c r="BJ991" s="736"/>
      <c r="BK991" s="736"/>
      <c r="BL991" s="736"/>
    </row>
    <row r="992" spans="1:64" ht="18.75" x14ac:dyDescent="0.25">
      <c r="A992" s="758"/>
      <c r="B992" s="737"/>
      <c r="C992" s="730"/>
      <c r="D992" s="739"/>
      <c r="E992" s="765"/>
      <c r="F992" s="765"/>
      <c r="G992" s="765"/>
      <c r="H992" s="765"/>
      <c r="I992" s="746" t="str">
        <f t="shared" si="46"/>
        <v/>
      </c>
      <c r="J992" s="731"/>
      <c r="K992" s="731" t="str">
        <f t="shared" si="45"/>
        <v/>
      </c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32"/>
      <c r="AB992" s="732"/>
      <c r="AC992" s="732"/>
      <c r="AD992" s="732"/>
      <c r="AE992" s="733"/>
      <c r="AF992" s="734" t="str">
        <f t="shared" si="47"/>
        <v/>
      </c>
      <c r="AG992" s="774"/>
      <c r="AH992" s="778"/>
      <c r="AI992" s="736"/>
      <c r="AJ992" s="736"/>
      <c r="AK992" s="736"/>
      <c r="AL992" s="736"/>
      <c r="AM992" s="736"/>
      <c r="AN992" s="736"/>
      <c r="AO992" s="736"/>
      <c r="AP992" s="736"/>
      <c r="AQ992" s="736"/>
      <c r="AR992" s="736"/>
      <c r="AS992" s="736"/>
      <c r="AT992" s="736"/>
      <c r="AU992" s="736"/>
      <c r="AV992" s="736"/>
      <c r="AW992" s="736"/>
      <c r="AX992" s="736"/>
      <c r="AY992" s="736"/>
      <c r="AZ992" s="736"/>
      <c r="BA992" s="736"/>
      <c r="BB992" s="736"/>
      <c r="BC992" s="736"/>
      <c r="BD992" s="736"/>
      <c r="BE992" s="736"/>
      <c r="BF992" s="736"/>
      <c r="BG992" s="736"/>
      <c r="BH992" s="736"/>
      <c r="BI992" s="736"/>
      <c r="BJ992" s="736"/>
      <c r="BK992" s="736"/>
      <c r="BL992" s="736"/>
    </row>
    <row r="993" spans="1:64" ht="18.75" x14ac:dyDescent="0.25">
      <c r="A993" s="758"/>
      <c r="B993" s="737"/>
      <c r="C993" s="730"/>
      <c r="D993" s="739"/>
      <c r="E993" s="765"/>
      <c r="F993" s="765"/>
      <c r="G993" s="765"/>
      <c r="H993" s="765"/>
      <c r="I993" s="746" t="str">
        <f t="shared" si="46"/>
        <v/>
      </c>
      <c r="J993" s="731"/>
      <c r="K993" s="731" t="str">
        <f t="shared" si="45"/>
        <v/>
      </c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32"/>
      <c r="AB993" s="732"/>
      <c r="AC993" s="732"/>
      <c r="AD993" s="732"/>
      <c r="AE993" s="733"/>
      <c r="AF993" s="734" t="str">
        <f t="shared" si="47"/>
        <v/>
      </c>
      <c r="AG993" s="774"/>
      <c r="AH993" s="778"/>
      <c r="AI993" s="736"/>
      <c r="AJ993" s="736"/>
      <c r="AK993" s="736"/>
      <c r="AL993" s="736"/>
      <c r="AM993" s="736"/>
      <c r="AN993" s="736"/>
      <c r="AO993" s="736"/>
      <c r="AP993" s="736"/>
      <c r="AQ993" s="736"/>
      <c r="AR993" s="736"/>
      <c r="AS993" s="736"/>
      <c r="AT993" s="736"/>
      <c r="AU993" s="736"/>
      <c r="AV993" s="736"/>
      <c r="AW993" s="736"/>
      <c r="AX993" s="736"/>
      <c r="AY993" s="736"/>
      <c r="AZ993" s="736"/>
      <c r="BA993" s="736"/>
      <c r="BB993" s="736"/>
      <c r="BC993" s="736"/>
      <c r="BD993" s="736"/>
      <c r="BE993" s="736"/>
      <c r="BF993" s="736"/>
      <c r="BG993" s="736"/>
      <c r="BH993" s="736"/>
      <c r="BI993" s="736"/>
      <c r="BJ993" s="736"/>
      <c r="BK993" s="736"/>
      <c r="BL993" s="736"/>
    </row>
    <row r="994" spans="1:64" ht="18.75" x14ac:dyDescent="0.25">
      <c r="A994" s="758"/>
      <c r="B994" s="737"/>
      <c r="C994" s="730"/>
      <c r="D994" s="739"/>
      <c r="E994" s="765"/>
      <c r="F994" s="765"/>
      <c r="G994" s="765"/>
      <c r="H994" s="765"/>
      <c r="I994" s="746" t="str">
        <f t="shared" si="46"/>
        <v/>
      </c>
      <c r="J994" s="731"/>
      <c r="K994" s="731" t="str">
        <f t="shared" si="45"/>
        <v/>
      </c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32"/>
      <c r="AB994" s="732"/>
      <c r="AC994" s="732"/>
      <c r="AD994" s="732"/>
      <c r="AE994" s="733"/>
      <c r="AF994" s="734" t="str">
        <f t="shared" si="47"/>
        <v/>
      </c>
      <c r="AG994" s="773"/>
    </row>
    <row r="995" spans="1:64" ht="18.75" x14ac:dyDescent="0.25">
      <c r="A995" s="758"/>
      <c r="B995" s="737"/>
      <c r="C995" s="730"/>
      <c r="D995" s="739"/>
      <c r="E995" s="765"/>
      <c r="F995" s="765"/>
      <c r="G995" s="765"/>
      <c r="H995" s="765"/>
      <c r="I995" s="746" t="str">
        <f t="shared" si="46"/>
        <v/>
      </c>
      <c r="J995" s="731"/>
      <c r="K995" s="731" t="str">
        <f t="shared" si="45"/>
        <v/>
      </c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32"/>
      <c r="AB995" s="732"/>
      <c r="AC995" s="732"/>
      <c r="AD995" s="732"/>
      <c r="AE995" s="733"/>
      <c r="AF995" s="734" t="str">
        <f t="shared" si="47"/>
        <v/>
      </c>
      <c r="AG995" s="773"/>
    </row>
    <row r="996" spans="1:64" ht="18.75" x14ac:dyDescent="0.25">
      <c r="A996" s="758"/>
      <c r="B996" s="737"/>
      <c r="C996" s="730"/>
      <c r="D996" s="739"/>
      <c r="E996" s="765"/>
      <c r="F996" s="765"/>
      <c r="G996" s="765"/>
      <c r="H996" s="765"/>
      <c r="I996" s="746" t="str">
        <f t="shared" si="46"/>
        <v/>
      </c>
      <c r="J996" s="731"/>
      <c r="K996" s="731" t="str">
        <f t="shared" si="45"/>
        <v/>
      </c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32"/>
      <c r="AB996" s="732"/>
      <c r="AC996" s="732"/>
      <c r="AD996" s="732"/>
      <c r="AE996" s="733"/>
      <c r="AF996" s="734" t="str">
        <f t="shared" si="47"/>
        <v/>
      </c>
      <c r="AG996" s="773"/>
    </row>
    <row r="997" spans="1:64" ht="18.75" x14ac:dyDescent="0.25">
      <c r="A997" s="758"/>
      <c r="B997" s="737"/>
      <c r="C997" s="730"/>
      <c r="D997" s="739"/>
      <c r="E997" s="765"/>
      <c r="F997" s="765"/>
      <c r="G997" s="765"/>
      <c r="H997" s="765"/>
      <c r="I997" s="746" t="str">
        <f t="shared" si="46"/>
        <v/>
      </c>
      <c r="J997" s="731"/>
      <c r="K997" s="731" t="str">
        <f t="shared" si="45"/>
        <v/>
      </c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32"/>
      <c r="AB997" s="732"/>
      <c r="AC997" s="732"/>
      <c r="AD997" s="732"/>
      <c r="AE997" s="733"/>
      <c r="AF997" s="734" t="str">
        <f t="shared" si="47"/>
        <v/>
      </c>
      <c r="AG997" s="774"/>
      <c r="AH997" s="778"/>
      <c r="AI997" s="736"/>
      <c r="AJ997" s="736"/>
      <c r="AK997" s="736"/>
      <c r="AL997" s="736"/>
      <c r="AM997" s="736"/>
      <c r="AN997" s="736"/>
      <c r="AO997" s="736"/>
      <c r="AP997" s="736"/>
      <c r="AQ997" s="736"/>
      <c r="AR997" s="736"/>
      <c r="AS997" s="736"/>
      <c r="AT997" s="736"/>
      <c r="AU997" s="736"/>
      <c r="AV997" s="736"/>
      <c r="AW997" s="736"/>
      <c r="AX997" s="736"/>
      <c r="AY997" s="736"/>
      <c r="AZ997" s="736"/>
      <c r="BA997" s="736"/>
      <c r="BB997" s="736"/>
      <c r="BC997" s="736"/>
      <c r="BD997" s="736"/>
      <c r="BE997" s="736"/>
      <c r="BF997" s="736"/>
      <c r="BG997" s="736"/>
      <c r="BH997" s="736"/>
      <c r="BI997" s="736"/>
      <c r="BJ997" s="736"/>
      <c r="BK997" s="736"/>
      <c r="BL997" s="736"/>
    </row>
    <row r="998" spans="1:64" ht="18.75" x14ac:dyDescent="0.25">
      <c r="A998" s="758"/>
      <c r="B998" s="737"/>
      <c r="C998" s="730"/>
      <c r="D998" s="739"/>
      <c r="E998" s="765"/>
      <c r="F998" s="765"/>
      <c r="G998" s="765"/>
      <c r="H998" s="765"/>
      <c r="I998" s="746" t="str">
        <f t="shared" si="46"/>
        <v/>
      </c>
      <c r="J998" s="731"/>
      <c r="K998" s="731" t="str">
        <f t="shared" si="45"/>
        <v/>
      </c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32"/>
      <c r="AB998" s="732"/>
      <c r="AC998" s="732"/>
      <c r="AD998" s="732"/>
      <c r="AE998" s="733"/>
      <c r="AF998" s="734" t="str">
        <f t="shared" si="47"/>
        <v/>
      </c>
      <c r="AG998" s="773"/>
    </row>
    <row r="999" spans="1:64" ht="18.75" x14ac:dyDescent="0.25">
      <c r="A999" s="758"/>
      <c r="B999" s="737"/>
      <c r="C999" s="730"/>
      <c r="D999" s="739"/>
      <c r="E999" s="765"/>
      <c r="F999" s="765"/>
      <c r="G999" s="765"/>
      <c r="H999" s="765"/>
      <c r="I999" s="746" t="str">
        <f t="shared" si="46"/>
        <v/>
      </c>
      <c r="J999" s="731"/>
      <c r="K999" s="731" t="str">
        <f t="shared" si="45"/>
        <v/>
      </c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32"/>
      <c r="AB999" s="732"/>
      <c r="AC999" s="732"/>
      <c r="AD999" s="732"/>
      <c r="AE999" s="733"/>
      <c r="AF999" s="734" t="str">
        <f t="shared" si="47"/>
        <v/>
      </c>
      <c r="AG999" s="773"/>
    </row>
    <row r="1000" spans="1:64" ht="18.75" x14ac:dyDescent="0.25">
      <c r="A1000" s="758"/>
      <c r="B1000" s="737"/>
      <c r="C1000" s="730"/>
      <c r="D1000" s="739"/>
      <c r="E1000" s="765"/>
      <c r="F1000" s="765"/>
      <c r="G1000" s="765"/>
      <c r="H1000" s="765"/>
      <c r="I1000" s="746" t="str">
        <f t="shared" si="46"/>
        <v/>
      </c>
      <c r="J1000" s="731"/>
      <c r="K1000" s="731" t="str">
        <f t="shared" si="45"/>
        <v/>
      </c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32"/>
      <c r="AB1000" s="732"/>
      <c r="AC1000" s="732"/>
      <c r="AD1000" s="732"/>
      <c r="AE1000" s="733"/>
      <c r="AF1000" s="734" t="str">
        <f t="shared" si="47"/>
        <v/>
      </c>
      <c r="AG1000" s="773"/>
    </row>
    <row r="1001" spans="1:64" ht="18.75" x14ac:dyDescent="0.25">
      <c r="A1001" s="758"/>
      <c r="B1001" s="737"/>
      <c r="C1001" s="730"/>
      <c r="D1001" s="739"/>
      <c r="E1001" s="765"/>
      <c r="F1001" s="765"/>
      <c r="G1001" s="765"/>
      <c r="H1001" s="765"/>
      <c r="I1001" s="746" t="str">
        <f t="shared" si="46"/>
        <v/>
      </c>
      <c r="J1001" s="731"/>
      <c r="K1001" s="731" t="str">
        <f t="shared" si="45"/>
        <v/>
      </c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32"/>
      <c r="AB1001" s="732"/>
      <c r="AC1001" s="732"/>
      <c r="AD1001" s="732"/>
      <c r="AE1001" s="733"/>
      <c r="AF1001" s="734" t="str">
        <f t="shared" si="47"/>
        <v/>
      </c>
      <c r="AG1001" s="773"/>
    </row>
    <row r="1002" spans="1:64" ht="18.75" x14ac:dyDescent="0.25">
      <c r="A1002" s="758"/>
      <c r="B1002" s="737"/>
      <c r="C1002" s="730"/>
      <c r="D1002" s="739"/>
      <c r="E1002" s="765"/>
      <c r="F1002" s="765"/>
      <c r="G1002" s="765"/>
      <c r="H1002" s="765"/>
      <c r="I1002" s="746" t="str">
        <f t="shared" si="46"/>
        <v/>
      </c>
      <c r="J1002" s="731"/>
      <c r="K1002" s="731" t="str">
        <f t="shared" si="45"/>
        <v/>
      </c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32"/>
      <c r="AB1002" s="732"/>
      <c r="AC1002" s="732"/>
      <c r="AD1002" s="732"/>
      <c r="AE1002" s="733"/>
      <c r="AF1002" s="734" t="str">
        <f t="shared" si="47"/>
        <v/>
      </c>
      <c r="AG1002" s="773"/>
    </row>
    <row r="1003" spans="1:64" ht="18.75" x14ac:dyDescent="0.25">
      <c r="A1003" s="758"/>
      <c r="B1003" s="737"/>
      <c r="C1003" s="730"/>
      <c r="D1003" s="739"/>
      <c r="E1003" s="765"/>
      <c r="F1003" s="765"/>
      <c r="G1003" s="765"/>
      <c r="H1003" s="765"/>
      <c r="I1003" s="746" t="str">
        <f t="shared" si="46"/>
        <v/>
      </c>
      <c r="J1003" s="731"/>
      <c r="K1003" s="731" t="str">
        <f t="shared" si="45"/>
        <v/>
      </c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32"/>
      <c r="AB1003" s="732"/>
      <c r="AC1003" s="732"/>
      <c r="AD1003" s="732"/>
      <c r="AE1003" s="733"/>
      <c r="AF1003" s="734" t="str">
        <f t="shared" si="47"/>
        <v/>
      </c>
      <c r="AG1003" s="773"/>
    </row>
    <row r="1004" spans="1:64" ht="18.75" x14ac:dyDescent="0.25">
      <c r="A1004" s="758"/>
      <c r="B1004" s="737"/>
      <c r="C1004" s="730"/>
      <c r="D1004" s="739"/>
      <c r="E1004" s="765"/>
      <c r="F1004" s="765"/>
      <c r="G1004" s="765"/>
      <c r="H1004" s="765"/>
      <c r="I1004" s="746" t="str">
        <f t="shared" si="46"/>
        <v/>
      </c>
      <c r="J1004" s="731"/>
      <c r="K1004" s="731" t="str">
        <f t="shared" si="45"/>
        <v/>
      </c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32"/>
      <c r="AB1004" s="732"/>
      <c r="AC1004" s="732"/>
      <c r="AD1004" s="732"/>
      <c r="AE1004" s="733"/>
      <c r="AF1004" s="734" t="str">
        <f t="shared" si="47"/>
        <v/>
      </c>
      <c r="AG1004" s="773"/>
    </row>
    <row r="1005" spans="1:64" ht="18.75" x14ac:dyDescent="0.25">
      <c r="A1005" s="758"/>
      <c r="B1005" s="737"/>
      <c r="C1005" s="730"/>
      <c r="D1005" s="739"/>
      <c r="E1005" s="765"/>
      <c r="F1005" s="765"/>
      <c r="G1005" s="765"/>
      <c r="H1005" s="765"/>
      <c r="I1005" s="746" t="str">
        <f t="shared" si="46"/>
        <v/>
      </c>
      <c r="J1005" s="731"/>
      <c r="K1005" s="731" t="str">
        <f t="shared" si="45"/>
        <v/>
      </c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32"/>
      <c r="AB1005" s="732"/>
      <c r="AC1005" s="732"/>
      <c r="AD1005" s="732"/>
      <c r="AE1005" s="733"/>
      <c r="AF1005" s="734" t="str">
        <f t="shared" si="47"/>
        <v/>
      </c>
      <c r="AG1005" s="773"/>
    </row>
    <row r="1006" spans="1:64" ht="18.75" x14ac:dyDescent="0.25">
      <c r="A1006" s="758"/>
      <c r="B1006" s="737"/>
      <c r="C1006" s="730"/>
      <c r="D1006" s="739"/>
      <c r="E1006" s="765"/>
      <c r="F1006" s="765"/>
      <c r="G1006" s="765"/>
      <c r="H1006" s="765"/>
      <c r="I1006" s="746" t="str">
        <f t="shared" si="46"/>
        <v/>
      </c>
      <c r="J1006" s="731"/>
      <c r="K1006" s="731" t="str">
        <f t="shared" si="45"/>
        <v/>
      </c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32"/>
      <c r="AB1006" s="732"/>
      <c r="AC1006" s="732"/>
      <c r="AD1006" s="732"/>
      <c r="AE1006" s="733"/>
      <c r="AF1006" s="734" t="str">
        <f t="shared" si="47"/>
        <v/>
      </c>
      <c r="AG1006" s="773"/>
    </row>
    <row r="1007" spans="1:64" ht="18.75" x14ac:dyDescent="0.25">
      <c r="A1007" s="758"/>
      <c r="B1007" s="737"/>
      <c r="C1007" s="730"/>
      <c r="D1007" s="739"/>
      <c r="E1007" s="765"/>
      <c r="F1007" s="765"/>
      <c r="G1007" s="765"/>
      <c r="H1007" s="765"/>
      <c r="I1007" s="746" t="str">
        <f t="shared" si="46"/>
        <v/>
      </c>
      <c r="J1007" s="731"/>
      <c r="K1007" s="731" t="str">
        <f t="shared" si="45"/>
        <v/>
      </c>
      <c r="L1007" s="726"/>
      <c r="M1007" s="726"/>
      <c r="N1007" s="726"/>
      <c r="O1007" s="726"/>
      <c r="P1007" s="726"/>
      <c r="Q1007" s="726"/>
      <c r="R1007" s="726"/>
      <c r="S1007" s="726"/>
      <c r="T1007" s="726"/>
      <c r="U1007" s="726"/>
      <c r="V1007" s="726"/>
      <c r="W1007" s="726"/>
      <c r="X1007" s="726"/>
      <c r="Y1007" s="726"/>
      <c r="Z1007" s="726"/>
      <c r="AA1007" s="732"/>
      <c r="AB1007" s="732"/>
      <c r="AC1007" s="732"/>
      <c r="AD1007" s="732"/>
      <c r="AE1007" s="733"/>
      <c r="AF1007" s="734" t="str">
        <f t="shared" si="47"/>
        <v/>
      </c>
      <c r="AG1007" s="773"/>
    </row>
    <row r="1008" spans="1:64" ht="18.75" x14ac:dyDescent="0.25">
      <c r="A1008" s="758"/>
      <c r="B1008" s="737"/>
      <c r="C1008" s="730"/>
      <c r="D1008" s="739"/>
      <c r="E1008" s="765"/>
      <c r="F1008" s="765"/>
      <c r="G1008" s="765"/>
      <c r="H1008" s="765"/>
      <c r="I1008" s="746" t="str">
        <f t="shared" si="46"/>
        <v/>
      </c>
      <c r="J1008" s="731"/>
      <c r="K1008" s="731" t="str">
        <f t="shared" si="45"/>
        <v/>
      </c>
      <c r="L1008" s="726"/>
      <c r="M1008" s="726"/>
      <c r="N1008" s="726"/>
      <c r="O1008" s="726"/>
      <c r="P1008" s="726"/>
      <c r="Q1008" s="726"/>
      <c r="R1008" s="726"/>
      <c r="S1008" s="726"/>
      <c r="T1008" s="726"/>
      <c r="U1008" s="726"/>
      <c r="V1008" s="726"/>
      <c r="W1008" s="726"/>
      <c r="X1008" s="726"/>
      <c r="Y1008" s="726"/>
      <c r="Z1008" s="726"/>
      <c r="AA1008" s="732"/>
      <c r="AB1008" s="732"/>
      <c r="AC1008" s="732"/>
      <c r="AD1008" s="732"/>
      <c r="AE1008" s="733"/>
      <c r="AF1008" s="734" t="str">
        <f t="shared" si="47"/>
        <v/>
      </c>
      <c r="AG1008" s="773"/>
    </row>
    <row r="1009" spans="1:64" ht="19.5" customHeight="1" x14ac:dyDescent="0.25">
      <c r="A1009" s="758"/>
      <c r="B1009" s="737"/>
      <c r="C1009" s="730"/>
      <c r="D1009" s="739"/>
      <c r="E1009" s="765"/>
      <c r="F1009" s="765"/>
      <c r="G1009" s="765"/>
      <c r="H1009" s="765"/>
      <c r="I1009" s="746" t="str">
        <f t="shared" si="46"/>
        <v/>
      </c>
      <c r="J1009" s="731"/>
      <c r="K1009" s="731" t="str">
        <f t="shared" si="45"/>
        <v/>
      </c>
      <c r="L1009" s="726"/>
      <c r="M1009" s="726"/>
      <c r="N1009" s="726"/>
      <c r="O1009" s="726"/>
      <c r="P1009" s="726"/>
      <c r="Q1009" s="726"/>
      <c r="R1009" s="726"/>
      <c r="S1009" s="726"/>
      <c r="T1009" s="726"/>
      <c r="U1009" s="726"/>
      <c r="V1009" s="726"/>
      <c r="W1009" s="726"/>
      <c r="X1009" s="726"/>
      <c r="Y1009" s="726"/>
      <c r="Z1009" s="726"/>
      <c r="AA1009" s="732"/>
      <c r="AB1009" s="732"/>
      <c r="AC1009" s="732"/>
      <c r="AD1009" s="732"/>
      <c r="AE1009" s="733"/>
      <c r="AF1009" s="734" t="str">
        <f t="shared" si="47"/>
        <v/>
      </c>
      <c r="AG1009" s="773"/>
    </row>
    <row r="1010" spans="1:64" ht="18.75" x14ac:dyDescent="0.25">
      <c r="A1010" s="758"/>
      <c r="B1010" s="737"/>
      <c r="C1010" s="730"/>
      <c r="D1010" s="739"/>
      <c r="E1010" s="765"/>
      <c r="F1010" s="765"/>
      <c r="G1010" s="765"/>
      <c r="H1010" s="765"/>
      <c r="I1010" s="746" t="str">
        <f t="shared" si="46"/>
        <v/>
      </c>
      <c r="J1010" s="731"/>
      <c r="K1010" s="731" t="str">
        <f t="shared" si="45"/>
        <v/>
      </c>
      <c r="L1010" s="726"/>
      <c r="M1010" s="726"/>
      <c r="N1010" s="726"/>
      <c r="O1010" s="726"/>
      <c r="P1010" s="726"/>
      <c r="Q1010" s="726"/>
      <c r="R1010" s="726"/>
      <c r="S1010" s="726"/>
      <c r="T1010" s="726"/>
      <c r="U1010" s="726"/>
      <c r="V1010" s="726"/>
      <c r="W1010" s="726"/>
      <c r="X1010" s="726"/>
      <c r="Y1010" s="726"/>
      <c r="Z1010" s="726"/>
      <c r="AA1010" s="732"/>
      <c r="AB1010" s="732"/>
      <c r="AC1010" s="732"/>
      <c r="AD1010" s="732"/>
      <c r="AE1010" s="733"/>
      <c r="AF1010" s="734" t="str">
        <f t="shared" si="47"/>
        <v/>
      </c>
      <c r="AG1010" s="773"/>
    </row>
    <row r="1011" spans="1:64" ht="18.75" x14ac:dyDescent="0.25">
      <c r="A1011" s="758"/>
      <c r="B1011" s="737"/>
      <c r="C1011" s="730"/>
      <c r="D1011" s="739"/>
      <c r="E1011" s="765"/>
      <c r="F1011" s="765"/>
      <c r="G1011" s="765"/>
      <c r="H1011" s="765"/>
      <c r="I1011" s="746" t="str">
        <f t="shared" si="46"/>
        <v/>
      </c>
      <c r="J1011" s="731"/>
      <c r="K1011" s="731" t="str">
        <f t="shared" si="45"/>
        <v/>
      </c>
      <c r="L1011" s="726"/>
      <c r="M1011" s="726"/>
      <c r="N1011" s="726"/>
      <c r="O1011" s="726"/>
      <c r="P1011" s="726"/>
      <c r="Q1011" s="726"/>
      <c r="R1011" s="726"/>
      <c r="S1011" s="726"/>
      <c r="T1011" s="726"/>
      <c r="U1011" s="726"/>
      <c r="V1011" s="726"/>
      <c r="W1011" s="726"/>
      <c r="X1011" s="726"/>
      <c r="Y1011" s="726"/>
      <c r="Z1011" s="726"/>
      <c r="AA1011" s="732"/>
      <c r="AB1011" s="732"/>
      <c r="AC1011" s="732"/>
      <c r="AD1011" s="732"/>
      <c r="AE1011" s="733"/>
      <c r="AF1011" s="734" t="str">
        <f t="shared" si="47"/>
        <v/>
      </c>
      <c r="AG1011" s="773"/>
    </row>
    <row r="1012" spans="1:64" ht="19.5" customHeight="1" x14ac:dyDescent="0.25">
      <c r="A1012" s="758"/>
      <c r="B1012" s="737"/>
      <c r="C1012" s="730"/>
      <c r="D1012" s="739"/>
      <c r="E1012" s="765"/>
      <c r="F1012" s="765"/>
      <c r="G1012" s="765"/>
      <c r="H1012" s="765"/>
      <c r="I1012" s="746" t="str">
        <f t="shared" si="46"/>
        <v/>
      </c>
      <c r="J1012" s="731"/>
      <c r="K1012" s="731" t="str">
        <f t="shared" si="45"/>
        <v/>
      </c>
      <c r="L1012" s="726"/>
      <c r="M1012" s="726"/>
      <c r="N1012" s="726"/>
      <c r="O1012" s="726"/>
      <c r="P1012" s="726"/>
      <c r="Q1012" s="726"/>
      <c r="R1012" s="726"/>
      <c r="S1012" s="726"/>
      <c r="T1012" s="726"/>
      <c r="U1012" s="726"/>
      <c r="V1012" s="726"/>
      <c r="W1012" s="726"/>
      <c r="X1012" s="726"/>
      <c r="Y1012" s="726"/>
      <c r="Z1012" s="726"/>
      <c r="AA1012" s="732"/>
      <c r="AB1012" s="732"/>
      <c r="AC1012" s="732"/>
      <c r="AD1012" s="732"/>
      <c r="AE1012" s="733"/>
      <c r="AF1012" s="734" t="str">
        <f t="shared" si="47"/>
        <v/>
      </c>
      <c r="AG1012" s="775"/>
      <c r="AH1012" s="779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  <c r="AW1012" s="36"/>
      <c r="AX1012" s="36"/>
      <c r="AY1012" s="36"/>
      <c r="AZ1012" s="36"/>
      <c r="BA1012" s="36"/>
      <c r="BB1012" s="36"/>
      <c r="BC1012" s="36"/>
      <c r="BD1012" s="36"/>
      <c r="BE1012" s="36"/>
      <c r="BF1012" s="36"/>
      <c r="BG1012" s="36"/>
      <c r="BH1012" s="36"/>
      <c r="BI1012" s="36"/>
      <c r="BJ1012" s="36"/>
      <c r="BK1012" s="36"/>
      <c r="BL1012" s="36"/>
    </row>
    <row r="1013" spans="1:64" ht="19.5" customHeight="1" x14ac:dyDescent="0.25">
      <c r="A1013" s="758"/>
      <c r="B1013" s="737"/>
      <c r="C1013" s="730"/>
      <c r="D1013" s="739"/>
      <c r="E1013" s="765"/>
      <c r="F1013" s="765"/>
      <c r="G1013" s="765"/>
      <c r="H1013" s="765"/>
      <c r="I1013" s="746" t="str">
        <f t="shared" si="46"/>
        <v/>
      </c>
      <c r="J1013" s="731"/>
      <c r="K1013" s="731" t="str">
        <f t="shared" si="45"/>
        <v/>
      </c>
      <c r="L1013" s="726"/>
      <c r="M1013" s="726"/>
      <c r="N1013" s="726"/>
      <c r="O1013" s="726"/>
      <c r="P1013" s="726"/>
      <c r="Q1013" s="726"/>
      <c r="R1013" s="726"/>
      <c r="S1013" s="726"/>
      <c r="T1013" s="726"/>
      <c r="U1013" s="726"/>
      <c r="V1013" s="726"/>
      <c r="W1013" s="726"/>
      <c r="X1013" s="726"/>
      <c r="Y1013" s="726"/>
      <c r="Z1013" s="726"/>
      <c r="AA1013" s="732"/>
      <c r="AB1013" s="732"/>
      <c r="AC1013" s="732"/>
      <c r="AD1013" s="732"/>
      <c r="AE1013" s="733"/>
      <c r="AF1013" s="734" t="str">
        <f t="shared" si="47"/>
        <v/>
      </c>
      <c r="AG1013" s="775"/>
      <c r="AH1013" s="779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36"/>
      <c r="BJ1013" s="36"/>
      <c r="BK1013" s="36"/>
      <c r="BL1013" s="36"/>
    </row>
    <row r="1014" spans="1:64" ht="18.75" x14ac:dyDescent="0.25">
      <c r="A1014" s="758"/>
      <c r="B1014" s="737"/>
      <c r="C1014" s="730"/>
      <c r="D1014" s="739"/>
      <c r="E1014" s="765"/>
      <c r="F1014" s="765"/>
      <c r="G1014" s="765"/>
      <c r="H1014" s="765"/>
      <c r="I1014" s="746" t="str">
        <f t="shared" si="46"/>
        <v/>
      </c>
      <c r="J1014" s="731"/>
      <c r="K1014" s="731" t="str">
        <f t="shared" si="45"/>
        <v/>
      </c>
      <c r="L1014" s="726"/>
      <c r="M1014" s="726"/>
      <c r="N1014" s="726"/>
      <c r="O1014" s="726"/>
      <c r="P1014" s="726"/>
      <c r="Q1014" s="726"/>
      <c r="R1014" s="726"/>
      <c r="S1014" s="726"/>
      <c r="T1014" s="726"/>
      <c r="U1014" s="726"/>
      <c r="V1014" s="726"/>
      <c r="W1014" s="726"/>
      <c r="X1014" s="726"/>
      <c r="Y1014" s="726"/>
      <c r="Z1014" s="726"/>
      <c r="AA1014" s="732"/>
      <c r="AB1014" s="732"/>
      <c r="AC1014" s="732"/>
      <c r="AD1014" s="732"/>
      <c r="AE1014" s="733"/>
      <c r="AF1014" s="734" t="str">
        <f t="shared" si="47"/>
        <v/>
      </c>
      <c r="AG1014" s="773"/>
    </row>
    <row r="1015" spans="1:64" ht="18.75" x14ac:dyDescent="0.25">
      <c r="A1015" s="758"/>
      <c r="B1015" s="737"/>
      <c r="C1015" s="730"/>
      <c r="D1015" s="739"/>
      <c r="E1015" s="765"/>
      <c r="F1015" s="765"/>
      <c r="G1015" s="765"/>
      <c r="H1015" s="765"/>
      <c r="I1015" s="746" t="str">
        <f t="shared" si="46"/>
        <v/>
      </c>
      <c r="J1015" s="731"/>
      <c r="K1015" s="731" t="str">
        <f t="shared" si="45"/>
        <v/>
      </c>
      <c r="L1015" s="726"/>
      <c r="M1015" s="726"/>
      <c r="N1015" s="726"/>
      <c r="O1015" s="726"/>
      <c r="P1015" s="726"/>
      <c r="Q1015" s="726"/>
      <c r="R1015" s="726"/>
      <c r="S1015" s="726"/>
      <c r="T1015" s="726"/>
      <c r="U1015" s="726"/>
      <c r="V1015" s="726"/>
      <c r="W1015" s="726"/>
      <c r="X1015" s="726"/>
      <c r="Y1015" s="726"/>
      <c r="Z1015" s="726"/>
      <c r="AA1015" s="732"/>
      <c r="AB1015" s="732"/>
      <c r="AC1015" s="732"/>
      <c r="AD1015" s="732"/>
      <c r="AE1015" s="733"/>
      <c r="AF1015" s="734" t="str">
        <f t="shared" si="47"/>
        <v/>
      </c>
      <c r="AG1015" s="773"/>
    </row>
    <row r="1016" spans="1:64" ht="18.75" x14ac:dyDescent="0.25">
      <c r="A1016" s="758"/>
      <c r="B1016" s="737"/>
      <c r="C1016" s="730"/>
      <c r="D1016" s="739"/>
      <c r="E1016" s="765"/>
      <c r="F1016" s="765"/>
      <c r="G1016" s="765"/>
      <c r="H1016" s="765"/>
      <c r="I1016" s="746" t="str">
        <f t="shared" si="46"/>
        <v/>
      </c>
      <c r="J1016" s="731"/>
      <c r="K1016" s="731" t="str">
        <f t="shared" si="45"/>
        <v/>
      </c>
      <c r="L1016" s="726"/>
      <c r="M1016" s="726"/>
      <c r="N1016" s="726"/>
      <c r="O1016" s="726"/>
      <c r="P1016" s="726"/>
      <c r="Q1016" s="726"/>
      <c r="R1016" s="726"/>
      <c r="S1016" s="726"/>
      <c r="T1016" s="726"/>
      <c r="U1016" s="726"/>
      <c r="V1016" s="726"/>
      <c r="W1016" s="726"/>
      <c r="X1016" s="726"/>
      <c r="Y1016" s="726"/>
      <c r="Z1016" s="726"/>
      <c r="AA1016" s="732"/>
      <c r="AB1016" s="732"/>
      <c r="AC1016" s="732"/>
      <c r="AD1016" s="732"/>
      <c r="AE1016" s="733"/>
      <c r="AF1016" s="734" t="str">
        <f t="shared" si="47"/>
        <v/>
      </c>
      <c r="AG1016" s="773"/>
    </row>
    <row r="1017" spans="1:64" ht="18.75" x14ac:dyDescent="0.25">
      <c r="A1017" s="758"/>
      <c r="B1017" s="737"/>
      <c r="C1017" s="730"/>
      <c r="D1017" s="739"/>
      <c r="E1017" s="765"/>
      <c r="F1017" s="765"/>
      <c r="G1017" s="765"/>
      <c r="H1017" s="765"/>
      <c r="I1017" s="746" t="str">
        <f t="shared" si="46"/>
        <v/>
      </c>
      <c r="J1017" s="731"/>
      <c r="K1017" s="731" t="str">
        <f t="shared" si="45"/>
        <v/>
      </c>
      <c r="L1017" s="726"/>
      <c r="M1017" s="726"/>
      <c r="N1017" s="726"/>
      <c r="O1017" s="726"/>
      <c r="P1017" s="726"/>
      <c r="Q1017" s="726"/>
      <c r="R1017" s="726"/>
      <c r="S1017" s="726"/>
      <c r="T1017" s="726"/>
      <c r="U1017" s="726"/>
      <c r="V1017" s="726"/>
      <c r="W1017" s="726"/>
      <c r="X1017" s="726"/>
      <c r="Y1017" s="726"/>
      <c r="Z1017" s="726"/>
      <c r="AA1017" s="732"/>
      <c r="AB1017" s="732"/>
      <c r="AC1017" s="732"/>
      <c r="AD1017" s="732"/>
      <c r="AE1017" s="733"/>
      <c r="AF1017" s="734" t="str">
        <f t="shared" si="47"/>
        <v/>
      </c>
      <c r="AG1017" s="773"/>
    </row>
    <row r="1018" spans="1:64" ht="18.75" x14ac:dyDescent="0.25">
      <c r="A1018" s="758"/>
      <c r="B1018" s="737"/>
      <c r="C1018" s="730"/>
      <c r="D1018" s="739"/>
      <c r="E1018" s="765"/>
      <c r="F1018" s="765"/>
      <c r="G1018" s="765"/>
      <c r="H1018" s="765"/>
      <c r="I1018" s="746" t="str">
        <f t="shared" si="46"/>
        <v/>
      </c>
      <c r="J1018" s="731"/>
      <c r="K1018" s="731" t="str">
        <f t="shared" si="45"/>
        <v/>
      </c>
      <c r="L1018" s="726"/>
      <c r="M1018" s="726"/>
      <c r="N1018" s="726"/>
      <c r="O1018" s="726"/>
      <c r="P1018" s="726"/>
      <c r="Q1018" s="726"/>
      <c r="R1018" s="726"/>
      <c r="S1018" s="726"/>
      <c r="T1018" s="726"/>
      <c r="U1018" s="726"/>
      <c r="V1018" s="726"/>
      <c r="W1018" s="726"/>
      <c r="X1018" s="726"/>
      <c r="Y1018" s="726"/>
      <c r="Z1018" s="726"/>
      <c r="AA1018" s="732"/>
      <c r="AB1018" s="732"/>
      <c r="AC1018" s="732"/>
      <c r="AD1018" s="732"/>
      <c r="AE1018" s="733"/>
      <c r="AF1018" s="734" t="str">
        <f t="shared" si="47"/>
        <v/>
      </c>
      <c r="AG1018" s="773"/>
    </row>
    <row r="1019" spans="1:64" ht="18.75" x14ac:dyDescent="0.25">
      <c r="A1019" s="758"/>
      <c r="B1019" s="737"/>
      <c r="C1019" s="730"/>
      <c r="D1019" s="739"/>
      <c r="E1019" s="765"/>
      <c r="F1019" s="765"/>
      <c r="G1019" s="765"/>
      <c r="H1019" s="765"/>
      <c r="I1019" s="746" t="str">
        <f t="shared" si="46"/>
        <v/>
      </c>
      <c r="J1019" s="731"/>
      <c r="K1019" s="731" t="str">
        <f t="shared" si="45"/>
        <v/>
      </c>
      <c r="L1019" s="726"/>
      <c r="M1019" s="726"/>
      <c r="N1019" s="726"/>
      <c r="O1019" s="726"/>
      <c r="P1019" s="726"/>
      <c r="Q1019" s="726"/>
      <c r="R1019" s="726"/>
      <c r="S1019" s="726"/>
      <c r="T1019" s="726"/>
      <c r="U1019" s="726"/>
      <c r="V1019" s="726"/>
      <c r="W1019" s="726"/>
      <c r="X1019" s="726"/>
      <c r="Y1019" s="726"/>
      <c r="Z1019" s="726"/>
      <c r="AA1019" s="732"/>
      <c r="AB1019" s="732"/>
      <c r="AC1019" s="732"/>
      <c r="AD1019" s="732"/>
      <c r="AE1019" s="733"/>
      <c r="AF1019" s="734" t="str">
        <f t="shared" si="47"/>
        <v/>
      </c>
      <c r="AG1019" s="773"/>
    </row>
    <row r="1020" spans="1:64" ht="18.75" x14ac:dyDescent="0.25">
      <c r="A1020" s="758"/>
      <c r="B1020" s="737"/>
      <c r="C1020" s="730"/>
      <c r="D1020" s="739"/>
      <c r="E1020" s="765"/>
      <c r="F1020" s="765"/>
      <c r="G1020" s="765"/>
      <c r="H1020" s="765"/>
      <c r="I1020" s="746" t="str">
        <f t="shared" si="46"/>
        <v/>
      </c>
      <c r="J1020" s="731"/>
      <c r="K1020" s="731" t="str">
        <f t="shared" si="45"/>
        <v/>
      </c>
      <c r="L1020" s="726"/>
      <c r="M1020" s="726"/>
      <c r="N1020" s="726"/>
      <c r="O1020" s="726"/>
      <c r="P1020" s="726"/>
      <c r="Q1020" s="726"/>
      <c r="R1020" s="726"/>
      <c r="S1020" s="726"/>
      <c r="T1020" s="726"/>
      <c r="U1020" s="726"/>
      <c r="V1020" s="726"/>
      <c r="W1020" s="726"/>
      <c r="X1020" s="726"/>
      <c r="Y1020" s="726"/>
      <c r="Z1020" s="726"/>
      <c r="AA1020" s="732"/>
      <c r="AB1020" s="732"/>
      <c r="AC1020" s="732"/>
      <c r="AD1020" s="732"/>
      <c r="AE1020" s="733"/>
      <c r="AF1020" s="734" t="str">
        <f t="shared" si="47"/>
        <v/>
      </c>
      <c r="AG1020" s="775"/>
      <c r="AH1020" s="779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  <c r="AW1020" s="36"/>
      <c r="AX1020" s="36"/>
      <c r="AY1020" s="36"/>
      <c r="AZ1020" s="36"/>
      <c r="BA1020" s="36"/>
      <c r="BB1020" s="36"/>
      <c r="BC1020" s="36"/>
      <c r="BD1020" s="36"/>
      <c r="BE1020" s="36"/>
      <c r="BF1020" s="36"/>
      <c r="BG1020" s="36"/>
      <c r="BH1020" s="36"/>
      <c r="BI1020" s="36"/>
      <c r="BJ1020" s="36"/>
      <c r="BK1020" s="36"/>
      <c r="BL1020" s="36"/>
    </row>
    <row r="1021" spans="1:64" ht="18.75" x14ac:dyDescent="0.25">
      <c r="A1021" s="758"/>
      <c r="B1021" s="737"/>
      <c r="C1021" s="730"/>
      <c r="D1021" s="739"/>
      <c r="E1021" s="765"/>
      <c r="F1021" s="765"/>
      <c r="G1021" s="765"/>
      <c r="H1021" s="765"/>
      <c r="I1021" s="746" t="str">
        <f t="shared" si="46"/>
        <v/>
      </c>
      <c r="J1021" s="731"/>
      <c r="K1021" s="731" t="str">
        <f t="shared" si="45"/>
        <v/>
      </c>
      <c r="L1021" s="726"/>
      <c r="M1021" s="726"/>
      <c r="N1021" s="726"/>
      <c r="O1021" s="726"/>
      <c r="P1021" s="726"/>
      <c r="Q1021" s="726"/>
      <c r="R1021" s="726"/>
      <c r="S1021" s="726"/>
      <c r="T1021" s="726"/>
      <c r="U1021" s="726"/>
      <c r="V1021" s="726"/>
      <c r="W1021" s="726"/>
      <c r="X1021" s="726"/>
      <c r="Y1021" s="726"/>
      <c r="Z1021" s="726"/>
      <c r="AA1021" s="732"/>
      <c r="AB1021" s="732"/>
      <c r="AC1021" s="732"/>
      <c r="AD1021" s="732"/>
      <c r="AE1021" s="733"/>
      <c r="AF1021" s="734" t="str">
        <f t="shared" si="47"/>
        <v/>
      </c>
      <c r="AG1021" s="773"/>
    </row>
    <row r="1022" spans="1:64" ht="18.75" x14ac:dyDescent="0.25">
      <c r="A1022" s="758"/>
      <c r="B1022" s="737"/>
      <c r="C1022" s="730"/>
      <c r="D1022" s="739"/>
      <c r="E1022" s="765"/>
      <c r="F1022" s="765"/>
      <c r="G1022" s="765"/>
      <c r="H1022" s="765"/>
      <c r="I1022" s="746" t="str">
        <f t="shared" si="46"/>
        <v/>
      </c>
      <c r="J1022" s="731"/>
      <c r="K1022" s="731" t="str">
        <f t="shared" si="45"/>
        <v/>
      </c>
      <c r="L1022" s="726"/>
      <c r="M1022" s="726"/>
      <c r="N1022" s="726"/>
      <c r="O1022" s="726"/>
      <c r="P1022" s="726"/>
      <c r="Q1022" s="726"/>
      <c r="R1022" s="726"/>
      <c r="S1022" s="726"/>
      <c r="T1022" s="726"/>
      <c r="U1022" s="726"/>
      <c r="V1022" s="726"/>
      <c r="W1022" s="726"/>
      <c r="X1022" s="726"/>
      <c r="Y1022" s="726"/>
      <c r="Z1022" s="726"/>
      <c r="AA1022" s="732"/>
      <c r="AB1022" s="732"/>
      <c r="AC1022" s="732"/>
      <c r="AD1022" s="732"/>
      <c r="AE1022" s="733"/>
      <c r="AF1022" s="734" t="str">
        <f t="shared" si="47"/>
        <v/>
      </c>
      <c r="AG1022" s="773"/>
    </row>
    <row r="1023" spans="1:64" ht="18.75" x14ac:dyDescent="0.25">
      <c r="A1023" s="758"/>
      <c r="B1023" s="737"/>
      <c r="C1023" s="730"/>
      <c r="D1023" s="739"/>
      <c r="E1023" s="765"/>
      <c r="F1023" s="765"/>
      <c r="G1023" s="765"/>
      <c r="H1023" s="765"/>
      <c r="I1023" s="746" t="str">
        <f t="shared" si="46"/>
        <v/>
      </c>
      <c r="J1023" s="731"/>
      <c r="K1023" s="731" t="str">
        <f t="shared" si="45"/>
        <v/>
      </c>
      <c r="L1023" s="726"/>
      <c r="M1023" s="726"/>
      <c r="N1023" s="726"/>
      <c r="O1023" s="726"/>
      <c r="P1023" s="726"/>
      <c r="Q1023" s="726"/>
      <c r="R1023" s="726"/>
      <c r="S1023" s="726"/>
      <c r="T1023" s="726"/>
      <c r="U1023" s="726"/>
      <c r="V1023" s="726"/>
      <c r="W1023" s="726"/>
      <c r="X1023" s="726"/>
      <c r="Y1023" s="726"/>
      <c r="Z1023" s="726"/>
      <c r="AA1023" s="732"/>
      <c r="AB1023" s="732"/>
      <c r="AC1023" s="732"/>
      <c r="AD1023" s="732"/>
      <c r="AE1023" s="733"/>
      <c r="AF1023" s="734" t="str">
        <f t="shared" si="47"/>
        <v/>
      </c>
      <c r="AG1023" s="773"/>
    </row>
    <row r="1024" spans="1:64" ht="18.75" x14ac:dyDescent="0.25">
      <c r="A1024" s="758"/>
      <c r="B1024" s="737"/>
      <c r="C1024" s="730"/>
      <c r="D1024" s="739"/>
      <c r="E1024" s="765"/>
      <c r="F1024" s="765"/>
      <c r="G1024" s="765"/>
      <c r="H1024" s="765"/>
      <c r="I1024" s="746" t="str">
        <f t="shared" si="46"/>
        <v/>
      </c>
      <c r="J1024" s="731"/>
      <c r="K1024" s="731" t="str">
        <f t="shared" si="45"/>
        <v/>
      </c>
      <c r="L1024" s="726"/>
      <c r="M1024" s="726"/>
      <c r="N1024" s="726"/>
      <c r="O1024" s="726"/>
      <c r="P1024" s="726"/>
      <c r="Q1024" s="726"/>
      <c r="R1024" s="726"/>
      <c r="S1024" s="726"/>
      <c r="T1024" s="726"/>
      <c r="U1024" s="726"/>
      <c r="V1024" s="726"/>
      <c r="W1024" s="726"/>
      <c r="X1024" s="726"/>
      <c r="Y1024" s="726"/>
      <c r="Z1024" s="726"/>
      <c r="AA1024" s="732"/>
      <c r="AB1024" s="732"/>
      <c r="AC1024" s="732"/>
      <c r="AD1024" s="732"/>
      <c r="AE1024" s="733"/>
      <c r="AF1024" s="734" t="str">
        <f t="shared" si="47"/>
        <v/>
      </c>
      <c r="AG1024" s="773"/>
    </row>
    <row r="1025" spans="1:64" ht="18.75" x14ac:dyDescent="0.25">
      <c r="A1025" s="758"/>
      <c r="B1025" s="737"/>
      <c r="C1025" s="730"/>
      <c r="D1025" s="739"/>
      <c r="E1025" s="765"/>
      <c r="F1025" s="765"/>
      <c r="G1025" s="765"/>
      <c r="H1025" s="765"/>
      <c r="I1025" s="746" t="str">
        <f t="shared" si="46"/>
        <v/>
      </c>
      <c r="J1025" s="731"/>
      <c r="K1025" s="731" t="str">
        <f t="shared" si="45"/>
        <v/>
      </c>
      <c r="L1025" s="726"/>
      <c r="M1025" s="726"/>
      <c r="N1025" s="726"/>
      <c r="O1025" s="726"/>
      <c r="P1025" s="726"/>
      <c r="Q1025" s="726"/>
      <c r="R1025" s="726"/>
      <c r="S1025" s="726"/>
      <c r="T1025" s="726"/>
      <c r="U1025" s="726"/>
      <c r="V1025" s="726"/>
      <c r="W1025" s="726"/>
      <c r="X1025" s="726"/>
      <c r="Y1025" s="726"/>
      <c r="Z1025" s="726"/>
      <c r="AA1025" s="732"/>
      <c r="AB1025" s="732"/>
      <c r="AC1025" s="732"/>
      <c r="AD1025" s="732"/>
      <c r="AE1025" s="733"/>
      <c r="AF1025" s="734" t="str">
        <f t="shared" si="47"/>
        <v/>
      </c>
      <c r="AG1025" s="773"/>
    </row>
    <row r="1026" spans="1:64" ht="19.5" customHeight="1" x14ac:dyDescent="0.25">
      <c r="A1026" s="758"/>
      <c r="B1026" s="737"/>
      <c r="C1026" s="730"/>
      <c r="D1026" s="739"/>
      <c r="E1026" s="765"/>
      <c r="F1026" s="765"/>
      <c r="G1026" s="765"/>
      <c r="H1026" s="765"/>
      <c r="I1026" s="746" t="str">
        <f t="shared" si="46"/>
        <v/>
      </c>
      <c r="J1026" s="731"/>
      <c r="K1026" s="731" t="str">
        <f t="shared" si="45"/>
        <v/>
      </c>
      <c r="L1026" s="726"/>
      <c r="M1026" s="726"/>
      <c r="N1026" s="726"/>
      <c r="O1026" s="726"/>
      <c r="P1026" s="726"/>
      <c r="Q1026" s="726"/>
      <c r="R1026" s="726"/>
      <c r="S1026" s="726"/>
      <c r="T1026" s="726"/>
      <c r="U1026" s="726"/>
      <c r="V1026" s="726"/>
      <c r="W1026" s="726"/>
      <c r="X1026" s="726"/>
      <c r="Y1026" s="726"/>
      <c r="Z1026" s="726"/>
      <c r="AA1026" s="732"/>
      <c r="AB1026" s="732"/>
      <c r="AC1026" s="732"/>
      <c r="AD1026" s="732"/>
      <c r="AE1026" s="733"/>
      <c r="AF1026" s="734" t="str">
        <f t="shared" si="47"/>
        <v/>
      </c>
      <c r="AG1026" s="775"/>
      <c r="AH1026" s="779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36"/>
      <c r="BJ1026" s="36"/>
      <c r="BK1026" s="36"/>
      <c r="BL1026" s="36"/>
    </row>
    <row r="1027" spans="1:64" ht="19.5" customHeight="1" x14ac:dyDescent="0.25">
      <c r="A1027" s="758"/>
      <c r="B1027" s="737"/>
      <c r="C1027" s="730"/>
      <c r="D1027" s="739"/>
      <c r="E1027" s="765"/>
      <c r="F1027" s="765"/>
      <c r="G1027" s="765"/>
      <c r="H1027" s="765"/>
      <c r="I1027" s="746" t="str">
        <f t="shared" si="46"/>
        <v/>
      </c>
      <c r="J1027" s="731"/>
      <c r="K1027" s="731" t="str">
        <f t="shared" si="45"/>
        <v/>
      </c>
      <c r="L1027" s="726"/>
      <c r="M1027" s="726"/>
      <c r="N1027" s="726"/>
      <c r="O1027" s="726"/>
      <c r="P1027" s="726"/>
      <c r="Q1027" s="726"/>
      <c r="R1027" s="726"/>
      <c r="S1027" s="726"/>
      <c r="T1027" s="726"/>
      <c r="U1027" s="726"/>
      <c r="V1027" s="726"/>
      <c r="W1027" s="726"/>
      <c r="X1027" s="726"/>
      <c r="Y1027" s="726"/>
      <c r="Z1027" s="726"/>
      <c r="AA1027" s="732"/>
      <c r="AB1027" s="732"/>
      <c r="AC1027" s="732"/>
      <c r="AD1027" s="732"/>
      <c r="AE1027" s="733"/>
      <c r="AF1027" s="734" t="str">
        <f t="shared" si="47"/>
        <v/>
      </c>
      <c r="AG1027" s="775"/>
      <c r="AH1027" s="779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36"/>
      <c r="AZ1027" s="36"/>
      <c r="BA1027" s="36"/>
      <c r="BB1027" s="36"/>
      <c r="BC1027" s="36"/>
      <c r="BD1027" s="36"/>
      <c r="BE1027" s="36"/>
      <c r="BF1027" s="36"/>
      <c r="BG1027" s="36"/>
      <c r="BH1027" s="36"/>
      <c r="BI1027" s="36"/>
      <c r="BJ1027" s="36"/>
      <c r="BK1027" s="36"/>
      <c r="BL1027" s="36"/>
    </row>
    <row r="1028" spans="1:64" ht="18.75" x14ac:dyDescent="0.25">
      <c r="A1028" s="758"/>
      <c r="B1028" s="737"/>
      <c r="C1028" s="730"/>
      <c r="D1028" s="739"/>
      <c r="E1028" s="765"/>
      <c r="F1028" s="765"/>
      <c r="G1028" s="765"/>
      <c r="H1028" s="765"/>
      <c r="I1028" s="746" t="str">
        <f t="shared" si="46"/>
        <v/>
      </c>
      <c r="J1028" s="731"/>
      <c r="K1028" s="731" t="str">
        <f t="shared" ref="K1028:K1091" si="48">IF(AA1028-AE1028 = 0,"",AA1028-AE1028)</f>
        <v/>
      </c>
      <c r="L1028" s="726"/>
      <c r="M1028" s="726"/>
      <c r="N1028" s="726"/>
      <c r="O1028" s="726"/>
      <c r="P1028" s="726"/>
      <c r="Q1028" s="726"/>
      <c r="R1028" s="726"/>
      <c r="S1028" s="726"/>
      <c r="T1028" s="726"/>
      <c r="U1028" s="726"/>
      <c r="V1028" s="726"/>
      <c r="W1028" s="726"/>
      <c r="X1028" s="726"/>
      <c r="Y1028" s="726"/>
      <c r="Z1028" s="726"/>
      <c r="AA1028" s="732"/>
      <c r="AB1028" s="732"/>
      <c r="AC1028" s="732"/>
      <c r="AD1028" s="732"/>
      <c r="AE1028" s="733"/>
      <c r="AF1028" s="734" t="str">
        <f t="shared" si="47"/>
        <v/>
      </c>
      <c r="AG1028" s="773"/>
    </row>
    <row r="1029" spans="1:64" ht="18.75" x14ac:dyDescent="0.25">
      <c r="A1029" s="758"/>
      <c r="B1029" s="737"/>
      <c r="C1029" s="730"/>
      <c r="D1029" s="739"/>
      <c r="E1029" s="765"/>
      <c r="F1029" s="765"/>
      <c r="G1029" s="765"/>
      <c r="H1029" s="765"/>
      <c r="I1029" s="746" t="str">
        <f t="shared" ref="I1029:I1092" si="49">AF1029</f>
        <v/>
      </c>
      <c r="J1029" s="731"/>
      <c r="K1029" s="731" t="str">
        <f t="shared" si="48"/>
        <v/>
      </c>
      <c r="L1029" s="726"/>
      <c r="M1029" s="726"/>
      <c r="N1029" s="726"/>
      <c r="O1029" s="726"/>
      <c r="P1029" s="726"/>
      <c r="Q1029" s="726"/>
      <c r="R1029" s="726"/>
      <c r="S1029" s="726"/>
      <c r="T1029" s="726"/>
      <c r="U1029" s="726"/>
      <c r="V1029" s="726"/>
      <c r="W1029" s="726"/>
      <c r="X1029" s="726"/>
      <c r="Y1029" s="726"/>
      <c r="Z1029" s="726"/>
      <c r="AA1029" s="732"/>
      <c r="AB1029" s="732"/>
      <c r="AC1029" s="732"/>
      <c r="AD1029" s="732"/>
      <c r="AE1029" s="733"/>
      <c r="AF1029" s="734" t="str">
        <f t="shared" ref="AF1029:AF1092" si="50">IF(AE1029 &lt;&gt;"", AE1029/AA1029,"")</f>
        <v/>
      </c>
      <c r="AG1029" s="773"/>
    </row>
    <row r="1030" spans="1:64" ht="18.75" x14ac:dyDescent="0.25">
      <c r="A1030" s="758"/>
      <c r="B1030" s="737"/>
      <c r="C1030" s="730"/>
      <c r="D1030" s="739"/>
      <c r="E1030" s="765"/>
      <c r="F1030" s="765"/>
      <c r="G1030" s="765"/>
      <c r="H1030" s="765"/>
      <c r="I1030" s="746" t="str">
        <f t="shared" si="49"/>
        <v/>
      </c>
      <c r="J1030" s="731"/>
      <c r="K1030" s="731" t="str">
        <f t="shared" si="48"/>
        <v/>
      </c>
      <c r="L1030" s="726"/>
      <c r="M1030" s="726"/>
      <c r="N1030" s="726"/>
      <c r="O1030" s="726"/>
      <c r="P1030" s="726"/>
      <c r="Q1030" s="726"/>
      <c r="R1030" s="726"/>
      <c r="S1030" s="726"/>
      <c r="T1030" s="726"/>
      <c r="U1030" s="726"/>
      <c r="V1030" s="726"/>
      <c r="W1030" s="726"/>
      <c r="X1030" s="726"/>
      <c r="Y1030" s="726"/>
      <c r="Z1030" s="726"/>
      <c r="AA1030" s="732"/>
      <c r="AB1030" s="732"/>
      <c r="AC1030" s="732"/>
      <c r="AD1030" s="732"/>
      <c r="AE1030" s="733"/>
      <c r="AF1030" s="734" t="str">
        <f t="shared" si="50"/>
        <v/>
      </c>
      <c r="AG1030" s="773"/>
    </row>
    <row r="1031" spans="1:64" ht="18.75" x14ac:dyDescent="0.25">
      <c r="A1031" s="758"/>
      <c r="B1031" s="737"/>
      <c r="C1031" s="730"/>
      <c r="D1031" s="739"/>
      <c r="E1031" s="765"/>
      <c r="F1031" s="765"/>
      <c r="G1031" s="765"/>
      <c r="H1031" s="765"/>
      <c r="I1031" s="746" t="str">
        <f t="shared" si="49"/>
        <v/>
      </c>
      <c r="J1031" s="731"/>
      <c r="K1031" s="731" t="str">
        <f t="shared" si="48"/>
        <v/>
      </c>
      <c r="L1031" s="726"/>
      <c r="M1031" s="726"/>
      <c r="N1031" s="726"/>
      <c r="O1031" s="726"/>
      <c r="P1031" s="726"/>
      <c r="Q1031" s="726"/>
      <c r="R1031" s="726"/>
      <c r="S1031" s="726"/>
      <c r="T1031" s="726"/>
      <c r="U1031" s="726"/>
      <c r="V1031" s="726"/>
      <c r="W1031" s="726"/>
      <c r="X1031" s="726"/>
      <c r="Y1031" s="726"/>
      <c r="Z1031" s="726"/>
      <c r="AA1031" s="732"/>
      <c r="AB1031" s="732"/>
      <c r="AC1031" s="732"/>
      <c r="AD1031" s="732"/>
      <c r="AE1031" s="733"/>
      <c r="AF1031" s="734" t="str">
        <f t="shared" si="50"/>
        <v/>
      </c>
      <c r="AG1031" s="773"/>
    </row>
    <row r="1032" spans="1:64" ht="18.75" x14ac:dyDescent="0.25">
      <c r="A1032" s="758"/>
      <c r="B1032" s="737"/>
      <c r="C1032" s="730"/>
      <c r="D1032" s="739"/>
      <c r="E1032" s="765"/>
      <c r="F1032" s="765"/>
      <c r="G1032" s="765"/>
      <c r="H1032" s="765"/>
      <c r="I1032" s="746" t="str">
        <f t="shared" si="49"/>
        <v/>
      </c>
      <c r="J1032" s="731"/>
      <c r="K1032" s="731" t="str">
        <f t="shared" si="48"/>
        <v/>
      </c>
      <c r="L1032" s="726"/>
      <c r="M1032" s="726"/>
      <c r="N1032" s="726"/>
      <c r="O1032" s="726"/>
      <c r="P1032" s="726"/>
      <c r="Q1032" s="726"/>
      <c r="R1032" s="726"/>
      <c r="S1032" s="726"/>
      <c r="T1032" s="726"/>
      <c r="U1032" s="726"/>
      <c r="V1032" s="726"/>
      <c r="W1032" s="726"/>
      <c r="X1032" s="726"/>
      <c r="Y1032" s="726"/>
      <c r="Z1032" s="726"/>
      <c r="AA1032" s="732"/>
      <c r="AB1032" s="732"/>
      <c r="AC1032" s="732"/>
      <c r="AD1032" s="732"/>
      <c r="AE1032" s="733"/>
      <c r="AF1032" s="734" t="str">
        <f t="shared" si="50"/>
        <v/>
      </c>
      <c r="AG1032" s="773"/>
    </row>
    <row r="1033" spans="1:64" ht="18.75" x14ac:dyDescent="0.25">
      <c r="A1033" s="758"/>
      <c r="B1033" s="737"/>
      <c r="C1033" s="730"/>
      <c r="D1033" s="739"/>
      <c r="E1033" s="765"/>
      <c r="F1033" s="765"/>
      <c r="G1033" s="765"/>
      <c r="H1033" s="765"/>
      <c r="I1033" s="746" t="str">
        <f t="shared" si="49"/>
        <v/>
      </c>
      <c r="J1033" s="731"/>
      <c r="K1033" s="731" t="str">
        <f t="shared" si="48"/>
        <v/>
      </c>
      <c r="L1033" s="726"/>
      <c r="M1033" s="726"/>
      <c r="N1033" s="726"/>
      <c r="O1033" s="726"/>
      <c r="P1033" s="726"/>
      <c r="Q1033" s="726"/>
      <c r="R1033" s="726"/>
      <c r="S1033" s="726"/>
      <c r="T1033" s="726"/>
      <c r="U1033" s="726"/>
      <c r="V1033" s="726"/>
      <c r="W1033" s="726"/>
      <c r="X1033" s="726"/>
      <c r="Y1033" s="726"/>
      <c r="Z1033" s="726"/>
      <c r="AA1033" s="732"/>
      <c r="AB1033" s="732"/>
      <c r="AC1033" s="732"/>
      <c r="AD1033" s="732"/>
      <c r="AE1033" s="733"/>
      <c r="AF1033" s="734" t="str">
        <f t="shared" si="50"/>
        <v/>
      </c>
      <c r="AG1033" s="773"/>
    </row>
    <row r="1034" spans="1:64" ht="18.75" x14ac:dyDescent="0.25">
      <c r="A1034" s="758"/>
      <c r="B1034" s="737"/>
      <c r="C1034" s="730"/>
      <c r="D1034" s="739"/>
      <c r="E1034" s="765"/>
      <c r="F1034" s="765"/>
      <c r="G1034" s="765"/>
      <c r="H1034" s="765"/>
      <c r="I1034" s="746" t="str">
        <f t="shared" si="49"/>
        <v/>
      </c>
      <c r="J1034" s="731"/>
      <c r="K1034" s="731" t="str">
        <f t="shared" si="48"/>
        <v/>
      </c>
      <c r="L1034" s="726"/>
      <c r="M1034" s="726"/>
      <c r="N1034" s="726"/>
      <c r="O1034" s="726"/>
      <c r="P1034" s="726"/>
      <c r="Q1034" s="726"/>
      <c r="R1034" s="726"/>
      <c r="S1034" s="726"/>
      <c r="T1034" s="726"/>
      <c r="U1034" s="726"/>
      <c r="V1034" s="726"/>
      <c r="W1034" s="726"/>
      <c r="X1034" s="726"/>
      <c r="Y1034" s="726"/>
      <c r="Z1034" s="726"/>
      <c r="AA1034" s="732"/>
      <c r="AB1034" s="732"/>
      <c r="AC1034" s="732"/>
      <c r="AD1034" s="732"/>
      <c r="AE1034" s="733"/>
      <c r="AF1034" s="734" t="str">
        <f t="shared" si="50"/>
        <v/>
      </c>
      <c r="AG1034" s="775"/>
      <c r="AH1034" s="779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36"/>
      <c r="BJ1034" s="36"/>
      <c r="BK1034" s="36"/>
      <c r="BL1034" s="36"/>
    </row>
    <row r="1035" spans="1:64" ht="18.75" x14ac:dyDescent="0.25">
      <c r="A1035" s="758"/>
      <c r="B1035" s="737"/>
      <c r="C1035" s="730"/>
      <c r="D1035" s="739"/>
      <c r="E1035" s="765"/>
      <c r="F1035" s="765"/>
      <c r="G1035" s="765"/>
      <c r="H1035" s="765"/>
      <c r="I1035" s="746" t="str">
        <f t="shared" si="49"/>
        <v/>
      </c>
      <c r="J1035" s="731"/>
      <c r="K1035" s="731" t="str">
        <f t="shared" si="48"/>
        <v/>
      </c>
      <c r="L1035" s="726"/>
      <c r="M1035" s="726"/>
      <c r="N1035" s="726"/>
      <c r="O1035" s="726"/>
      <c r="P1035" s="726"/>
      <c r="Q1035" s="726"/>
      <c r="R1035" s="726"/>
      <c r="S1035" s="726"/>
      <c r="T1035" s="726"/>
      <c r="U1035" s="726"/>
      <c r="V1035" s="726"/>
      <c r="W1035" s="726"/>
      <c r="X1035" s="726"/>
      <c r="Y1035" s="726"/>
      <c r="Z1035" s="726"/>
      <c r="AA1035" s="732"/>
      <c r="AB1035" s="732"/>
      <c r="AC1035" s="732"/>
      <c r="AD1035" s="732"/>
      <c r="AE1035" s="733"/>
      <c r="AF1035" s="734" t="str">
        <f t="shared" si="50"/>
        <v/>
      </c>
      <c r="AG1035" s="773"/>
    </row>
    <row r="1036" spans="1:64" ht="18.75" x14ac:dyDescent="0.25">
      <c r="A1036" s="758"/>
      <c r="B1036" s="737"/>
      <c r="C1036" s="730"/>
      <c r="D1036" s="739"/>
      <c r="E1036" s="765"/>
      <c r="F1036" s="765"/>
      <c r="G1036" s="765"/>
      <c r="H1036" s="765"/>
      <c r="I1036" s="746" t="str">
        <f t="shared" si="49"/>
        <v/>
      </c>
      <c r="J1036" s="731"/>
      <c r="K1036" s="731" t="str">
        <f t="shared" si="48"/>
        <v/>
      </c>
      <c r="L1036" s="726"/>
      <c r="M1036" s="726"/>
      <c r="N1036" s="726"/>
      <c r="O1036" s="726"/>
      <c r="P1036" s="726"/>
      <c r="Q1036" s="726"/>
      <c r="R1036" s="726"/>
      <c r="S1036" s="726"/>
      <c r="T1036" s="726"/>
      <c r="U1036" s="726"/>
      <c r="V1036" s="726"/>
      <c r="W1036" s="726"/>
      <c r="X1036" s="726"/>
      <c r="Y1036" s="726"/>
      <c r="Z1036" s="726"/>
      <c r="AA1036" s="732"/>
      <c r="AB1036" s="732"/>
      <c r="AC1036" s="732"/>
      <c r="AD1036" s="732"/>
      <c r="AE1036" s="733"/>
      <c r="AF1036" s="734" t="str">
        <f t="shared" si="50"/>
        <v/>
      </c>
      <c r="AG1036" s="773"/>
    </row>
    <row r="1037" spans="1:64" ht="18.75" x14ac:dyDescent="0.25">
      <c r="A1037" s="758"/>
      <c r="B1037" s="737"/>
      <c r="C1037" s="730"/>
      <c r="D1037" s="739"/>
      <c r="E1037" s="765"/>
      <c r="F1037" s="765"/>
      <c r="G1037" s="765"/>
      <c r="H1037" s="765"/>
      <c r="I1037" s="746" t="str">
        <f t="shared" si="49"/>
        <v/>
      </c>
      <c r="J1037" s="731"/>
      <c r="K1037" s="731" t="str">
        <f t="shared" si="48"/>
        <v/>
      </c>
      <c r="L1037" s="726"/>
      <c r="M1037" s="726"/>
      <c r="N1037" s="726"/>
      <c r="O1037" s="726"/>
      <c r="P1037" s="726"/>
      <c r="Q1037" s="726"/>
      <c r="R1037" s="726"/>
      <c r="S1037" s="726"/>
      <c r="T1037" s="726"/>
      <c r="U1037" s="726"/>
      <c r="V1037" s="726"/>
      <c r="W1037" s="726"/>
      <c r="X1037" s="726"/>
      <c r="Y1037" s="726"/>
      <c r="Z1037" s="726"/>
      <c r="AA1037" s="732"/>
      <c r="AB1037" s="732"/>
      <c r="AC1037" s="732"/>
      <c r="AD1037" s="732"/>
      <c r="AE1037" s="733"/>
      <c r="AF1037" s="734" t="str">
        <f t="shared" si="50"/>
        <v/>
      </c>
      <c r="AG1037" s="773"/>
    </row>
    <row r="1038" spans="1:64" ht="18.75" x14ac:dyDescent="0.25">
      <c r="A1038" s="758"/>
      <c r="B1038" s="737"/>
      <c r="C1038" s="730"/>
      <c r="D1038" s="739"/>
      <c r="E1038" s="765"/>
      <c r="F1038" s="765"/>
      <c r="G1038" s="765"/>
      <c r="H1038" s="765"/>
      <c r="I1038" s="746" t="str">
        <f t="shared" si="49"/>
        <v/>
      </c>
      <c r="J1038" s="731"/>
      <c r="K1038" s="731" t="str">
        <f t="shared" si="48"/>
        <v/>
      </c>
      <c r="L1038" s="726"/>
      <c r="M1038" s="726"/>
      <c r="N1038" s="726"/>
      <c r="O1038" s="726"/>
      <c r="P1038" s="726"/>
      <c r="Q1038" s="726"/>
      <c r="R1038" s="726"/>
      <c r="S1038" s="726"/>
      <c r="T1038" s="726"/>
      <c r="U1038" s="726"/>
      <c r="V1038" s="726"/>
      <c r="W1038" s="726"/>
      <c r="X1038" s="726"/>
      <c r="Y1038" s="726"/>
      <c r="Z1038" s="726"/>
      <c r="AA1038" s="732"/>
      <c r="AB1038" s="732"/>
      <c r="AC1038" s="732"/>
      <c r="AD1038" s="732"/>
      <c r="AE1038" s="733"/>
      <c r="AF1038" s="734" t="str">
        <f t="shared" si="50"/>
        <v/>
      </c>
      <c r="AG1038" s="773"/>
    </row>
    <row r="1039" spans="1:64" ht="18.75" x14ac:dyDescent="0.25">
      <c r="A1039" s="758"/>
      <c r="B1039" s="737"/>
      <c r="C1039" s="730"/>
      <c r="D1039" s="739"/>
      <c r="E1039" s="765"/>
      <c r="F1039" s="765"/>
      <c r="G1039" s="765"/>
      <c r="H1039" s="765"/>
      <c r="I1039" s="746" t="str">
        <f t="shared" si="49"/>
        <v/>
      </c>
      <c r="J1039" s="731"/>
      <c r="K1039" s="731" t="str">
        <f t="shared" si="48"/>
        <v/>
      </c>
      <c r="L1039" s="726"/>
      <c r="M1039" s="726"/>
      <c r="N1039" s="726"/>
      <c r="O1039" s="726"/>
      <c r="P1039" s="726"/>
      <c r="Q1039" s="726"/>
      <c r="R1039" s="726"/>
      <c r="S1039" s="726"/>
      <c r="T1039" s="726"/>
      <c r="U1039" s="726"/>
      <c r="V1039" s="726"/>
      <c r="W1039" s="726"/>
      <c r="X1039" s="726"/>
      <c r="Y1039" s="726"/>
      <c r="Z1039" s="726"/>
      <c r="AA1039" s="732"/>
      <c r="AB1039" s="732"/>
      <c r="AC1039" s="732"/>
      <c r="AD1039" s="732"/>
      <c r="AE1039" s="733"/>
      <c r="AF1039" s="734" t="str">
        <f t="shared" si="50"/>
        <v/>
      </c>
      <c r="AG1039" s="773"/>
    </row>
    <row r="1040" spans="1:64" ht="18.75" x14ac:dyDescent="0.25">
      <c r="A1040" s="758"/>
      <c r="B1040" s="737"/>
      <c r="C1040" s="730"/>
      <c r="D1040" s="739"/>
      <c r="E1040" s="765"/>
      <c r="F1040" s="765"/>
      <c r="G1040" s="765"/>
      <c r="H1040" s="765"/>
      <c r="I1040" s="746" t="str">
        <f t="shared" si="49"/>
        <v/>
      </c>
      <c r="J1040" s="731"/>
      <c r="K1040" s="731" t="str">
        <f t="shared" si="48"/>
        <v/>
      </c>
      <c r="L1040" s="726"/>
      <c r="M1040" s="726"/>
      <c r="N1040" s="726"/>
      <c r="O1040" s="726"/>
      <c r="P1040" s="726"/>
      <c r="Q1040" s="726"/>
      <c r="R1040" s="726"/>
      <c r="S1040" s="726"/>
      <c r="T1040" s="726"/>
      <c r="U1040" s="726"/>
      <c r="V1040" s="726"/>
      <c r="W1040" s="726"/>
      <c r="X1040" s="726"/>
      <c r="Y1040" s="726"/>
      <c r="Z1040" s="726"/>
      <c r="AA1040" s="732"/>
      <c r="AB1040" s="732"/>
      <c r="AC1040" s="732"/>
      <c r="AD1040" s="732"/>
      <c r="AE1040" s="733"/>
      <c r="AF1040" s="734" t="str">
        <f t="shared" si="50"/>
        <v/>
      </c>
      <c r="AG1040" s="773"/>
    </row>
    <row r="1041" spans="1:64" ht="19.5" customHeight="1" x14ac:dyDescent="0.25">
      <c r="A1041" s="758"/>
      <c r="B1041" s="737"/>
      <c r="C1041" s="730"/>
      <c r="D1041" s="739"/>
      <c r="E1041" s="765"/>
      <c r="F1041" s="765"/>
      <c r="G1041" s="765"/>
      <c r="H1041" s="765"/>
      <c r="I1041" s="746" t="str">
        <f t="shared" si="49"/>
        <v/>
      </c>
      <c r="J1041" s="731"/>
      <c r="K1041" s="731" t="str">
        <f t="shared" si="48"/>
        <v/>
      </c>
      <c r="L1041" s="726"/>
      <c r="M1041" s="726"/>
      <c r="N1041" s="726"/>
      <c r="O1041" s="726"/>
      <c r="P1041" s="726"/>
      <c r="Q1041" s="726"/>
      <c r="R1041" s="726"/>
      <c r="S1041" s="726"/>
      <c r="T1041" s="726"/>
      <c r="U1041" s="726"/>
      <c r="V1041" s="726"/>
      <c r="W1041" s="726"/>
      <c r="X1041" s="726"/>
      <c r="Y1041" s="726"/>
      <c r="Z1041" s="726"/>
      <c r="AA1041" s="732"/>
      <c r="AB1041" s="732"/>
      <c r="AC1041" s="732"/>
      <c r="AD1041" s="732"/>
      <c r="AE1041" s="733"/>
      <c r="AF1041" s="734" t="str">
        <f t="shared" si="50"/>
        <v/>
      </c>
      <c r="AG1041" s="775"/>
      <c r="AH1041" s="779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  <c r="AW1041" s="36"/>
      <c r="AX1041" s="36"/>
      <c r="AY1041" s="36"/>
      <c r="AZ1041" s="36"/>
      <c r="BA1041" s="36"/>
      <c r="BB1041" s="36"/>
      <c r="BC1041" s="36"/>
      <c r="BD1041" s="36"/>
      <c r="BE1041" s="36"/>
      <c r="BF1041" s="36"/>
      <c r="BG1041" s="36"/>
      <c r="BH1041" s="36"/>
      <c r="BI1041" s="36"/>
      <c r="BJ1041" s="36"/>
      <c r="BK1041" s="36"/>
      <c r="BL1041" s="36"/>
    </row>
    <row r="1042" spans="1:64" ht="19.5" customHeight="1" x14ac:dyDescent="0.25">
      <c r="A1042" s="758"/>
      <c r="B1042" s="737"/>
      <c r="C1042" s="730"/>
      <c r="D1042" s="739"/>
      <c r="E1042" s="765"/>
      <c r="F1042" s="765"/>
      <c r="G1042" s="765"/>
      <c r="H1042" s="765"/>
      <c r="I1042" s="746" t="str">
        <f t="shared" si="49"/>
        <v/>
      </c>
      <c r="J1042" s="731"/>
      <c r="K1042" s="731" t="str">
        <f t="shared" si="48"/>
        <v/>
      </c>
      <c r="L1042" s="726"/>
      <c r="M1042" s="726"/>
      <c r="N1042" s="726"/>
      <c r="O1042" s="726"/>
      <c r="P1042" s="726"/>
      <c r="Q1042" s="726"/>
      <c r="R1042" s="726"/>
      <c r="S1042" s="726"/>
      <c r="T1042" s="726"/>
      <c r="U1042" s="726"/>
      <c r="V1042" s="726"/>
      <c r="W1042" s="726"/>
      <c r="X1042" s="726"/>
      <c r="Y1042" s="726"/>
      <c r="Z1042" s="726"/>
      <c r="AA1042" s="732"/>
      <c r="AB1042" s="732"/>
      <c r="AC1042" s="732"/>
      <c r="AD1042" s="732"/>
      <c r="AE1042" s="733"/>
      <c r="AF1042" s="734" t="str">
        <f t="shared" si="50"/>
        <v/>
      </c>
      <c r="AG1042" s="775"/>
      <c r="AH1042" s="779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  <c r="AW1042" s="36"/>
      <c r="AX1042" s="36"/>
      <c r="AY1042" s="36"/>
      <c r="AZ1042" s="36"/>
      <c r="BA1042" s="36"/>
      <c r="BB1042" s="36"/>
      <c r="BC1042" s="36"/>
      <c r="BD1042" s="36"/>
      <c r="BE1042" s="36"/>
      <c r="BF1042" s="36"/>
      <c r="BG1042" s="36"/>
      <c r="BH1042" s="36"/>
      <c r="BI1042" s="36"/>
      <c r="BJ1042" s="36"/>
      <c r="BK1042" s="36"/>
      <c r="BL1042" s="36"/>
    </row>
    <row r="1043" spans="1:64" ht="18.75" x14ac:dyDescent="0.25">
      <c r="A1043" s="758"/>
      <c r="B1043" s="737"/>
      <c r="C1043" s="730"/>
      <c r="D1043" s="739"/>
      <c r="E1043" s="765"/>
      <c r="F1043" s="765"/>
      <c r="G1043" s="765"/>
      <c r="H1043" s="765"/>
      <c r="I1043" s="746" t="str">
        <f t="shared" si="49"/>
        <v/>
      </c>
      <c r="J1043" s="731"/>
      <c r="K1043" s="731" t="str">
        <f t="shared" si="48"/>
        <v/>
      </c>
      <c r="L1043" s="726"/>
      <c r="M1043" s="726"/>
      <c r="N1043" s="726"/>
      <c r="O1043" s="726"/>
      <c r="P1043" s="726"/>
      <c r="Q1043" s="726"/>
      <c r="R1043" s="726"/>
      <c r="S1043" s="726"/>
      <c r="T1043" s="726"/>
      <c r="U1043" s="726"/>
      <c r="V1043" s="726"/>
      <c r="W1043" s="726"/>
      <c r="X1043" s="726"/>
      <c r="Y1043" s="726"/>
      <c r="Z1043" s="726"/>
      <c r="AA1043" s="732"/>
      <c r="AB1043" s="732"/>
      <c r="AC1043" s="732"/>
      <c r="AD1043" s="732"/>
      <c r="AE1043" s="733"/>
      <c r="AF1043" s="734" t="str">
        <f t="shared" si="50"/>
        <v/>
      </c>
      <c r="AG1043" s="773"/>
    </row>
    <row r="1044" spans="1:64" ht="18.75" x14ac:dyDescent="0.25">
      <c r="A1044" s="758"/>
      <c r="B1044" s="737"/>
      <c r="C1044" s="730"/>
      <c r="D1044" s="739"/>
      <c r="E1044" s="765"/>
      <c r="F1044" s="765"/>
      <c r="G1044" s="765"/>
      <c r="H1044" s="765"/>
      <c r="I1044" s="746" t="str">
        <f t="shared" si="49"/>
        <v/>
      </c>
      <c r="J1044" s="731"/>
      <c r="K1044" s="731" t="str">
        <f t="shared" si="48"/>
        <v/>
      </c>
      <c r="L1044" s="726"/>
      <c r="M1044" s="726"/>
      <c r="N1044" s="726"/>
      <c r="O1044" s="726"/>
      <c r="P1044" s="726"/>
      <c r="Q1044" s="726"/>
      <c r="R1044" s="726"/>
      <c r="S1044" s="726"/>
      <c r="T1044" s="726"/>
      <c r="U1044" s="726"/>
      <c r="V1044" s="726"/>
      <c r="W1044" s="726"/>
      <c r="X1044" s="726"/>
      <c r="Y1044" s="726"/>
      <c r="Z1044" s="726"/>
      <c r="AA1044" s="732"/>
      <c r="AB1044" s="732"/>
      <c r="AC1044" s="732"/>
      <c r="AD1044" s="732"/>
      <c r="AE1044" s="733"/>
      <c r="AF1044" s="734" t="str">
        <f t="shared" si="50"/>
        <v/>
      </c>
      <c r="AG1044" s="773"/>
    </row>
    <row r="1045" spans="1:64" ht="18.75" x14ac:dyDescent="0.25">
      <c r="A1045" s="758"/>
      <c r="B1045" s="737"/>
      <c r="C1045" s="730"/>
      <c r="D1045" s="739"/>
      <c r="E1045" s="765"/>
      <c r="F1045" s="765"/>
      <c r="G1045" s="765"/>
      <c r="H1045" s="765"/>
      <c r="I1045" s="746" t="str">
        <f t="shared" si="49"/>
        <v/>
      </c>
      <c r="J1045" s="731"/>
      <c r="K1045" s="731" t="str">
        <f t="shared" si="48"/>
        <v/>
      </c>
      <c r="L1045" s="726"/>
      <c r="M1045" s="726"/>
      <c r="N1045" s="726"/>
      <c r="O1045" s="726"/>
      <c r="P1045" s="726"/>
      <c r="Q1045" s="726"/>
      <c r="R1045" s="726"/>
      <c r="S1045" s="726"/>
      <c r="T1045" s="726"/>
      <c r="U1045" s="726"/>
      <c r="V1045" s="726"/>
      <c r="W1045" s="726"/>
      <c r="X1045" s="726"/>
      <c r="Y1045" s="726"/>
      <c r="Z1045" s="726"/>
      <c r="AA1045" s="732"/>
      <c r="AB1045" s="732"/>
      <c r="AC1045" s="732"/>
      <c r="AD1045" s="732"/>
      <c r="AE1045" s="733"/>
      <c r="AF1045" s="734" t="str">
        <f t="shared" si="50"/>
        <v/>
      </c>
      <c r="AG1045" s="773"/>
    </row>
    <row r="1046" spans="1:64" ht="18.75" x14ac:dyDescent="0.25">
      <c r="A1046" s="758"/>
      <c r="B1046" s="737"/>
      <c r="C1046" s="730"/>
      <c r="D1046" s="739"/>
      <c r="E1046" s="765"/>
      <c r="F1046" s="765"/>
      <c r="G1046" s="765"/>
      <c r="H1046" s="765"/>
      <c r="I1046" s="746" t="str">
        <f t="shared" si="49"/>
        <v/>
      </c>
      <c r="J1046" s="731"/>
      <c r="K1046" s="731" t="str">
        <f t="shared" si="48"/>
        <v/>
      </c>
      <c r="L1046" s="726"/>
      <c r="M1046" s="726"/>
      <c r="N1046" s="726"/>
      <c r="O1046" s="726"/>
      <c r="P1046" s="726"/>
      <c r="Q1046" s="726"/>
      <c r="R1046" s="726"/>
      <c r="S1046" s="726"/>
      <c r="T1046" s="726"/>
      <c r="U1046" s="726"/>
      <c r="V1046" s="726"/>
      <c r="W1046" s="726"/>
      <c r="X1046" s="726"/>
      <c r="Y1046" s="726"/>
      <c r="Z1046" s="726"/>
      <c r="AA1046" s="732"/>
      <c r="AB1046" s="732"/>
      <c r="AC1046" s="732"/>
      <c r="AD1046" s="732"/>
      <c r="AE1046" s="733"/>
      <c r="AF1046" s="734" t="str">
        <f t="shared" si="50"/>
        <v/>
      </c>
      <c r="AG1046" s="773"/>
    </row>
    <row r="1047" spans="1:64" ht="18.75" x14ac:dyDescent="0.25">
      <c r="A1047" s="758"/>
      <c r="B1047" s="737"/>
      <c r="C1047" s="730"/>
      <c r="D1047" s="739"/>
      <c r="E1047" s="765"/>
      <c r="F1047" s="765"/>
      <c r="G1047" s="765"/>
      <c r="H1047" s="765"/>
      <c r="I1047" s="746" t="str">
        <f t="shared" si="49"/>
        <v/>
      </c>
      <c r="J1047" s="731"/>
      <c r="K1047" s="731" t="str">
        <f t="shared" si="48"/>
        <v/>
      </c>
      <c r="L1047" s="726"/>
      <c r="M1047" s="726"/>
      <c r="N1047" s="726"/>
      <c r="O1047" s="726"/>
      <c r="P1047" s="726"/>
      <c r="Q1047" s="726"/>
      <c r="R1047" s="726"/>
      <c r="S1047" s="726"/>
      <c r="T1047" s="726"/>
      <c r="U1047" s="726"/>
      <c r="V1047" s="726"/>
      <c r="W1047" s="726"/>
      <c r="X1047" s="726"/>
      <c r="Y1047" s="726"/>
      <c r="Z1047" s="726"/>
      <c r="AA1047" s="732"/>
      <c r="AB1047" s="732"/>
      <c r="AC1047" s="732"/>
      <c r="AD1047" s="732"/>
      <c r="AE1047" s="733"/>
      <c r="AF1047" s="734" t="str">
        <f t="shared" si="50"/>
        <v/>
      </c>
      <c r="AG1047" s="773"/>
    </row>
    <row r="1048" spans="1:64" ht="18.75" x14ac:dyDescent="0.25">
      <c r="A1048" s="758"/>
      <c r="B1048" s="737"/>
      <c r="C1048" s="730"/>
      <c r="D1048" s="739"/>
      <c r="E1048" s="765"/>
      <c r="F1048" s="765"/>
      <c r="G1048" s="765"/>
      <c r="H1048" s="765"/>
      <c r="I1048" s="746" t="str">
        <f t="shared" si="49"/>
        <v/>
      </c>
      <c r="J1048" s="731"/>
      <c r="K1048" s="731" t="str">
        <f t="shared" si="48"/>
        <v/>
      </c>
      <c r="L1048" s="726"/>
      <c r="M1048" s="726"/>
      <c r="N1048" s="726"/>
      <c r="O1048" s="726"/>
      <c r="P1048" s="726"/>
      <c r="Q1048" s="726"/>
      <c r="R1048" s="726"/>
      <c r="S1048" s="726"/>
      <c r="T1048" s="726"/>
      <c r="U1048" s="726"/>
      <c r="V1048" s="726"/>
      <c r="W1048" s="726"/>
      <c r="X1048" s="726"/>
      <c r="Y1048" s="726"/>
      <c r="Z1048" s="726"/>
      <c r="AA1048" s="732"/>
      <c r="AB1048" s="732"/>
      <c r="AC1048" s="732"/>
      <c r="AD1048" s="732"/>
      <c r="AE1048" s="733"/>
      <c r="AF1048" s="734" t="str">
        <f t="shared" si="50"/>
        <v/>
      </c>
      <c r="AG1048" s="773"/>
    </row>
    <row r="1049" spans="1:64" ht="18.75" x14ac:dyDescent="0.25">
      <c r="A1049" s="758"/>
      <c r="B1049" s="737"/>
      <c r="C1049" s="730"/>
      <c r="D1049" s="739"/>
      <c r="E1049" s="765"/>
      <c r="F1049" s="765"/>
      <c r="G1049" s="765"/>
      <c r="H1049" s="765"/>
      <c r="I1049" s="746" t="str">
        <f t="shared" si="49"/>
        <v/>
      </c>
      <c r="J1049" s="731"/>
      <c r="K1049" s="731" t="str">
        <f t="shared" si="48"/>
        <v/>
      </c>
      <c r="L1049" s="726"/>
      <c r="M1049" s="726"/>
      <c r="N1049" s="726"/>
      <c r="O1049" s="726"/>
      <c r="P1049" s="726"/>
      <c r="Q1049" s="726"/>
      <c r="R1049" s="726"/>
      <c r="S1049" s="726"/>
      <c r="T1049" s="726"/>
      <c r="U1049" s="726"/>
      <c r="V1049" s="726"/>
      <c r="W1049" s="726"/>
      <c r="X1049" s="726"/>
      <c r="Y1049" s="726"/>
      <c r="Z1049" s="726"/>
      <c r="AA1049" s="732"/>
      <c r="AB1049" s="732"/>
      <c r="AC1049" s="732"/>
      <c r="AD1049" s="732"/>
      <c r="AE1049" s="733"/>
      <c r="AF1049" s="734" t="str">
        <f t="shared" si="50"/>
        <v/>
      </c>
      <c r="AG1049" s="775"/>
      <c r="AH1049" s="779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36"/>
      <c r="AZ1049" s="36"/>
      <c r="BA1049" s="36"/>
      <c r="BB1049" s="36"/>
      <c r="BC1049" s="36"/>
      <c r="BD1049" s="36"/>
      <c r="BE1049" s="36"/>
      <c r="BF1049" s="36"/>
      <c r="BG1049" s="36"/>
      <c r="BH1049" s="36"/>
      <c r="BI1049" s="36"/>
      <c r="BJ1049" s="36"/>
      <c r="BK1049" s="36"/>
      <c r="BL1049" s="36"/>
    </row>
    <row r="1050" spans="1:64" ht="18.75" x14ac:dyDescent="0.25">
      <c r="A1050" s="758"/>
      <c r="B1050" s="737"/>
      <c r="C1050" s="730"/>
      <c r="D1050" s="739"/>
      <c r="E1050" s="765"/>
      <c r="F1050" s="765"/>
      <c r="G1050" s="765"/>
      <c r="H1050" s="765"/>
      <c r="I1050" s="746" t="str">
        <f t="shared" si="49"/>
        <v/>
      </c>
      <c r="J1050" s="731"/>
      <c r="K1050" s="731" t="str">
        <f t="shared" si="48"/>
        <v/>
      </c>
      <c r="L1050" s="726"/>
      <c r="M1050" s="726"/>
      <c r="N1050" s="726"/>
      <c r="O1050" s="726"/>
      <c r="P1050" s="726"/>
      <c r="Q1050" s="726"/>
      <c r="R1050" s="726"/>
      <c r="S1050" s="726"/>
      <c r="T1050" s="726"/>
      <c r="U1050" s="726"/>
      <c r="V1050" s="726"/>
      <c r="W1050" s="726"/>
      <c r="X1050" s="726"/>
      <c r="Y1050" s="726"/>
      <c r="Z1050" s="726"/>
      <c r="AA1050" s="732"/>
      <c r="AB1050" s="732"/>
      <c r="AC1050" s="732"/>
      <c r="AD1050" s="732"/>
      <c r="AE1050" s="733"/>
      <c r="AF1050" s="734" t="str">
        <f t="shared" si="50"/>
        <v/>
      </c>
      <c r="AG1050" s="773"/>
    </row>
    <row r="1051" spans="1:64" ht="18.75" x14ac:dyDescent="0.25">
      <c r="A1051" s="758"/>
      <c r="B1051" s="737"/>
      <c r="C1051" s="730"/>
      <c r="D1051" s="739"/>
      <c r="E1051" s="765"/>
      <c r="F1051" s="765"/>
      <c r="G1051" s="765"/>
      <c r="H1051" s="765"/>
      <c r="I1051" s="746" t="str">
        <f t="shared" si="49"/>
        <v/>
      </c>
      <c r="J1051" s="731"/>
      <c r="K1051" s="731" t="str">
        <f t="shared" si="48"/>
        <v/>
      </c>
      <c r="L1051" s="726"/>
      <c r="M1051" s="726"/>
      <c r="N1051" s="726"/>
      <c r="O1051" s="726"/>
      <c r="P1051" s="726"/>
      <c r="Q1051" s="726"/>
      <c r="R1051" s="726"/>
      <c r="S1051" s="726"/>
      <c r="T1051" s="726"/>
      <c r="U1051" s="726"/>
      <c r="V1051" s="726"/>
      <c r="W1051" s="726"/>
      <c r="X1051" s="726"/>
      <c r="Y1051" s="726"/>
      <c r="Z1051" s="726"/>
      <c r="AA1051" s="732"/>
      <c r="AB1051" s="732"/>
      <c r="AC1051" s="732"/>
      <c r="AD1051" s="732"/>
      <c r="AE1051" s="733"/>
      <c r="AF1051" s="734" t="str">
        <f t="shared" si="50"/>
        <v/>
      </c>
      <c r="AG1051" s="773"/>
    </row>
    <row r="1052" spans="1:64" ht="18.75" x14ac:dyDescent="0.25">
      <c r="A1052" s="758"/>
      <c r="B1052" s="737"/>
      <c r="C1052" s="730"/>
      <c r="D1052" s="739"/>
      <c r="E1052" s="765"/>
      <c r="F1052" s="765"/>
      <c r="G1052" s="765"/>
      <c r="H1052" s="765"/>
      <c r="I1052" s="746" t="str">
        <f t="shared" si="49"/>
        <v/>
      </c>
      <c r="J1052" s="731"/>
      <c r="K1052" s="731" t="str">
        <f t="shared" si="48"/>
        <v/>
      </c>
      <c r="L1052" s="726"/>
      <c r="M1052" s="726"/>
      <c r="N1052" s="726"/>
      <c r="O1052" s="726"/>
      <c r="P1052" s="726"/>
      <c r="Q1052" s="726"/>
      <c r="R1052" s="726"/>
      <c r="S1052" s="726"/>
      <c r="T1052" s="726"/>
      <c r="U1052" s="726"/>
      <c r="V1052" s="726"/>
      <c r="W1052" s="726"/>
      <c r="X1052" s="726"/>
      <c r="Y1052" s="726"/>
      <c r="Z1052" s="726"/>
      <c r="AA1052" s="732"/>
      <c r="AB1052" s="732"/>
      <c r="AC1052" s="732"/>
      <c r="AD1052" s="732"/>
      <c r="AE1052" s="733"/>
      <c r="AF1052" s="734" t="str">
        <f t="shared" si="50"/>
        <v/>
      </c>
      <c r="AG1052" s="773"/>
    </row>
    <row r="1053" spans="1:64" ht="18.75" x14ac:dyDescent="0.25">
      <c r="A1053" s="758"/>
      <c r="B1053" s="737"/>
      <c r="C1053" s="730"/>
      <c r="D1053" s="739"/>
      <c r="E1053" s="765"/>
      <c r="F1053" s="765"/>
      <c r="G1053" s="765"/>
      <c r="H1053" s="765"/>
      <c r="I1053" s="746" t="str">
        <f t="shared" si="49"/>
        <v/>
      </c>
      <c r="J1053" s="731"/>
      <c r="K1053" s="731" t="str">
        <f t="shared" si="48"/>
        <v/>
      </c>
      <c r="L1053" s="726"/>
      <c r="M1053" s="726"/>
      <c r="N1053" s="726"/>
      <c r="O1053" s="726"/>
      <c r="P1053" s="726"/>
      <c r="Q1053" s="726"/>
      <c r="R1053" s="726"/>
      <c r="S1053" s="726"/>
      <c r="T1053" s="726"/>
      <c r="U1053" s="726"/>
      <c r="V1053" s="726"/>
      <c r="W1053" s="726"/>
      <c r="X1053" s="726"/>
      <c r="Y1053" s="726"/>
      <c r="Z1053" s="726"/>
      <c r="AA1053" s="732"/>
      <c r="AB1053" s="732"/>
      <c r="AC1053" s="732"/>
      <c r="AD1053" s="732"/>
      <c r="AE1053" s="733"/>
      <c r="AF1053" s="734" t="str">
        <f t="shared" si="50"/>
        <v/>
      </c>
      <c r="AG1053" s="773"/>
    </row>
    <row r="1054" spans="1:64" ht="18.75" x14ac:dyDescent="0.25">
      <c r="A1054" s="758"/>
      <c r="B1054" s="737"/>
      <c r="C1054" s="730"/>
      <c r="D1054" s="739"/>
      <c r="E1054" s="765"/>
      <c r="F1054" s="765"/>
      <c r="G1054" s="765"/>
      <c r="H1054" s="765"/>
      <c r="I1054" s="746" t="str">
        <f t="shared" si="49"/>
        <v/>
      </c>
      <c r="J1054" s="731"/>
      <c r="K1054" s="731" t="str">
        <f t="shared" si="48"/>
        <v/>
      </c>
      <c r="L1054" s="726"/>
      <c r="M1054" s="726"/>
      <c r="N1054" s="726"/>
      <c r="O1054" s="726"/>
      <c r="P1054" s="726"/>
      <c r="Q1054" s="726"/>
      <c r="R1054" s="726"/>
      <c r="S1054" s="726"/>
      <c r="T1054" s="726"/>
      <c r="U1054" s="726"/>
      <c r="V1054" s="726"/>
      <c r="W1054" s="726"/>
      <c r="X1054" s="726"/>
      <c r="Y1054" s="726"/>
      <c r="Z1054" s="726"/>
      <c r="AA1054" s="732"/>
      <c r="AB1054" s="732"/>
      <c r="AC1054" s="732"/>
      <c r="AD1054" s="732"/>
      <c r="AE1054" s="733"/>
      <c r="AF1054" s="734" t="str">
        <f t="shared" si="50"/>
        <v/>
      </c>
      <c r="AG1054" s="773"/>
    </row>
    <row r="1055" spans="1:64" ht="18.75" customHeight="1" x14ac:dyDescent="0.25">
      <c r="A1055" s="758"/>
      <c r="B1055" s="737"/>
      <c r="C1055" s="730"/>
      <c r="D1055" s="739"/>
      <c r="E1055" s="765"/>
      <c r="F1055" s="765"/>
      <c r="G1055" s="765"/>
      <c r="H1055" s="765"/>
      <c r="I1055" s="746" t="str">
        <f t="shared" si="49"/>
        <v/>
      </c>
      <c r="J1055" s="731"/>
      <c r="K1055" s="731" t="str">
        <f t="shared" si="48"/>
        <v/>
      </c>
      <c r="L1055" s="726"/>
      <c r="M1055" s="726"/>
      <c r="N1055" s="726"/>
      <c r="O1055" s="726"/>
      <c r="P1055" s="726"/>
      <c r="Q1055" s="726"/>
      <c r="R1055" s="726"/>
      <c r="S1055" s="726"/>
      <c r="T1055" s="726"/>
      <c r="U1055" s="726"/>
      <c r="V1055" s="726"/>
      <c r="W1055" s="726"/>
      <c r="X1055" s="726"/>
      <c r="Y1055" s="726"/>
      <c r="Z1055" s="726"/>
      <c r="AA1055" s="732"/>
      <c r="AB1055" s="732"/>
      <c r="AC1055" s="732"/>
      <c r="AD1055" s="732"/>
      <c r="AE1055" s="733"/>
      <c r="AF1055" s="734" t="str">
        <f t="shared" si="50"/>
        <v/>
      </c>
      <c r="AG1055" s="772"/>
      <c r="AH1055" s="777"/>
      <c r="AI1055" s="735"/>
      <c r="AJ1055" s="735"/>
      <c r="AK1055" s="735"/>
      <c r="AL1055" s="735"/>
      <c r="AM1055" s="735"/>
      <c r="AN1055" s="735"/>
      <c r="AO1055" s="735"/>
      <c r="AP1055" s="735"/>
      <c r="AQ1055" s="735"/>
      <c r="AR1055" s="735"/>
      <c r="AS1055" s="735"/>
      <c r="AT1055" s="735"/>
      <c r="AU1055" s="735"/>
      <c r="AV1055" s="735"/>
      <c r="AW1055" s="735"/>
      <c r="AX1055" s="735"/>
      <c r="AY1055" s="735"/>
      <c r="AZ1055" s="735"/>
      <c r="BA1055" s="735"/>
      <c r="BB1055" s="735"/>
      <c r="BC1055" s="735"/>
      <c r="BD1055" s="735"/>
      <c r="BE1055" s="735"/>
      <c r="BF1055" s="735"/>
      <c r="BG1055" s="735"/>
      <c r="BH1055" s="735"/>
      <c r="BI1055" s="735"/>
      <c r="BJ1055" s="735"/>
      <c r="BK1055" s="735"/>
      <c r="BL1055" s="735"/>
    </row>
    <row r="1056" spans="1:64" ht="19.5" customHeight="1" x14ac:dyDescent="0.25">
      <c r="A1056" s="758"/>
      <c r="B1056" s="737"/>
      <c r="C1056" s="730"/>
      <c r="D1056" s="739"/>
      <c r="E1056" s="765"/>
      <c r="F1056" s="765"/>
      <c r="G1056" s="765"/>
      <c r="H1056" s="765"/>
      <c r="I1056" s="746" t="str">
        <f t="shared" si="49"/>
        <v/>
      </c>
      <c r="J1056" s="731"/>
      <c r="K1056" s="731" t="str">
        <f t="shared" si="48"/>
        <v/>
      </c>
      <c r="L1056" s="726"/>
      <c r="M1056" s="726"/>
      <c r="N1056" s="726"/>
      <c r="O1056" s="726"/>
      <c r="P1056" s="726"/>
      <c r="Q1056" s="726"/>
      <c r="R1056" s="726"/>
      <c r="S1056" s="726"/>
      <c r="T1056" s="726"/>
      <c r="U1056" s="726"/>
      <c r="V1056" s="726"/>
      <c r="W1056" s="726"/>
      <c r="X1056" s="726"/>
      <c r="Y1056" s="726"/>
      <c r="Z1056" s="726"/>
      <c r="AA1056" s="732"/>
      <c r="AB1056" s="732"/>
      <c r="AC1056" s="732"/>
      <c r="AD1056" s="732"/>
      <c r="AE1056" s="733"/>
      <c r="AF1056" s="734" t="str">
        <f t="shared" si="50"/>
        <v/>
      </c>
      <c r="AG1056" s="772"/>
      <c r="AH1056" s="777"/>
      <c r="AI1056" s="735"/>
      <c r="AJ1056" s="735"/>
      <c r="AK1056" s="735"/>
      <c r="AL1056" s="735"/>
      <c r="AM1056" s="735"/>
      <c r="AN1056" s="735"/>
      <c r="AO1056" s="735"/>
      <c r="AP1056" s="735"/>
      <c r="AQ1056" s="735"/>
      <c r="AR1056" s="735"/>
      <c r="AS1056" s="735"/>
      <c r="AT1056" s="735"/>
      <c r="AU1056" s="735"/>
      <c r="AV1056" s="735"/>
      <c r="AW1056" s="735"/>
      <c r="AX1056" s="735"/>
      <c r="AY1056" s="735"/>
      <c r="AZ1056" s="735"/>
      <c r="BA1056" s="735"/>
      <c r="BB1056" s="735"/>
      <c r="BC1056" s="735"/>
      <c r="BD1056" s="735"/>
      <c r="BE1056" s="735"/>
      <c r="BF1056" s="735"/>
      <c r="BG1056" s="735"/>
      <c r="BH1056" s="735"/>
      <c r="BI1056" s="735"/>
      <c r="BJ1056" s="735"/>
      <c r="BK1056" s="735"/>
      <c r="BL1056" s="735"/>
    </row>
    <row r="1057" spans="1:64" ht="19.5" customHeight="1" x14ac:dyDescent="0.25">
      <c r="A1057" s="758"/>
      <c r="B1057" s="737"/>
      <c r="C1057" s="730"/>
      <c r="D1057" s="739"/>
      <c r="E1057" s="765"/>
      <c r="F1057" s="765"/>
      <c r="G1057" s="765"/>
      <c r="H1057" s="765"/>
      <c r="I1057" s="746" t="str">
        <f t="shared" si="49"/>
        <v/>
      </c>
      <c r="J1057" s="731"/>
      <c r="K1057" s="731" t="str">
        <f t="shared" si="48"/>
        <v/>
      </c>
      <c r="L1057" s="726"/>
      <c r="M1057" s="726"/>
      <c r="N1057" s="726"/>
      <c r="O1057" s="726"/>
      <c r="P1057" s="726"/>
      <c r="Q1057" s="726"/>
      <c r="R1057" s="726"/>
      <c r="S1057" s="726"/>
      <c r="T1057" s="726"/>
      <c r="U1057" s="726"/>
      <c r="V1057" s="726"/>
      <c r="W1057" s="726"/>
      <c r="X1057" s="726"/>
      <c r="Y1057" s="726"/>
      <c r="Z1057" s="726"/>
      <c r="AA1057" s="732"/>
      <c r="AB1057" s="732"/>
      <c r="AC1057" s="732"/>
      <c r="AD1057" s="732"/>
      <c r="AE1057" s="733"/>
      <c r="AF1057" s="734" t="str">
        <f t="shared" si="50"/>
        <v/>
      </c>
      <c r="AG1057" s="772"/>
      <c r="AH1057" s="777"/>
      <c r="AI1057" s="735"/>
      <c r="AJ1057" s="735"/>
      <c r="AK1057" s="735"/>
      <c r="AL1057" s="735"/>
      <c r="AM1057" s="735"/>
      <c r="AN1057" s="735"/>
      <c r="AO1057" s="735"/>
      <c r="AP1057" s="735"/>
      <c r="AQ1057" s="735"/>
      <c r="AR1057" s="735"/>
      <c r="AS1057" s="735"/>
      <c r="AT1057" s="735"/>
      <c r="AU1057" s="735"/>
      <c r="AV1057" s="735"/>
      <c r="AW1057" s="735"/>
      <c r="AX1057" s="735"/>
      <c r="AY1057" s="735"/>
      <c r="AZ1057" s="735"/>
      <c r="BA1057" s="735"/>
      <c r="BB1057" s="735"/>
      <c r="BC1057" s="735"/>
      <c r="BD1057" s="735"/>
      <c r="BE1057" s="735"/>
      <c r="BF1057" s="735"/>
      <c r="BG1057" s="735"/>
      <c r="BH1057" s="735"/>
      <c r="BI1057" s="735"/>
      <c r="BJ1057" s="735"/>
      <c r="BK1057" s="735"/>
      <c r="BL1057" s="735"/>
    </row>
    <row r="1058" spans="1:64" ht="19.5" customHeight="1" x14ac:dyDescent="0.25">
      <c r="A1058" s="758"/>
      <c r="B1058" s="737"/>
      <c r="C1058" s="730"/>
      <c r="D1058" s="739"/>
      <c r="E1058" s="765"/>
      <c r="F1058" s="765"/>
      <c r="G1058" s="765"/>
      <c r="H1058" s="765"/>
      <c r="I1058" s="746" t="str">
        <f t="shared" si="49"/>
        <v/>
      </c>
      <c r="J1058" s="731"/>
      <c r="K1058" s="731" t="str">
        <f t="shared" si="48"/>
        <v/>
      </c>
      <c r="L1058" s="726"/>
      <c r="M1058" s="726"/>
      <c r="N1058" s="726"/>
      <c r="O1058" s="726"/>
      <c r="P1058" s="726"/>
      <c r="Q1058" s="726"/>
      <c r="R1058" s="726"/>
      <c r="S1058" s="726"/>
      <c r="T1058" s="726"/>
      <c r="U1058" s="726"/>
      <c r="V1058" s="726"/>
      <c r="W1058" s="726"/>
      <c r="X1058" s="726"/>
      <c r="Y1058" s="726"/>
      <c r="Z1058" s="726"/>
      <c r="AA1058" s="732"/>
      <c r="AB1058" s="732"/>
      <c r="AC1058" s="732"/>
      <c r="AD1058" s="732"/>
      <c r="AE1058" s="733"/>
      <c r="AF1058" s="734" t="str">
        <f t="shared" si="50"/>
        <v/>
      </c>
      <c r="AG1058" s="772"/>
      <c r="AH1058" s="777"/>
      <c r="AI1058" s="735"/>
      <c r="AJ1058" s="735"/>
      <c r="AK1058" s="735"/>
      <c r="AL1058" s="735"/>
      <c r="AM1058" s="735"/>
      <c r="AN1058" s="735"/>
      <c r="AO1058" s="735"/>
      <c r="AP1058" s="735"/>
      <c r="AQ1058" s="735"/>
      <c r="AR1058" s="735"/>
      <c r="AS1058" s="735"/>
      <c r="AT1058" s="735"/>
      <c r="AU1058" s="735"/>
      <c r="AV1058" s="735"/>
      <c r="AW1058" s="735"/>
      <c r="AX1058" s="735"/>
      <c r="AY1058" s="735"/>
      <c r="AZ1058" s="735"/>
      <c r="BA1058" s="735"/>
      <c r="BB1058" s="735"/>
      <c r="BC1058" s="735"/>
      <c r="BD1058" s="735"/>
      <c r="BE1058" s="735"/>
      <c r="BF1058" s="735"/>
      <c r="BG1058" s="735"/>
      <c r="BH1058" s="735"/>
      <c r="BI1058" s="735"/>
      <c r="BJ1058" s="735"/>
      <c r="BK1058" s="735"/>
      <c r="BL1058" s="735"/>
    </row>
    <row r="1059" spans="1:64" ht="18.75" x14ac:dyDescent="0.25">
      <c r="A1059" s="758"/>
      <c r="B1059" s="737"/>
      <c r="C1059" s="730"/>
      <c r="D1059" s="739"/>
      <c r="E1059" s="765"/>
      <c r="F1059" s="765"/>
      <c r="G1059" s="765"/>
      <c r="H1059" s="765"/>
      <c r="I1059" s="746" t="str">
        <f t="shared" si="49"/>
        <v/>
      </c>
      <c r="J1059" s="731"/>
      <c r="K1059" s="731" t="str">
        <f t="shared" si="48"/>
        <v/>
      </c>
      <c r="L1059" s="726"/>
      <c r="M1059" s="726"/>
      <c r="N1059" s="726"/>
      <c r="O1059" s="726"/>
      <c r="P1059" s="726"/>
      <c r="Q1059" s="726"/>
      <c r="R1059" s="726"/>
      <c r="S1059" s="726"/>
      <c r="T1059" s="726"/>
      <c r="U1059" s="726"/>
      <c r="V1059" s="726"/>
      <c r="W1059" s="726"/>
      <c r="X1059" s="726"/>
      <c r="Y1059" s="726"/>
      <c r="Z1059" s="726"/>
      <c r="AA1059" s="732"/>
      <c r="AB1059" s="732"/>
      <c r="AC1059" s="732"/>
      <c r="AD1059" s="732"/>
      <c r="AE1059" s="733"/>
      <c r="AF1059" s="734" t="str">
        <f t="shared" si="50"/>
        <v/>
      </c>
      <c r="AG1059" s="773"/>
    </row>
    <row r="1060" spans="1:64" ht="18.75" x14ac:dyDescent="0.25">
      <c r="A1060" s="758"/>
      <c r="B1060" s="737"/>
      <c r="C1060" s="730"/>
      <c r="D1060" s="739"/>
      <c r="E1060" s="765"/>
      <c r="F1060" s="765"/>
      <c r="G1060" s="765"/>
      <c r="H1060" s="765"/>
      <c r="I1060" s="746" t="str">
        <f t="shared" si="49"/>
        <v/>
      </c>
      <c r="J1060" s="731"/>
      <c r="K1060" s="731" t="str">
        <f t="shared" si="48"/>
        <v/>
      </c>
      <c r="L1060" s="726"/>
      <c r="M1060" s="726"/>
      <c r="N1060" s="726"/>
      <c r="O1060" s="726"/>
      <c r="P1060" s="726"/>
      <c r="Q1060" s="726"/>
      <c r="R1060" s="726"/>
      <c r="S1060" s="726"/>
      <c r="T1060" s="726"/>
      <c r="U1060" s="726"/>
      <c r="V1060" s="726"/>
      <c r="W1060" s="726"/>
      <c r="X1060" s="726"/>
      <c r="Y1060" s="726"/>
      <c r="Z1060" s="726"/>
      <c r="AA1060" s="732"/>
      <c r="AB1060" s="732"/>
      <c r="AC1060" s="732"/>
      <c r="AD1060" s="732"/>
      <c r="AE1060" s="733"/>
      <c r="AF1060" s="734" t="str">
        <f t="shared" si="50"/>
        <v/>
      </c>
      <c r="AG1060" s="773"/>
    </row>
    <row r="1061" spans="1:64" ht="18.75" x14ac:dyDescent="0.25">
      <c r="A1061" s="758"/>
      <c r="B1061" s="737"/>
      <c r="C1061" s="730"/>
      <c r="D1061" s="739"/>
      <c r="E1061" s="765"/>
      <c r="F1061" s="765"/>
      <c r="G1061" s="765"/>
      <c r="H1061" s="765"/>
      <c r="I1061" s="746" t="str">
        <f t="shared" si="49"/>
        <v/>
      </c>
      <c r="J1061" s="731"/>
      <c r="K1061" s="731" t="str">
        <f t="shared" si="48"/>
        <v/>
      </c>
      <c r="L1061" s="726"/>
      <c r="M1061" s="726"/>
      <c r="N1061" s="726"/>
      <c r="O1061" s="726"/>
      <c r="P1061" s="726"/>
      <c r="Q1061" s="726"/>
      <c r="R1061" s="726"/>
      <c r="S1061" s="726"/>
      <c r="T1061" s="726"/>
      <c r="U1061" s="726"/>
      <c r="V1061" s="726"/>
      <c r="W1061" s="726"/>
      <c r="X1061" s="726"/>
      <c r="Y1061" s="726"/>
      <c r="Z1061" s="726"/>
      <c r="AA1061" s="732"/>
      <c r="AB1061" s="732"/>
      <c r="AC1061" s="732"/>
      <c r="AD1061" s="732"/>
      <c r="AE1061" s="733"/>
      <c r="AF1061" s="734" t="str">
        <f t="shared" si="50"/>
        <v/>
      </c>
      <c r="AG1061" s="773"/>
    </row>
    <row r="1062" spans="1:64" ht="18.75" x14ac:dyDescent="0.25">
      <c r="A1062" s="758"/>
      <c r="B1062" s="737"/>
      <c r="C1062" s="730"/>
      <c r="D1062" s="739"/>
      <c r="E1062" s="765"/>
      <c r="F1062" s="765"/>
      <c r="G1062" s="765"/>
      <c r="H1062" s="765"/>
      <c r="I1062" s="746" t="str">
        <f t="shared" si="49"/>
        <v/>
      </c>
      <c r="J1062" s="731"/>
      <c r="K1062" s="731" t="str">
        <f t="shared" si="48"/>
        <v/>
      </c>
      <c r="L1062" s="726"/>
      <c r="M1062" s="726"/>
      <c r="N1062" s="726"/>
      <c r="O1062" s="726"/>
      <c r="P1062" s="726"/>
      <c r="Q1062" s="726"/>
      <c r="R1062" s="726"/>
      <c r="S1062" s="726"/>
      <c r="T1062" s="726"/>
      <c r="U1062" s="726"/>
      <c r="V1062" s="726"/>
      <c r="W1062" s="726"/>
      <c r="X1062" s="726"/>
      <c r="Y1062" s="726"/>
      <c r="Z1062" s="726"/>
      <c r="AA1062" s="732"/>
      <c r="AB1062" s="732"/>
      <c r="AC1062" s="732"/>
      <c r="AD1062" s="732"/>
      <c r="AE1062" s="733"/>
      <c r="AF1062" s="734" t="str">
        <f t="shared" si="50"/>
        <v/>
      </c>
      <c r="AG1062" s="773"/>
    </row>
    <row r="1063" spans="1:64" ht="18.75" x14ac:dyDescent="0.25">
      <c r="A1063" s="758"/>
      <c r="B1063" s="737"/>
      <c r="C1063" s="730"/>
      <c r="D1063" s="739"/>
      <c r="E1063" s="765"/>
      <c r="F1063" s="765"/>
      <c r="G1063" s="765"/>
      <c r="H1063" s="765"/>
      <c r="I1063" s="746" t="str">
        <f t="shared" si="49"/>
        <v/>
      </c>
      <c r="J1063" s="731"/>
      <c r="K1063" s="731" t="str">
        <f t="shared" si="48"/>
        <v/>
      </c>
      <c r="L1063" s="726"/>
      <c r="M1063" s="726"/>
      <c r="N1063" s="726"/>
      <c r="O1063" s="726"/>
      <c r="P1063" s="726"/>
      <c r="Q1063" s="726"/>
      <c r="R1063" s="726"/>
      <c r="S1063" s="726"/>
      <c r="T1063" s="726"/>
      <c r="U1063" s="726"/>
      <c r="V1063" s="726"/>
      <c r="W1063" s="726"/>
      <c r="X1063" s="726"/>
      <c r="Y1063" s="726"/>
      <c r="Z1063" s="726"/>
      <c r="AA1063" s="732"/>
      <c r="AB1063" s="732"/>
      <c r="AC1063" s="732"/>
      <c r="AD1063" s="732"/>
      <c r="AE1063" s="733"/>
      <c r="AF1063" s="734" t="str">
        <f t="shared" si="50"/>
        <v/>
      </c>
      <c r="AG1063" s="773"/>
    </row>
    <row r="1064" spans="1:64" ht="18.75" x14ac:dyDescent="0.25">
      <c r="A1064" s="758"/>
      <c r="B1064" s="737"/>
      <c r="C1064" s="730"/>
      <c r="D1064" s="739"/>
      <c r="E1064" s="765"/>
      <c r="F1064" s="765"/>
      <c r="G1064" s="765"/>
      <c r="H1064" s="765"/>
      <c r="I1064" s="746" t="str">
        <f t="shared" si="49"/>
        <v/>
      </c>
      <c r="J1064" s="731"/>
      <c r="K1064" s="731" t="str">
        <f t="shared" si="48"/>
        <v/>
      </c>
      <c r="L1064" s="726"/>
      <c r="M1064" s="726"/>
      <c r="N1064" s="726"/>
      <c r="O1064" s="726"/>
      <c r="P1064" s="726"/>
      <c r="Q1064" s="726"/>
      <c r="R1064" s="726"/>
      <c r="S1064" s="726"/>
      <c r="T1064" s="726"/>
      <c r="U1064" s="726"/>
      <c r="V1064" s="726"/>
      <c r="W1064" s="726"/>
      <c r="X1064" s="726"/>
      <c r="Y1064" s="726"/>
      <c r="Z1064" s="726"/>
      <c r="AA1064" s="732"/>
      <c r="AB1064" s="732"/>
      <c r="AC1064" s="732"/>
      <c r="AD1064" s="732"/>
      <c r="AE1064" s="733"/>
      <c r="AF1064" s="734" t="str">
        <f t="shared" si="50"/>
        <v/>
      </c>
      <c r="AG1064" s="773"/>
    </row>
    <row r="1065" spans="1:64" ht="18.75" x14ac:dyDescent="0.25">
      <c r="A1065" s="758"/>
      <c r="B1065" s="737"/>
      <c r="C1065" s="730"/>
      <c r="D1065" s="739"/>
      <c r="E1065" s="765"/>
      <c r="F1065" s="765"/>
      <c r="G1065" s="765"/>
      <c r="H1065" s="765"/>
      <c r="I1065" s="746" t="str">
        <f t="shared" si="49"/>
        <v/>
      </c>
      <c r="J1065" s="731"/>
      <c r="K1065" s="731" t="str">
        <f t="shared" si="48"/>
        <v/>
      </c>
      <c r="L1065" s="726"/>
      <c r="M1065" s="726"/>
      <c r="N1065" s="726"/>
      <c r="O1065" s="726"/>
      <c r="P1065" s="726"/>
      <c r="Q1065" s="726"/>
      <c r="R1065" s="726"/>
      <c r="S1065" s="726"/>
      <c r="T1065" s="726"/>
      <c r="U1065" s="726"/>
      <c r="V1065" s="726"/>
      <c r="W1065" s="726"/>
      <c r="X1065" s="726"/>
      <c r="Y1065" s="726"/>
      <c r="Z1065" s="726"/>
      <c r="AA1065" s="732"/>
      <c r="AB1065" s="732"/>
      <c r="AC1065" s="732"/>
      <c r="AD1065" s="732"/>
      <c r="AE1065" s="733"/>
      <c r="AF1065" s="734" t="str">
        <f t="shared" si="50"/>
        <v/>
      </c>
      <c r="AG1065" s="773"/>
    </row>
    <row r="1066" spans="1:64" ht="18.75" x14ac:dyDescent="0.25">
      <c r="A1066" s="758"/>
      <c r="B1066" s="737"/>
      <c r="C1066" s="730"/>
      <c r="D1066" s="739"/>
      <c r="E1066" s="765"/>
      <c r="F1066" s="765"/>
      <c r="G1066" s="765"/>
      <c r="H1066" s="765"/>
      <c r="I1066" s="746" t="str">
        <f t="shared" si="49"/>
        <v/>
      </c>
      <c r="J1066" s="731"/>
      <c r="K1066" s="731" t="str">
        <f t="shared" si="48"/>
        <v/>
      </c>
      <c r="L1066" s="726"/>
      <c r="M1066" s="726"/>
      <c r="N1066" s="726"/>
      <c r="O1066" s="726"/>
      <c r="P1066" s="726"/>
      <c r="Q1066" s="726"/>
      <c r="R1066" s="726"/>
      <c r="S1066" s="726"/>
      <c r="T1066" s="726"/>
      <c r="U1066" s="726"/>
      <c r="V1066" s="726"/>
      <c r="W1066" s="726"/>
      <c r="X1066" s="726"/>
      <c r="Y1066" s="726"/>
      <c r="Z1066" s="726"/>
      <c r="AA1066" s="732"/>
      <c r="AB1066" s="732"/>
      <c r="AC1066" s="732"/>
      <c r="AD1066" s="732"/>
      <c r="AE1066" s="733"/>
      <c r="AF1066" s="734" t="str">
        <f t="shared" si="50"/>
        <v/>
      </c>
      <c r="AG1066" s="773"/>
    </row>
    <row r="1067" spans="1:64" ht="18.75" x14ac:dyDescent="0.25">
      <c r="A1067" s="758"/>
      <c r="B1067" s="737"/>
      <c r="C1067" s="730"/>
      <c r="D1067" s="739"/>
      <c r="E1067" s="765"/>
      <c r="F1067" s="765"/>
      <c r="G1067" s="765"/>
      <c r="H1067" s="765"/>
      <c r="I1067" s="746" t="str">
        <f t="shared" si="49"/>
        <v/>
      </c>
      <c r="J1067" s="731"/>
      <c r="K1067" s="731" t="str">
        <f t="shared" si="48"/>
        <v/>
      </c>
      <c r="L1067" s="726"/>
      <c r="M1067" s="726"/>
      <c r="N1067" s="726"/>
      <c r="O1067" s="726"/>
      <c r="P1067" s="726"/>
      <c r="Q1067" s="726"/>
      <c r="R1067" s="726"/>
      <c r="S1067" s="726"/>
      <c r="T1067" s="726"/>
      <c r="U1067" s="726"/>
      <c r="V1067" s="726"/>
      <c r="W1067" s="726"/>
      <c r="X1067" s="726"/>
      <c r="Y1067" s="726"/>
      <c r="Z1067" s="726"/>
      <c r="AA1067" s="732"/>
      <c r="AB1067" s="732"/>
      <c r="AC1067" s="732"/>
      <c r="AD1067" s="732"/>
      <c r="AE1067" s="733"/>
      <c r="AF1067" s="734" t="str">
        <f t="shared" si="50"/>
        <v/>
      </c>
      <c r="AG1067" s="773"/>
    </row>
    <row r="1068" spans="1:64" ht="18.75" x14ac:dyDescent="0.25">
      <c r="A1068" s="758"/>
      <c r="B1068" s="737"/>
      <c r="C1068" s="730"/>
      <c r="D1068" s="739"/>
      <c r="E1068" s="765"/>
      <c r="F1068" s="765"/>
      <c r="G1068" s="765"/>
      <c r="H1068" s="765"/>
      <c r="I1068" s="746" t="str">
        <f t="shared" si="49"/>
        <v/>
      </c>
      <c r="J1068" s="731"/>
      <c r="K1068" s="731" t="str">
        <f t="shared" si="48"/>
        <v/>
      </c>
      <c r="L1068" s="726"/>
      <c r="M1068" s="726"/>
      <c r="N1068" s="726"/>
      <c r="O1068" s="726"/>
      <c r="P1068" s="726"/>
      <c r="Q1068" s="726"/>
      <c r="R1068" s="726"/>
      <c r="S1068" s="726"/>
      <c r="T1068" s="726"/>
      <c r="U1068" s="726"/>
      <c r="V1068" s="726"/>
      <c r="W1068" s="726"/>
      <c r="X1068" s="726"/>
      <c r="Y1068" s="726"/>
      <c r="Z1068" s="726"/>
      <c r="AA1068" s="732"/>
      <c r="AB1068" s="732"/>
      <c r="AC1068" s="732"/>
      <c r="AD1068" s="732"/>
      <c r="AE1068" s="733"/>
      <c r="AF1068" s="734" t="str">
        <f t="shared" si="50"/>
        <v/>
      </c>
      <c r="AG1068" s="773"/>
    </row>
    <row r="1069" spans="1:64" ht="18.75" x14ac:dyDescent="0.25">
      <c r="A1069" s="758"/>
      <c r="B1069" s="737"/>
      <c r="C1069" s="730"/>
      <c r="D1069" s="739"/>
      <c r="E1069" s="765"/>
      <c r="F1069" s="765"/>
      <c r="G1069" s="765"/>
      <c r="H1069" s="765"/>
      <c r="I1069" s="746" t="str">
        <f t="shared" si="49"/>
        <v/>
      </c>
      <c r="J1069" s="731"/>
      <c r="K1069" s="731" t="str">
        <f t="shared" si="48"/>
        <v/>
      </c>
      <c r="L1069" s="726"/>
      <c r="M1069" s="726"/>
      <c r="N1069" s="726"/>
      <c r="O1069" s="726"/>
      <c r="P1069" s="726"/>
      <c r="Q1069" s="726"/>
      <c r="R1069" s="726"/>
      <c r="S1069" s="726"/>
      <c r="T1069" s="726"/>
      <c r="U1069" s="726"/>
      <c r="V1069" s="726"/>
      <c r="W1069" s="726"/>
      <c r="X1069" s="726"/>
      <c r="Y1069" s="726"/>
      <c r="Z1069" s="726"/>
      <c r="AA1069" s="732"/>
      <c r="AB1069" s="732"/>
      <c r="AC1069" s="732"/>
      <c r="AD1069" s="732"/>
      <c r="AE1069" s="733"/>
      <c r="AF1069" s="734" t="str">
        <f t="shared" si="50"/>
        <v/>
      </c>
      <c r="AG1069" s="773"/>
    </row>
    <row r="1070" spans="1:64" ht="18.75" x14ac:dyDescent="0.25">
      <c r="A1070" s="758"/>
      <c r="B1070" s="737"/>
      <c r="C1070" s="730"/>
      <c r="D1070" s="739"/>
      <c r="E1070" s="765"/>
      <c r="F1070" s="765"/>
      <c r="G1070" s="765"/>
      <c r="H1070" s="765"/>
      <c r="I1070" s="746" t="str">
        <f t="shared" si="49"/>
        <v/>
      </c>
      <c r="J1070" s="731"/>
      <c r="K1070" s="731" t="str">
        <f t="shared" si="48"/>
        <v/>
      </c>
      <c r="L1070" s="726"/>
      <c r="M1070" s="726"/>
      <c r="N1070" s="726"/>
      <c r="O1070" s="726"/>
      <c r="P1070" s="726"/>
      <c r="Q1070" s="726"/>
      <c r="R1070" s="726"/>
      <c r="S1070" s="726"/>
      <c r="T1070" s="726"/>
      <c r="U1070" s="726"/>
      <c r="V1070" s="726"/>
      <c r="W1070" s="726"/>
      <c r="X1070" s="726"/>
      <c r="Y1070" s="726"/>
      <c r="Z1070" s="726"/>
      <c r="AA1070" s="732"/>
      <c r="AB1070" s="732"/>
      <c r="AC1070" s="732"/>
      <c r="AD1070" s="732"/>
      <c r="AE1070" s="733"/>
      <c r="AF1070" s="734" t="str">
        <f t="shared" si="50"/>
        <v/>
      </c>
      <c r="AG1070" s="773"/>
    </row>
    <row r="1071" spans="1:64" ht="18.75" x14ac:dyDescent="0.25">
      <c r="A1071" s="758"/>
      <c r="B1071" s="737"/>
      <c r="C1071" s="730"/>
      <c r="D1071" s="739"/>
      <c r="E1071" s="765"/>
      <c r="F1071" s="765"/>
      <c r="G1071" s="765"/>
      <c r="H1071" s="765"/>
      <c r="I1071" s="746" t="str">
        <f t="shared" si="49"/>
        <v/>
      </c>
      <c r="J1071" s="731"/>
      <c r="K1071" s="731" t="str">
        <f t="shared" si="48"/>
        <v/>
      </c>
      <c r="L1071" s="726"/>
      <c r="M1071" s="726"/>
      <c r="N1071" s="726"/>
      <c r="O1071" s="726"/>
      <c r="P1071" s="726"/>
      <c r="Q1071" s="726"/>
      <c r="R1071" s="726"/>
      <c r="S1071" s="726"/>
      <c r="T1071" s="726"/>
      <c r="U1071" s="726"/>
      <c r="V1071" s="726"/>
      <c r="W1071" s="726"/>
      <c r="X1071" s="726"/>
      <c r="Y1071" s="726"/>
      <c r="Z1071" s="726"/>
      <c r="AA1071" s="732"/>
      <c r="AB1071" s="732"/>
      <c r="AC1071" s="732"/>
      <c r="AD1071" s="732"/>
      <c r="AE1071" s="733"/>
      <c r="AF1071" s="734" t="str">
        <f t="shared" si="50"/>
        <v/>
      </c>
      <c r="AG1071" s="773"/>
    </row>
    <row r="1072" spans="1:64" ht="18.75" x14ac:dyDescent="0.25">
      <c r="A1072" s="758"/>
      <c r="B1072" s="737"/>
      <c r="C1072" s="730"/>
      <c r="D1072" s="739"/>
      <c r="E1072" s="765"/>
      <c r="F1072" s="765"/>
      <c r="G1072" s="765"/>
      <c r="H1072" s="765"/>
      <c r="I1072" s="746" t="str">
        <f t="shared" si="49"/>
        <v/>
      </c>
      <c r="J1072" s="731"/>
      <c r="K1072" s="731" t="str">
        <f t="shared" si="48"/>
        <v/>
      </c>
      <c r="L1072" s="726"/>
      <c r="M1072" s="726"/>
      <c r="N1072" s="726"/>
      <c r="O1072" s="726"/>
      <c r="P1072" s="726"/>
      <c r="Q1072" s="726"/>
      <c r="R1072" s="726"/>
      <c r="S1072" s="726"/>
      <c r="T1072" s="726"/>
      <c r="U1072" s="726"/>
      <c r="V1072" s="726"/>
      <c r="W1072" s="726"/>
      <c r="X1072" s="726"/>
      <c r="Y1072" s="726"/>
      <c r="Z1072" s="726"/>
      <c r="AA1072" s="732"/>
      <c r="AB1072" s="732"/>
      <c r="AC1072" s="732"/>
      <c r="AD1072" s="732"/>
      <c r="AE1072" s="733"/>
      <c r="AF1072" s="734" t="str">
        <f t="shared" si="50"/>
        <v/>
      </c>
      <c r="AG1072" s="773"/>
    </row>
    <row r="1073" spans="1:64" ht="18.75" x14ac:dyDescent="0.25">
      <c r="A1073" s="758"/>
      <c r="B1073" s="737"/>
      <c r="C1073" s="730"/>
      <c r="D1073" s="739"/>
      <c r="E1073" s="765"/>
      <c r="F1073" s="765"/>
      <c r="G1073" s="765"/>
      <c r="H1073" s="765"/>
      <c r="I1073" s="746" t="str">
        <f t="shared" si="49"/>
        <v/>
      </c>
      <c r="J1073" s="731"/>
      <c r="K1073" s="731" t="str">
        <f t="shared" si="48"/>
        <v/>
      </c>
      <c r="L1073" s="726"/>
      <c r="M1073" s="726"/>
      <c r="N1073" s="726"/>
      <c r="O1073" s="726"/>
      <c r="P1073" s="726"/>
      <c r="Q1073" s="726"/>
      <c r="R1073" s="726"/>
      <c r="S1073" s="726"/>
      <c r="T1073" s="726"/>
      <c r="U1073" s="726"/>
      <c r="V1073" s="726"/>
      <c r="W1073" s="726"/>
      <c r="X1073" s="726"/>
      <c r="Y1073" s="726"/>
      <c r="Z1073" s="726"/>
      <c r="AA1073" s="732"/>
      <c r="AB1073" s="732"/>
      <c r="AC1073" s="732"/>
      <c r="AD1073" s="732"/>
      <c r="AE1073" s="733"/>
      <c r="AF1073" s="734" t="str">
        <f t="shared" si="50"/>
        <v/>
      </c>
      <c r="AG1073" s="773"/>
    </row>
    <row r="1074" spans="1:64" ht="18.75" x14ac:dyDescent="0.25">
      <c r="A1074" s="758"/>
      <c r="B1074" s="737"/>
      <c r="C1074" s="730"/>
      <c r="D1074" s="739"/>
      <c r="E1074" s="765"/>
      <c r="F1074" s="765"/>
      <c r="G1074" s="765"/>
      <c r="H1074" s="765"/>
      <c r="I1074" s="746" t="str">
        <f t="shared" si="49"/>
        <v/>
      </c>
      <c r="J1074" s="731"/>
      <c r="K1074" s="731" t="str">
        <f t="shared" si="48"/>
        <v/>
      </c>
      <c r="L1074" s="726"/>
      <c r="M1074" s="726"/>
      <c r="N1074" s="726"/>
      <c r="O1074" s="726"/>
      <c r="P1074" s="726"/>
      <c r="Q1074" s="726"/>
      <c r="R1074" s="726"/>
      <c r="S1074" s="726"/>
      <c r="T1074" s="726"/>
      <c r="U1074" s="726"/>
      <c r="V1074" s="726"/>
      <c r="W1074" s="726"/>
      <c r="X1074" s="726"/>
      <c r="Y1074" s="726"/>
      <c r="Z1074" s="726"/>
      <c r="AA1074" s="732"/>
      <c r="AB1074" s="732"/>
      <c r="AC1074" s="732"/>
      <c r="AD1074" s="732"/>
      <c r="AE1074" s="733"/>
      <c r="AF1074" s="734" t="str">
        <f t="shared" si="50"/>
        <v/>
      </c>
      <c r="AG1074" s="773"/>
    </row>
    <row r="1075" spans="1:64" ht="18.75" x14ac:dyDescent="0.25">
      <c r="A1075" s="758"/>
      <c r="B1075" s="737"/>
      <c r="C1075" s="730"/>
      <c r="D1075" s="739"/>
      <c r="E1075" s="765"/>
      <c r="F1075" s="765"/>
      <c r="G1075" s="765"/>
      <c r="H1075" s="765"/>
      <c r="I1075" s="746" t="str">
        <f t="shared" si="49"/>
        <v/>
      </c>
      <c r="J1075" s="731"/>
      <c r="K1075" s="731" t="str">
        <f t="shared" si="48"/>
        <v/>
      </c>
      <c r="L1075" s="726"/>
      <c r="M1075" s="726"/>
      <c r="N1075" s="726"/>
      <c r="O1075" s="726"/>
      <c r="P1075" s="726"/>
      <c r="Q1075" s="726"/>
      <c r="R1075" s="726"/>
      <c r="S1075" s="726"/>
      <c r="T1075" s="726"/>
      <c r="U1075" s="726"/>
      <c r="V1075" s="726"/>
      <c r="W1075" s="726"/>
      <c r="X1075" s="726"/>
      <c r="Y1075" s="726"/>
      <c r="Z1075" s="726"/>
      <c r="AA1075" s="732"/>
      <c r="AB1075" s="732"/>
      <c r="AC1075" s="732"/>
      <c r="AD1075" s="732"/>
      <c r="AE1075" s="733"/>
      <c r="AF1075" s="734" t="str">
        <f t="shared" si="50"/>
        <v/>
      </c>
      <c r="AG1075" s="773"/>
    </row>
    <row r="1076" spans="1:64" ht="18.75" x14ac:dyDescent="0.25">
      <c r="A1076" s="758"/>
      <c r="B1076" s="737"/>
      <c r="C1076" s="730"/>
      <c r="D1076" s="739"/>
      <c r="E1076" s="765"/>
      <c r="F1076" s="765"/>
      <c r="G1076" s="765"/>
      <c r="H1076" s="765"/>
      <c r="I1076" s="746" t="str">
        <f t="shared" si="49"/>
        <v/>
      </c>
      <c r="J1076" s="731"/>
      <c r="K1076" s="731" t="str">
        <f t="shared" si="48"/>
        <v/>
      </c>
      <c r="L1076" s="726"/>
      <c r="M1076" s="726"/>
      <c r="N1076" s="726"/>
      <c r="O1076" s="726"/>
      <c r="P1076" s="726"/>
      <c r="Q1076" s="726"/>
      <c r="R1076" s="726"/>
      <c r="S1076" s="726"/>
      <c r="T1076" s="726"/>
      <c r="U1076" s="726"/>
      <c r="V1076" s="726"/>
      <c r="W1076" s="726"/>
      <c r="X1076" s="726"/>
      <c r="Y1076" s="726"/>
      <c r="Z1076" s="726"/>
      <c r="AA1076" s="732"/>
      <c r="AB1076" s="732"/>
      <c r="AC1076" s="732"/>
      <c r="AD1076" s="732"/>
      <c r="AE1076" s="733"/>
      <c r="AF1076" s="734" t="str">
        <f t="shared" si="50"/>
        <v/>
      </c>
      <c r="AG1076" s="774"/>
      <c r="AH1076" s="778"/>
      <c r="AI1076" s="736"/>
      <c r="AJ1076" s="736"/>
      <c r="AK1076" s="736"/>
      <c r="AL1076" s="736"/>
      <c r="AM1076" s="736"/>
      <c r="AN1076" s="736"/>
      <c r="AO1076" s="736"/>
      <c r="AP1076" s="736"/>
      <c r="AQ1076" s="736"/>
      <c r="AR1076" s="736"/>
      <c r="AS1076" s="736"/>
      <c r="AT1076" s="736"/>
      <c r="AU1076" s="736"/>
      <c r="AV1076" s="736"/>
      <c r="AW1076" s="736"/>
      <c r="AX1076" s="736"/>
      <c r="AY1076" s="736"/>
      <c r="AZ1076" s="736"/>
      <c r="BA1076" s="736"/>
      <c r="BB1076" s="736"/>
      <c r="BC1076" s="736"/>
      <c r="BD1076" s="736"/>
      <c r="BE1076" s="736"/>
      <c r="BF1076" s="736"/>
      <c r="BG1076" s="736"/>
      <c r="BH1076" s="736"/>
      <c r="BI1076" s="736"/>
      <c r="BJ1076" s="736"/>
      <c r="BK1076" s="736"/>
      <c r="BL1076" s="736"/>
    </row>
    <row r="1077" spans="1:64" ht="18.75" x14ac:dyDescent="0.25">
      <c r="A1077" s="758"/>
      <c r="B1077" s="737"/>
      <c r="C1077" s="730"/>
      <c r="D1077" s="739"/>
      <c r="E1077" s="765"/>
      <c r="F1077" s="765"/>
      <c r="G1077" s="765"/>
      <c r="H1077" s="765"/>
      <c r="I1077" s="746" t="str">
        <f t="shared" si="49"/>
        <v/>
      </c>
      <c r="J1077" s="731"/>
      <c r="K1077" s="731" t="str">
        <f t="shared" si="48"/>
        <v/>
      </c>
      <c r="L1077" s="726"/>
      <c r="M1077" s="726"/>
      <c r="N1077" s="726"/>
      <c r="O1077" s="726"/>
      <c r="P1077" s="726"/>
      <c r="Q1077" s="726"/>
      <c r="R1077" s="726"/>
      <c r="S1077" s="726"/>
      <c r="T1077" s="726"/>
      <c r="U1077" s="726"/>
      <c r="V1077" s="726"/>
      <c r="W1077" s="726"/>
      <c r="X1077" s="726"/>
      <c r="Y1077" s="726"/>
      <c r="Z1077" s="726"/>
      <c r="AA1077" s="732"/>
      <c r="AB1077" s="732"/>
      <c r="AC1077" s="732"/>
      <c r="AD1077" s="732"/>
      <c r="AE1077" s="733"/>
      <c r="AF1077" s="734" t="str">
        <f t="shared" si="50"/>
        <v/>
      </c>
      <c r="AG1077" s="774"/>
      <c r="AH1077" s="778"/>
      <c r="AI1077" s="736"/>
      <c r="AJ1077" s="736"/>
      <c r="AK1077" s="736"/>
      <c r="AL1077" s="736"/>
      <c r="AM1077" s="736"/>
      <c r="AN1077" s="736"/>
      <c r="AO1077" s="736"/>
      <c r="AP1077" s="736"/>
      <c r="AQ1077" s="736"/>
      <c r="AR1077" s="736"/>
      <c r="AS1077" s="736"/>
      <c r="AT1077" s="736"/>
      <c r="AU1077" s="736"/>
      <c r="AV1077" s="736"/>
      <c r="AW1077" s="736"/>
      <c r="AX1077" s="736"/>
      <c r="AY1077" s="736"/>
      <c r="AZ1077" s="736"/>
      <c r="BA1077" s="736"/>
      <c r="BB1077" s="736"/>
      <c r="BC1077" s="736"/>
      <c r="BD1077" s="736"/>
      <c r="BE1077" s="736"/>
      <c r="BF1077" s="736"/>
      <c r="BG1077" s="736"/>
      <c r="BH1077" s="736"/>
      <c r="BI1077" s="736"/>
      <c r="BJ1077" s="736"/>
      <c r="BK1077" s="736"/>
      <c r="BL1077" s="736"/>
    </row>
    <row r="1078" spans="1:64" ht="18.75" x14ac:dyDescent="0.25">
      <c r="A1078" s="758"/>
      <c r="B1078" s="737"/>
      <c r="C1078" s="730"/>
      <c r="D1078" s="739"/>
      <c r="E1078" s="765"/>
      <c r="F1078" s="765"/>
      <c r="G1078" s="765"/>
      <c r="H1078" s="765"/>
      <c r="I1078" s="746" t="str">
        <f t="shared" si="49"/>
        <v/>
      </c>
      <c r="J1078" s="731"/>
      <c r="K1078" s="731" t="str">
        <f t="shared" si="48"/>
        <v/>
      </c>
      <c r="L1078" s="726"/>
      <c r="M1078" s="726"/>
      <c r="N1078" s="726"/>
      <c r="O1078" s="726"/>
      <c r="P1078" s="726"/>
      <c r="Q1078" s="726"/>
      <c r="R1078" s="726"/>
      <c r="S1078" s="726"/>
      <c r="T1078" s="726"/>
      <c r="U1078" s="726"/>
      <c r="V1078" s="726"/>
      <c r="W1078" s="726"/>
      <c r="X1078" s="726"/>
      <c r="Y1078" s="726"/>
      <c r="Z1078" s="726"/>
      <c r="AA1078" s="732"/>
      <c r="AB1078" s="732"/>
      <c r="AC1078" s="732"/>
      <c r="AD1078" s="732"/>
      <c r="AE1078" s="733"/>
      <c r="AF1078" s="734" t="str">
        <f t="shared" si="50"/>
        <v/>
      </c>
      <c r="AG1078" s="773"/>
    </row>
    <row r="1079" spans="1:64" ht="18.75" x14ac:dyDescent="0.25">
      <c r="A1079" s="758"/>
      <c r="B1079" s="737"/>
      <c r="C1079" s="730"/>
      <c r="D1079" s="739"/>
      <c r="E1079" s="765"/>
      <c r="F1079" s="765"/>
      <c r="G1079" s="765"/>
      <c r="H1079" s="765"/>
      <c r="I1079" s="746" t="str">
        <f t="shared" si="49"/>
        <v/>
      </c>
      <c r="J1079" s="731"/>
      <c r="K1079" s="731" t="str">
        <f t="shared" si="48"/>
        <v/>
      </c>
      <c r="L1079" s="726"/>
      <c r="M1079" s="726"/>
      <c r="N1079" s="726"/>
      <c r="O1079" s="726"/>
      <c r="P1079" s="726"/>
      <c r="Q1079" s="726"/>
      <c r="R1079" s="726"/>
      <c r="S1079" s="726"/>
      <c r="T1079" s="726"/>
      <c r="U1079" s="726"/>
      <c r="V1079" s="726"/>
      <c r="W1079" s="726"/>
      <c r="X1079" s="726"/>
      <c r="Y1079" s="726"/>
      <c r="Z1079" s="726"/>
      <c r="AA1079" s="732"/>
      <c r="AB1079" s="732"/>
      <c r="AC1079" s="732"/>
      <c r="AD1079" s="732"/>
      <c r="AE1079" s="733"/>
      <c r="AF1079" s="734" t="str">
        <f t="shared" si="50"/>
        <v/>
      </c>
      <c r="AG1079" s="773"/>
    </row>
    <row r="1080" spans="1:64" ht="18.75" x14ac:dyDescent="0.25">
      <c r="A1080" s="758"/>
      <c r="B1080" s="737"/>
      <c r="C1080" s="730"/>
      <c r="D1080" s="739"/>
      <c r="E1080" s="765"/>
      <c r="F1080" s="765"/>
      <c r="G1080" s="765"/>
      <c r="H1080" s="765"/>
      <c r="I1080" s="746" t="str">
        <f t="shared" si="49"/>
        <v/>
      </c>
      <c r="J1080" s="731"/>
      <c r="K1080" s="731" t="str">
        <f t="shared" si="48"/>
        <v/>
      </c>
      <c r="L1080" s="726"/>
      <c r="M1080" s="726"/>
      <c r="N1080" s="726"/>
      <c r="O1080" s="726"/>
      <c r="P1080" s="726"/>
      <c r="Q1080" s="726"/>
      <c r="R1080" s="726"/>
      <c r="S1080" s="726"/>
      <c r="T1080" s="726"/>
      <c r="U1080" s="726"/>
      <c r="V1080" s="726"/>
      <c r="W1080" s="726"/>
      <c r="X1080" s="726"/>
      <c r="Y1080" s="726"/>
      <c r="Z1080" s="726"/>
      <c r="AA1080" s="732"/>
      <c r="AB1080" s="732"/>
      <c r="AC1080" s="732"/>
      <c r="AD1080" s="732"/>
      <c r="AE1080" s="733"/>
      <c r="AF1080" s="734" t="str">
        <f t="shared" si="50"/>
        <v/>
      </c>
      <c r="AG1080" s="774"/>
      <c r="AH1080" s="778"/>
      <c r="AI1080" s="736"/>
      <c r="AJ1080" s="736"/>
      <c r="AK1080" s="736"/>
      <c r="AL1080" s="736"/>
      <c r="AM1080" s="736"/>
      <c r="AN1080" s="736"/>
      <c r="AO1080" s="736"/>
      <c r="AP1080" s="736"/>
      <c r="AQ1080" s="736"/>
      <c r="AR1080" s="736"/>
      <c r="AS1080" s="736"/>
      <c r="AT1080" s="736"/>
      <c r="AU1080" s="736"/>
      <c r="AV1080" s="736"/>
      <c r="AW1080" s="736"/>
      <c r="AX1080" s="736"/>
      <c r="AY1080" s="736"/>
      <c r="AZ1080" s="736"/>
      <c r="BA1080" s="736"/>
      <c r="BB1080" s="736"/>
      <c r="BC1080" s="736"/>
      <c r="BD1080" s="736"/>
      <c r="BE1080" s="736"/>
      <c r="BF1080" s="736"/>
      <c r="BG1080" s="736"/>
      <c r="BH1080" s="736"/>
      <c r="BI1080" s="736"/>
      <c r="BJ1080" s="736"/>
      <c r="BK1080" s="736"/>
      <c r="BL1080" s="736"/>
    </row>
    <row r="1081" spans="1:64" ht="18.75" x14ac:dyDescent="0.25">
      <c r="A1081" s="758"/>
      <c r="B1081" s="737"/>
      <c r="C1081" s="730"/>
      <c r="D1081" s="739"/>
      <c r="E1081" s="765"/>
      <c r="F1081" s="765"/>
      <c r="G1081" s="765"/>
      <c r="H1081" s="765"/>
      <c r="I1081" s="746" t="str">
        <f t="shared" si="49"/>
        <v/>
      </c>
      <c r="J1081" s="731"/>
      <c r="K1081" s="731" t="str">
        <f t="shared" si="48"/>
        <v/>
      </c>
      <c r="L1081" s="726"/>
      <c r="M1081" s="726"/>
      <c r="N1081" s="726"/>
      <c r="O1081" s="726"/>
      <c r="P1081" s="726"/>
      <c r="Q1081" s="726"/>
      <c r="R1081" s="726"/>
      <c r="S1081" s="726"/>
      <c r="T1081" s="726"/>
      <c r="U1081" s="726"/>
      <c r="V1081" s="726"/>
      <c r="W1081" s="726"/>
      <c r="X1081" s="726"/>
      <c r="Y1081" s="726"/>
      <c r="Z1081" s="726"/>
      <c r="AA1081" s="732"/>
      <c r="AB1081" s="732"/>
      <c r="AC1081" s="732"/>
      <c r="AD1081" s="732"/>
      <c r="AE1081" s="733"/>
      <c r="AF1081" s="734" t="str">
        <f t="shared" si="50"/>
        <v/>
      </c>
      <c r="AG1081" s="773"/>
    </row>
    <row r="1082" spans="1:64" ht="18.75" x14ac:dyDescent="0.25">
      <c r="A1082" s="758"/>
      <c r="B1082" s="737"/>
      <c r="C1082" s="730"/>
      <c r="D1082" s="739"/>
      <c r="E1082" s="765"/>
      <c r="F1082" s="765"/>
      <c r="G1082" s="765"/>
      <c r="H1082" s="765"/>
      <c r="I1082" s="746" t="str">
        <f t="shared" si="49"/>
        <v/>
      </c>
      <c r="J1082" s="731"/>
      <c r="K1082" s="731" t="str">
        <f t="shared" si="48"/>
        <v/>
      </c>
      <c r="L1082" s="726"/>
      <c r="M1082" s="726"/>
      <c r="N1082" s="726"/>
      <c r="O1082" s="726"/>
      <c r="P1082" s="726"/>
      <c r="Q1082" s="726"/>
      <c r="R1082" s="726"/>
      <c r="S1082" s="726"/>
      <c r="T1082" s="726"/>
      <c r="U1082" s="726"/>
      <c r="V1082" s="726"/>
      <c r="W1082" s="726"/>
      <c r="X1082" s="726"/>
      <c r="Y1082" s="726"/>
      <c r="Z1082" s="726"/>
      <c r="AA1082" s="732"/>
      <c r="AB1082" s="732"/>
      <c r="AC1082" s="732"/>
      <c r="AD1082" s="732"/>
      <c r="AE1082" s="733"/>
      <c r="AF1082" s="734" t="str">
        <f t="shared" si="50"/>
        <v/>
      </c>
      <c r="AG1082" s="773"/>
    </row>
    <row r="1083" spans="1:64" ht="18.75" x14ac:dyDescent="0.25">
      <c r="A1083" s="758"/>
      <c r="B1083" s="737"/>
      <c r="C1083" s="730"/>
      <c r="D1083" s="739"/>
      <c r="E1083" s="765"/>
      <c r="F1083" s="765"/>
      <c r="G1083" s="765"/>
      <c r="H1083" s="765"/>
      <c r="I1083" s="746" t="str">
        <f t="shared" si="49"/>
        <v/>
      </c>
      <c r="J1083" s="731"/>
      <c r="K1083" s="731" t="str">
        <f t="shared" si="48"/>
        <v/>
      </c>
      <c r="L1083" s="726"/>
      <c r="M1083" s="726"/>
      <c r="N1083" s="726"/>
      <c r="O1083" s="726"/>
      <c r="P1083" s="726"/>
      <c r="Q1083" s="726"/>
      <c r="R1083" s="726"/>
      <c r="S1083" s="726"/>
      <c r="T1083" s="726"/>
      <c r="U1083" s="726"/>
      <c r="V1083" s="726"/>
      <c r="W1083" s="726"/>
      <c r="X1083" s="726"/>
      <c r="Y1083" s="726"/>
      <c r="Z1083" s="726"/>
      <c r="AA1083" s="732"/>
      <c r="AB1083" s="732"/>
      <c r="AC1083" s="732"/>
      <c r="AD1083" s="732"/>
      <c r="AE1083" s="733"/>
      <c r="AF1083" s="734" t="str">
        <f t="shared" si="50"/>
        <v/>
      </c>
      <c r="AG1083" s="774"/>
      <c r="AH1083" s="778"/>
      <c r="AI1083" s="736"/>
      <c r="AJ1083" s="736"/>
      <c r="AK1083" s="736"/>
      <c r="AL1083" s="736"/>
      <c r="AM1083" s="736"/>
      <c r="AN1083" s="736"/>
      <c r="AO1083" s="736"/>
      <c r="AP1083" s="736"/>
      <c r="AQ1083" s="736"/>
      <c r="AR1083" s="736"/>
      <c r="AS1083" s="736"/>
      <c r="AT1083" s="736"/>
      <c r="AU1083" s="736"/>
      <c r="AV1083" s="736"/>
      <c r="AW1083" s="736"/>
      <c r="AX1083" s="736"/>
      <c r="AY1083" s="736"/>
      <c r="AZ1083" s="736"/>
      <c r="BA1083" s="736"/>
      <c r="BB1083" s="736"/>
      <c r="BC1083" s="736"/>
      <c r="BD1083" s="736"/>
      <c r="BE1083" s="736"/>
      <c r="BF1083" s="736"/>
      <c r="BG1083" s="736"/>
      <c r="BH1083" s="736"/>
      <c r="BI1083" s="736"/>
      <c r="BJ1083" s="736"/>
      <c r="BK1083" s="736"/>
      <c r="BL1083" s="736"/>
    </row>
    <row r="1084" spans="1:64" ht="18.75" x14ac:dyDescent="0.25">
      <c r="A1084" s="758"/>
      <c r="B1084" s="737"/>
      <c r="C1084" s="730"/>
      <c r="D1084" s="739"/>
      <c r="E1084" s="765"/>
      <c r="F1084" s="765"/>
      <c r="G1084" s="765"/>
      <c r="H1084" s="765"/>
      <c r="I1084" s="746" t="str">
        <f t="shared" si="49"/>
        <v/>
      </c>
      <c r="J1084" s="731"/>
      <c r="K1084" s="731" t="str">
        <f t="shared" si="48"/>
        <v/>
      </c>
      <c r="L1084" s="726"/>
      <c r="M1084" s="726"/>
      <c r="N1084" s="726"/>
      <c r="O1084" s="726"/>
      <c r="P1084" s="726"/>
      <c r="Q1084" s="726"/>
      <c r="R1084" s="726"/>
      <c r="S1084" s="726"/>
      <c r="T1084" s="726"/>
      <c r="U1084" s="726"/>
      <c r="V1084" s="726"/>
      <c r="W1084" s="726"/>
      <c r="X1084" s="726"/>
      <c r="Y1084" s="726"/>
      <c r="Z1084" s="726"/>
      <c r="AA1084" s="732"/>
      <c r="AB1084" s="732"/>
      <c r="AC1084" s="732"/>
      <c r="AD1084" s="732"/>
      <c r="AE1084" s="733"/>
      <c r="AF1084" s="734" t="str">
        <f t="shared" si="50"/>
        <v/>
      </c>
      <c r="AG1084" s="773"/>
    </row>
    <row r="1085" spans="1:64" ht="18.75" x14ac:dyDescent="0.25">
      <c r="A1085" s="758"/>
      <c r="B1085" s="737"/>
      <c r="C1085" s="730"/>
      <c r="D1085" s="739"/>
      <c r="E1085" s="765"/>
      <c r="F1085" s="765"/>
      <c r="G1085" s="765"/>
      <c r="H1085" s="765"/>
      <c r="I1085" s="746" t="str">
        <f t="shared" si="49"/>
        <v/>
      </c>
      <c r="J1085" s="731"/>
      <c r="K1085" s="731" t="str">
        <f t="shared" si="48"/>
        <v/>
      </c>
      <c r="L1085" s="726"/>
      <c r="M1085" s="726"/>
      <c r="N1085" s="726"/>
      <c r="O1085" s="726"/>
      <c r="P1085" s="726"/>
      <c r="Q1085" s="726"/>
      <c r="R1085" s="726"/>
      <c r="S1085" s="726"/>
      <c r="T1085" s="726"/>
      <c r="U1085" s="726"/>
      <c r="V1085" s="726"/>
      <c r="W1085" s="726"/>
      <c r="X1085" s="726"/>
      <c r="Y1085" s="726"/>
      <c r="Z1085" s="726"/>
      <c r="AA1085" s="732"/>
      <c r="AB1085" s="732"/>
      <c r="AC1085" s="732"/>
      <c r="AD1085" s="732"/>
      <c r="AE1085" s="733"/>
      <c r="AF1085" s="734" t="str">
        <f t="shared" si="50"/>
        <v/>
      </c>
      <c r="AG1085" s="774"/>
      <c r="AH1085" s="778"/>
      <c r="AI1085" s="736"/>
      <c r="AJ1085" s="736"/>
      <c r="AK1085" s="736"/>
      <c r="AL1085" s="736"/>
      <c r="AM1085" s="736"/>
      <c r="AN1085" s="736"/>
      <c r="AO1085" s="736"/>
      <c r="AP1085" s="736"/>
      <c r="AQ1085" s="736"/>
      <c r="AR1085" s="736"/>
      <c r="AS1085" s="736"/>
      <c r="AT1085" s="736"/>
      <c r="AU1085" s="736"/>
      <c r="AV1085" s="736"/>
      <c r="AW1085" s="736"/>
      <c r="AX1085" s="736"/>
      <c r="AY1085" s="736"/>
      <c r="AZ1085" s="736"/>
      <c r="BA1085" s="736"/>
      <c r="BB1085" s="736"/>
      <c r="BC1085" s="736"/>
      <c r="BD1085" s="736"/>
      <c r="BE1085" s="736"/>
      <c r="BF1085" s="736"/>
      <c r="BG1085" s="736"/>
      <c r="BH1085" s="736"/>
      <c r="BI1085" s="736"/>
      <c r="BJ1085" s="736"/>
      <c r="BK1085" s="736"/>
      <c r="BL1085" s="736"/>
    </row>
    <row r="1086" spans="1:64" ht="18.75" x14ac:dyDescent="0.25">
      <c r="A1086" s="758"/>
      <c r="B1086" s="737"/>
      <c r="C1086" s="730"/>
      <c r="D1086" s="739"/>
      <c r="E1086" s="765"/>
      <c r="F1086" s="765"/>
      <c r="G1086" s="765"/>
      <c r="H1086" s="765"/>
      <c r="I1086" s="746" t="str">
        <f t="shared" si="49"/>
        <v/>
      </c>
      <c r="J1086" s="731"/>
      <c r="K1086" s="731" t="str">
        <f t="shared" si="48"/>
        <v/>
      </c>
      <c r="L1086" s="726"/>
      <c r="M1086" s="726"/>
      <c r="N1086" s="726"/>
      <c r="O1086" s="726"/>
      <c r="P1086" s="726"/>
      <c r="Q1086" s="726"/>
      <c r="R1086" s="726"/>
      <c r="S1086" s="726"/>
      <c r="T1086" s="726"/>
      <c r="U1086" s="726"/>
      <c r="V1086" s="726"/>
      <c r="W1086" s="726"/>
      <c r="X1086" s="726"/>
      <c r="Y1086" s="726"/>
      <c r="Z1086" s="726"/>
      <c r="AA1086" s="732"/>
      <c r="AB1086" s="732"/>
      <c r="AC1086" s="732"/>
      <c r="AD1086" s="732"/>
      <c r="AE1086" s="733"/>
      <c r="AF1086" s="734" t="str">
        <f t="shared" si="50"/>
        <v/>
      </c>
      <c r="AG1086" s="774"/>
      <c r="AH1086" s="778"/>
      <c r="AI1086" s="736"/>
      <c r="AJ1086" s="736"/>
      <c r="AK1086" s="736"/>
      <c r="AL1086" s="736"/>
      <c r="AM1086" s="736"/>
      <c r="AN1086" s="736"/>
      <c r="AO1086" s="736"/>
      <c r="AP1086" s="736"/>
      <c r="AQ1086" s="736"/>
      <c r="AR1086" s="736"/>
      <c r="AS1086" s="736"/>
      <c r="AT1086" s="736"/>
      <c r="AU1086" s="736"/>
      <c r="AV1086" s="736"/>
      <c r="AW1086" s="736"/>
      <c r="AX1086" s="736"/>
      <c r="AY1086" s="736"/>
      <c r="AZ1086" s="736"/>
      <c r="BA1086" s="736"/>
      <c r="BB1086" s="736"/>
      <c r="BC1086" s="736"/>
      <c r="BD1086" s="736"/>
      <c r="BE1086" s="736"/>
      <c r="BF1086" s="736"/>
      <c r="BG1086" s="736"/>
      <c r="BH1086" s="736"/>
      <c r="BI1086" s="736"/>
      <c r="BJ1086" s="736"/>
      <c r="BK1086" s="736"/>
      <c r="BL1086" s="736"/>
    </row>
    <row r="1087" spans="1:64" ht="18.75" x14ac:dyDescent="0.25">
      <c r="A1087" s="758"/>
      <c r="B1087" s="737"/>
      <c r="C1087" s="730"/>
      <c r="D1087" s="739"/>
      <c r="E1087" s="765"/>
      <c r="F1087" s="765"/>
      <c r="G1087" s="765"/>
      <c r="H1087" s="765"/>
      <c r="I1087" s="746" t="str">
        <f t="shared" si="49"/>
        <v/>
      </c>
      <c r="J1087" s="731"/>
      <c r="K1087" s="731" t="str">
        <f t="shared" si="48"/>
        <v/>
      </c>
      <c r="L1087" s="726"/>
      <c r="M1087" s="726"/>
      <c r="N1087" s="726"/>
      <c r="O1087" s="726"/>
      <c r="P1087" s="726"/>
      <c r="Q1087" s="726"/>
      <c r="R1087" s="726"/>
      <c r="S1087" s="726"/>
      <c r="T1087" s="726"/>
      <c r="U1087" s="726"/>
      <c r="V1087" s="726"/>
      <c r="W1087" s="726"/>
      <c r="X1087" s="726"/>
      <c r="Y1087" s="726"/>
      <c r="Z1087" s="726"/>
      <c r="AA1087" s="732"/>
      <c r="AB1087" s="732"/>
      <c r="AC1087" s="732"/>
      <c r="AD1087" s="732"/>
      <c r="AE1087" s="733"/>
      <c r="AF1087" s="734" t="str">
        <f t="shared" si="50"/>
        <v/>
      </c>
      <c r="AG1087" s="773"/>
    </row>
    <row r="1088" spans="1:64" ht="18.75" x14ac:dyDescent="0.25">
      <c r="A1088" s="758"/>
      <c r="B1088" s="737"/>
      <c r="C1088" s="730"/>
      <c r="D1088" s="739"/>
      <c r="E1088" s="765"/>
      <c r="F1088" s="765"/>
      <c r="G1088" s="765"/>
      <c r="H1088" s="765"/>
      <c r="I1088" s="746" t="str">
        <f t="shared" si="49"/>
        <v/>
      </c>
      <c r="J1088" s="731"/>
      <c r="K1088" s="731" t="str">
        <f t="shared" si="48"/>
        <v/>
      </c>
      <c r="L1088" s="726"/>
      <c r="M1088" s="726"/>
      <c r="N1088" s="726"/>
      <c r="O1088" s="726"/>
      <c r="P1088" s="726"/>
      <c r="Q1088" s="726"/>
      <c r="R1088" s="726"/>
      <c r="S1088" s="726"/>
      <c r="T1088" s="726"/>
      <c r="U1088" s="726"/>
      <c r="V1088" s="726"/>
      <c r="W1088" s="726"/>
      <c r="X1088" s="726"/>
      <c r="Y1088" s="726"/>
      <c r="Z1088" s="726"/>
      <c r="AA1088" s="732"/>
      <c r="AB1088" s="732"/>
      <c r="AC1088" s="732"/>
      <c r="AD1088" s="732"/>
      <c r="AE1088" s="733"/>
      <c r="AF1088" s="734" t="str">
        <f t="shared" si="50"/>
        <v/>
      </c>
      <c r="AG1088" s="774"/>
      <c r="AH1088" s="778"/>
      <c r="AI1088" s="736"/>
      <c r="AJ1088" s="736"/>
      <c r="AK1088" s="736"/>
      <c r="AL1088" s="736"/>
      <c r="AM1088" s="736"/>
      <c r="AN1088" s="736"/>
      <c r="AO1088" s="736"/>
      <c r="AP1088" s="736"/>
      <c r="AQ1088" s="736"/>
      <c r="AR1088" s="736"/>
      <c r="AS1088" s="736"/>
      <c r="AT1088" s="736"/>
      <c r="AU1088" s="736"/>
      <c r="AV1088" s="736"/>
      <c r="AW1088" s="736"/>
      <c r="AX1088" s="736"/>
      <c r="AY1088" s="736"/>
      <c r="AZ1088" s="736"/>
      <c r="BA1088" s="736"/>
      <c r="BB1088" s="736"/>
      <c r="BC1088" s="736"/>
      <c r="BD1088" s="736"/>
      <c r="BE1088" s="736"/>
      <c r="BF1088" s="736"/>
      <c r="BG1088" s="736"/>
      <c r="BH1088" s="736"/>
      <c r="BI1088" s="736"/>
      <c r="BJ1088" s="736"/>
      <c r="BK1088" s="736"/>
      <c r="BL1088" s="736"/>
    </row>
    <row r="1089" spans="1:64" ht="18.75" x14ac:dyDescent="0.25">
      <c r="A1089" s="758"/>
      <c r="B1089" s="737"/>
      <c r="C1089" s="730"/>
      <c r="D1089" s="739"/>
      <c r="E1089" s="765"/>
      <c r="F1089" s="765"/>
      <c r="G1089" s="765"/>
      <c r="H1089" s="765"/>
      <c r="I1089" s="746" t="str">
        <f t="shared" si="49"/>
        <v/>
      </c>
      <c r="J1089" s="731"/>
      <c r="K1089" s="731" t="str">
        <f t="shared" si="48"/>
        <v/>
      </c>
      <c r="L1089" s="726"/>
      <c r="M1089" s="726"/>
      <c r="N1089" s="726"/>
      <c r="O1089" s="726"/>
      <c r="P1089" s="726"/>
      <c r="Q1089" s="726"/>
      <c r="R1089" s="726"/>
      <c r="S1089" s="726"/>
      <c r="T1089" s="726"/>
      <c r="U1089" s="726"/>
      <c r="V1089" s="726"/>
      <c r="W1089" s="726"/>
      <c r="X1089" s="726"/>
      <c r="Y1089" s="726"/>
      <c r="Z1089" s="726"/>
      <c r="AA1089" s="732"/>
      <c r="AB1089" s="732"/>
      <c r="AC1089" s="732"/>
      <c r="AD1089" s="732"/>
      <c r="AE1089" s="733"/>
      <c r="AF1089" s="734" t="str">
        <f t="shared" si="50"/>
        <v/>
      </c>
      <c r="AG1089" s="773"/>
    </row>
    <row r="1090" spans="1:64" ht="18.75" x14ac:dyDescent="0.25">
      <c r="A1090" s="758"/>
      <c r="B1090" s="737"/>
      <c r="C1090" s="730"/>
      <c r="D1090" s="739"/>
      <c r="E1090" s="765"/>
      <c r="F1090" s="765"/>
      <c r="G1090" s="765"/>
      <c r="H1090" s="765"/>
      <c r="I1090" s="746" t="str">
        <f t="shared" si="49"/>
        <v/>
      </c>
      <c r="J1090" s="731"/>
      <c r="K1090" s="731" t="str">
        <f t="shared" si="48"/>
        <v/>
      </c>
      <c r="L1090" s="726"/>
      <c r="M1090" s="726"/>
      <c r="N1090" s="726"/>
      <c r="O1090" s="726"/>
      <c r="P1090" s="726"/>
      <c r="Q1090" s="726"/>
      <c r="R1090" s="726"/>
      <c r="S1090" s="726"/>
      <c r="T1090" s="726"/>
      <c r="U1090" s="726"/>
      <c r="V1090" s="726"/>
      <c r="W1090" s="726"/>
      <c r="X1090" s="726"/>
      <c r="Y1090" s="726"/>
      <c r="Z1090" s="726"/>
      <c r="AA1090" s="732"/>
      <c r="AB1090" s="732"/>
      <c r="AC1090" s="732"/>
      <c r="AD1090" s="732"/>
      <c r="AE1090" s="733"/>
      <c r="AF1090" s="734" t="str">
        <f t="shared" si="50"/>
        <v/>
      </c>
      <c r="AG1090" s="774"/>
      <c r="AH1090" s="778"/>
      <c r="AI1090" s="736"/>
      <c r="AJ1090" s="736"/>
      <c r="AK1090" s="736"/>
      <c r="AL1090" s="736"/>
      <c r="AM1090" s="736"/>
      <c r="AN1090" s="736"/>
      <c r="AO1090" s="736"/>
      <c r="AP1090" s="736"/>
      <c r="AQ1090" s="736"/>
      <c r="AR1090" s="736"/>
      <c r="AS1090" s="736"/>
      <c r="AT1090" s="736"/>
      <c r="AU1090" s="736"/>
      <c r="AV1090" s="736"/>
      <c r="AW1090" s="736"/>
      <c r="AX1090" s="736"/>
      <c r="AY1090" s="736"/>
      <c r="AZ1090" s="736"/>
      <c r="BA1090" s="736"/>
      <c r="BB1090" s="736"/>
      <c r="BC1090" s="736"/>
      <c r="BD1090" s="736"/>
      <c r="BE1090" s="736"/>
      <c r="BF1090" s="736"/>
      <c r="BG1090" s="736"/>
      <c r="BH1090" s="736"/>
      <c r="BI1090" s="736"/>
      <c r="BJ1090" s="736"/>
      <c r="BK1090" s="736"/>
      <c r="BL1090" s="736"/>
    </row>
    <row r="1091" spans="1:64" ht="18.75" x14ac:dyDescent="0.25">
      <c r="A1091" s="758"/>
      <c r="B1091" s="737"/>
      <c r="C1091" s="730"/>
      <c r="D1091" s="739"/>
      <c r="E1091" s="765"/>
      <c r="F1091" s="765"/>
      <c r="G1091" s="765"/>
      <c r="H1091" s="765"/>
      <c r="I1091" s="746" t="str">
        <f t="shared" si="49"/>
        <v/>
      </c>
      <c r="J1091" s="731"/>
      <c r="K1091" s="731" t="str">
        <f t="shared" si="48"/>
        <v/>
      </c>
      <c r="L1091" s="726"/>
      <c r="M1091" s="726"/>
      <c r="N1091" s="726"/>
      <c r="O1091" s="726"/>
      <c r="P1091" s="726"/>
      <c r="Q1091" s="726"/>
      <c r="R1091" s="726"/>
      <c r="S1091" s="726"/>
      <c r="T1091" s="726"/>
      <c r="U1091" s="726"/>
      <c r="V1091" s="726"/>
      <c r="W1091" s="726"/>
      <c r="X1091" s="726"/>
      <c r="Y1091" s="726"/>
      <c r="Z1091" s="726"/>
      <c r="AA1091" s="732"/>
      <c r="AB1091" s="732"/>
      <c r="AC1091" s="732"/>
      <c r="AD1091" s="732"/>
      <c r="AE1091" s="733"/>
      <c r="AF1091" s="734" t="str">
        <f t="shared" si="50"/>
        <v/>
      </c>
      <c r="AG1091" s="774"/>
      <c r="AH1091" s="778"/>
      <c r="AI1091" s="736"/>
      <c r="AJ1091" s="736"/>
      <c r="AK1091" s="736"/>
      <c r="AL1091" s="736"/>
      <c r="AM1091" s="736"/>
      <c r="AN1091" s="736"/>
      <c r="AO1091" s="736"/>
      <c r="AP1091" s="736"/>
      <c r="AQ1091" s="736"/>
      <c r="AR1091" s="736"/>
      <c r="AS1091" s="736"/>
      <c r="AT1091" s="736"/>
      <c r="AU1091" s="736"/>
      <c r="AV1091" s="736"/>
      <c r="AW1091" s="736"/>
      <c r="AX1091" s="736"/>
      <c r="AY1091" s="736"/>
      <c r="AZ1091" s="736"/>
      <c r="BA1091" s="736"/>
      <c r="BB1091" s="736"/>
      <c r="BC1091" s="736"/>
      <c r="BD1091" s="736"/>
      <c r="BE1091" s="736"/>
      <c r="BF1091" s="736"/>
      <c r="BG1091" s="736"/>
      <c r="BH1091" s="736"/>
      <c r="BI1091" s="736"/>
      <c r="BJ1091" s="736"/>
      <c r="BK1091" s="736"/>
      <c r="BL1091" s="736"/>
    </row>
    <row r="1092" spans="1:64" ht="18.75" x14ac:dyDescent="0.25">
      <c r="A1092" s="758"/>
      <c r="B1092" s="737"/>
      <c r="C1092" s="730"/>
      <c r="D1092" s="739"/>
      <c r="E1092" s="765"/>
      <c r="F1092" s="765"/>
      <c r="G1092" s="765"/>
      <c r="H1092" s="765"/>
      <c r="I1092" s="746" t="str">
        <f t="shared" si="49"/>
        <v/>
      </c>
      <c r="J1092" s="731"/>
      <c r="K1092" s="731" t="str">
        <f t="shared" ref="K1092:K1155" si="51">IF(AA1092-AE1092 = 0,"",AA1092-AE1092)</f>
        <v/>
      </c>
      <c r="L1092" s="726"/>
      <c r="M1092" s="726"/>
      <c r="N1092" s="726"/>
      <c r="O1092" s="726"/>
      <c r="P1092" s="726"/>
      <c r="Q1092" s="726"/>
      <c r="R1092" s="726"/>
      <c r="S1092" s="726"/>
      <c r="T1092" s="726"/>
      <c r="U1092" s="726"/>
      <c r="V1092" s="726"/>
      <c r="W1092" s="726"/>
      <c r="X1092" s="726"/>
      <c r="Y1092" s="726"/>
      <c r="Z1092" s="726"/>
      <c r="AA1092" s="732"/>
      <c r="AB1092" s="732"/>
      <c r="AC1092" s="732"/>
      <c r="AD1092" s="732"/>
      <c r="AE1092" s="733"/>
      <c r="AF1092" s="734" t="str">
        <f t="shared" si="50"/>
        <v/>
      </c>
      <c r="AG1092" s="774"/>
      <c r="AH1092" s="778"/>
      <c r="AI1092" s="736"/>
      <c r="AJ1092" s="736"/>
      <c r="AK1092" s="736"/>
      <c r="AL1092" s="736"/>
      <c r="AM1092" s="736"/>
      <c r="AN1092" s="736"/>
      <c r="AO1092" s="736"/>
      <c r="AP1092" s="736"/>
      <c r="AQ1092" s="736"/>
      <c r="AR1092" s="736"/>
      <c r="AS1092" s="736"/>
      <c r="AT1092" s="736"/>
      <c r="AU1092" s="736"/>
      <c r="AV1092" s="736"/>
      <c r="AW1092" s="736"/>
      <c r="AX1092" s="736"/>
      <c r="AY1092" s="736"/>
      <c r="AZ1092" s="736"/>
      <c r="BA1092" s="736"/>
      <c r="BB1092" s="736"/>
      <c r="BC1092" s="736"/>
      <c r="BD1092" s="736"/>
      <c r="BE1092" s="736"/>
      <c r="BF1092" s="736"/>
      <c r="BG1092" s="736"/>
      <c r="BH1092" s="736"/>
      <c r="BI1092" s="736"/>
      <c r="BJ1092" s="736"/>
      <c r="BK1092" s="736"/>
      <c r="BL1092" s="736"/>
    </row>
    <row r="1093" spans="1:64" ht="18.75" x14ac:dyDescent="0.25">
      <c r="A1093" s="758"/>
      <c r="B1093" s="737"/>
      <c r="C1093" s="730"/>
      <c r="D1093" s="739"/>
      <c r="E1093" s="765"/>
      <c r="F1093" s="765"/>
      <c r="G1093" s="765"/>
      <c r="H1093" s="765"/>
      <c r="I1093" s="746" t="str">
        <f t="shared" ref="I1093:I1156" si="52">AF1093</f>
        <v/>
      </c>
      <c r="J1093" s="731"/>
      <c r="K1093" s="731" t="str">
        <f t="shared" si="51"/>
        <v/>
      </c>
      <c r="L1093" s="726"/>
      <c r="M1093" s="726"/>
      <c r="N1093" s="726"/>
      <c r="O1093" s="726"/>
      <c r="P1093" s="726"/>
      <c r="Q1093" s="726"/>
      <c r="R1093" s="726"/>
      <c r="S1093" s="726"/>
      <c r="T1093" s="726"/>
      <c r="U1093" s="726"/>
      <c r="V1093" s="726"/>
      <c r="W1093" s="726"/>
      <c r="X1093" s="726"/>
      <c r="Y1093" s="726"/>
      <c r="Z1093" s="726"/>
      <c r="AA1093" s="732"/>
      <c r="AB1093" s="732"/>
      <c r="AC1093" s="732"/>
      <c r="AD1093" s="732"/>
      <c r="AE1093" s="733"/>
      <c r="AF1093" s="734" t="str">
        <f t="shared" ref="AF1093:AF1156" si="53">IF(AE1093 &lt;&gt;"", AE1093/AA1093,"")</f>
        <v/>
      </c>
      <c r="AG1093" s="774"/>
      <c r="AH1093" s="778"/>
      <c r="AI1093" s="736"/>
      <c r="AJ1093" s="736"/>
      <c r="AK1093" s="736"/>
      <c r="AL1093" s="736"/>
      <c r="AM1093" s="736"/>
      <c r="AN1093" s="736"/>
      <c r="AO1093" s="736"/>
      <c r="AP1093" s="736"/>
      <c r="AQ1093" s="736"/>
      <c r="AR1093" s="736"/>
      <c r="AS1093" s="736"/>
      <c r="AT1093" s="736"/>
      <c r="AU1093" s="736"/>
      <c r="AV1093" s="736"/>
      <c r="AW1093" s="736"/>
      <c r="AX1093" s="736"/>
      <c r="AY1093" s="736"/>
      <c r="AZ1093" s="736"/>
      <c r="BA1093" s="736"/>
      <c r="BB1093" s="736"/>
      <c r="BC1093" s="736"/>
      <c r="BD1093" s="736"/>
      <c r="BE1093" s="736"/>
      <c r="BF1093" s="736"/>
      <c r="BG1093" s="736"/>
      <c r="BH1093" s="736"/>
      <c r="BI1093" s="736"/>
      <c r="BJ1093" s="736"/>
      <c r="BK1093" s="736"/>
      <c r="BL1093" s="736"/>
    </row>
    <row r="1094" spans="1:64" ht="18.75" x14ac:dyDescent="0.25">
      <c r="A1094" s="758"/>
      <c r="B1094" s="737"/>
      <c r="C1094" s="730"/>
      <c r="D1094" s="739"/>
      <c r="E1094" s="765"/>
      <c r="F1094" s="765"/>
      <c r="G1094" s="765"/>
      <c r="H1094" s="765"/>
      <c r="I1094" s="746" t="str">
        <f t="shared" si="52"/>
        <v/>
      </c>
      <c r="J1094" s="731"/>
      <c r="K1094" s="731" t="str">
        <f t="shared" si="51"/>
        <v/>
      </c>
      <c r="L1094" s="726"/>
      <c r="M1094" s="726"/>
      <c r="N1094" s="726"/>
      <c r="O1094" s="726"/>
      <c r="P1094" s="726"/>
      <c r="Q1094" s="726"/>
      <c r="R1094" s="726"/>
      <c r="S1094" s="726"/>
      <c r="T1094" s="726"/>
      <c r="U1094" s="726"/>
      <c r="V1094" s="726"/>
      <c r="W1094" s="726"/>
      <c r="X1094" s="726"/>
      <c r="Y1094" s="726"/>
      <c r="Z1094" s="726"/>
      <c r="AA1094" s="732"/>
      <c r="AB1094" s="732"/>
      <c r="AC1094" s="732"/>
      <c r="AD1094" s="732"/>
      <c r="AE1094" s="733"/>
      <c r="AF1094" s="734" t="str">
        <f t="shared" si="53"/>
        <v/>
      </c>
      <c r="AG1094" s="774"/>
      <c r="AH1094" s="778"/>
      <c r="AI1094" s="736"/>
      <c r="AJ1094" s="736"/>
      <c r="AK1094" s="736"/>
      <c r="AL1094" s="736"/>
      <c r="AM1094" s="736"/>
      <c r="AN1094" s="736"/>
      <c r="AO1094" s="736"/>
      <c r="AP1094" s="736"/>
      <c r="AQ1094" s="736"/>
      <c r="AR1094" s="736"/>
      <c r="AS1094" s="736"/>
      <c r="AT1094" s="736"/>
      <c r="AU1094" s="736"/>
      <c r="AV1094" s="736"/>
      <c r="AW1094" s="736"/>
      <c r="AX1094" s="736"/>
      <c r="AY1094" s="736"/>
      <c r="AZ1094" s="736"/>
      <c r="BA1094" s="736"/>
      <c r="BB1094" s="736"/>
      <c r="BC1094" s="736"/>
      <c r="BD1094" s="736"/>
      <c r="BE1094" s="736"/>
      <c r="BF1094" s="736"/>
      <c r="BG1094" s="736"/>
      <c r="BH1094" s="736"/>
      <c r="BI1094" s="736"/>
      <c r="BJ1094" s="736"/>
      <c r="BK1094" s="736"/>
      <c r="BL1094" s="736"/>
    </row>
    <row r="1095" spans="1:64" ht="18.75" x14ac:dyDescent="0.25">
      <c r="A1095" s="758"/>
      <c r="B1095" s="737"/>
      <c r="C1095" s="730"/>
      <c r="D1095" s="739"/>
      <c r="E1095" s="765"/>
      <c r="F1095" s="765"/>
      <c r="G1095" s="765"/>
      <c r="H1095" s="765"/>
      <c r="I1095" s="746" t="str">
        <f t="shared" si="52"/>
        <v/>
      </c>
      <c r="J1095" s="731"/>
      <c r="K1095" s="731" t="str">
        <f t="shared" si="51"/>
        <v/>
      </c>
      <c r="L1095" s="726"/>
      <c r="M1095" s="726"/>
      <c r="N1095" s="726"/>
      <c r="O1095" s="726"/>
      <c r="P1095" s="726"/>
      <c r="Q1095" s="726"/>
      <c r="R1095" s="726"/>
      <c r="S1095" s="726"/>
      <c r="T1095" s="726"/>
      <c r="U1095" s="726"/>
      <c r="V1095" s="726"/>
      <c r="W1095" s="726"/>
      <c r="X1095" s="726"/>
      <c r="Y1095" s="726"/>
      <c r="Z1095" s="726"/>
      <c r="AA1095" s="732"/>
      <c r="AB1095" s="732"/>
      <c r="AC1095" s="732"/>
      <c r="AD1095" s="732"/>
      <c r="AE1095" s="733"/>
      <c r="AF1095" s="734" t="str">
        <f t="shared" si="53"/>
        <v/>
      </c>
      <c r="AG1095" s="774"/>
      <c r="AH1095" s="778"/>
      <c r="AI1095" s="736"/>
      <c r="AJ1095" s="736"/>
      <c r="AK1095" s="736"/>
      <c r="AL1095" s="736"/>
      <c r="AM1095" s="736"/>
      <c r="AN1095" s="736"/>
      <c r="AO1095" s="736"/>
      <c r="AP1095" s="736"/>
      <c r="AQ1095" s="736"/>
      <c r="AR1095" s="736"/>
      <c r="AS1095" s="736"/>
      <c r="AT1095" s="736"/>
      <c r="AU1095" s="736"/>
      <c r="AV1095" s="736"/>
      <c r="AW1095" s="736"/>
      <c r="AX1095" s="736"/>
      <c r="AY1095" s="736"/>
      <c r="AZ1095" s="736"/>
      <c r="BA1095" s="736"/>
      <c r="BB1095" s="736"/>
      <c r="BC1095" s="736"/>
      <c r="BD1095" s="736"/>
      <c r="BE1095" s="736"/>
      <c r="BF1095" s="736"/>
      <c r="BG1095" s="736"/>
      <c r="BH1095" s="736"/>
      <c r="BI1095" s="736"/>
      <c r="BJ1095" s="736"/>
      <c r="BK1095" s="736"/>
      <c r="BL1095" s="736"/>
    </row>
    <row r="1096" spans="1:64" ht="18.75" x14ac:dyDescent="0.25">
      <c r="A1096" s="758"/>
      <c r="B1096" s="737"/>
      <c r="C1096" s="730"/>
      <c r="D1096" s="739"/>
      <c r="E1096" s="765"/>
      <c r="F1096" s="765"/>
      <c r="G1096" s="765"/>
      <c r="H1096" s="765"/>
      <c r="I1096" s="746" t="str">
        <f t="shared" si="52"/>
        <v/>
      </c>
      <c r="J1096" s="731"/>
      <c r="K1096" s="731" t="str">
        <f t="shared" si="51"/>
        <v/>
      </c>
      <c r="L1096" s="726"/>
      <c r="M1096" s="726"/>
      <c r="N1096" s="726"/>
      <c r="O1096" s="726"/>
      <c r="P1096" s="726"/>
      <c r="Q1096" s="726"/>
      <c r="R1096" s="726"/>
      <c r="S1096" s="726"/>
      <c r="T1096" s="726"/>
      <c r="U1096" s="726"/>
      <c r="V1096" s="726"/>
      <c r="W1096" s="726"/>
      <c r="X1096" s="726"/>
      <c r="Y1096" s="726"/>
      <c r="Z1096" s="726"/>
      <c r="AA1096" s="732"/>
      <c r="AB1096" s="732"/>
      <c r="AC1096" s="732"/>
      <c r="AD1096" s="732"/>
      <c r="AE1096" s="733"/>
      <c r="AF1096" s="734" t="str">
        <f t="shared" si="53"/>
        <v/>
      </c>
      <c r="AG1096" s="774"/>
      <c r="AH1096" s="778"/>
      <c r="AI1096" s="736"/>
      <c r="AJ1096" s="736"/>
      <c r="AK1096" s="736"/>
      <c r="AL1096" s="736"/>
      <c r="AM1096" s="736"/>
      <c r="AN1096" s="736"/>
      <c r="AO1096" s="736"/>
      <c r="AP1096" s="736"/>
      <c r="AQ1096" s="736"/>
      <c r="AR1096" s="736"/>
      <c r="AS1096" s="736"/>
      <c r="AT1096" s="736"/>
      <c r="AU1096" s="736"/>
      <c r="AV1096" s="736"/>
      <c r="AW1096" s="736"/>
      <c r="AX1096" s="736"/>
      <c r="AY1096" s="736"/>
      <c r="AZ1096" s="736"/>
      <c r="BA1096" s="736"/>
      <c r="BB1096" s="736"/>
      <c r="BC1096" s="736"/>
      <c r="BD1096" s="736"/>
      <c r="BE1096" s="736"/>
      <c r="BF1096" s="736"/>
      <c r="BG1096" s="736"/>
      <c r="BH1096" s="736"/>
      <c r="BI1096" s="736"/>
      <c r="BJ1096" s="736"/>
      <c r="BK1096" s="736"/>
      <c r="BL1096" s="736"/>
    </row>
    <row r="1097" spans="1:64" ht="18.75" x14ac:dyDescent="0.25">
      <c r="A1097" s="758"/>
      <c r="B1097" s="737"/>
      <c r="C1097" s="730"/>
      <c r="D1097" s="739"/>
      <c r="E1097" s="765"/>
      <c r="F1097" s="765"/>
      <c r="G1097" s="765"/>
      <c r="H1097" s="765"/>
      <c r="I1097" s="746" t="str">
        <f t="shared" si="52"/>
        <v/>
      </c>
      <c r="J1097" s="731"/>
      <c r="K1097" s="731" t="str">
        <f t="shared" si="51"/>
        <v/>
      </c>
      <c r="L1097" s="726"/>
      <c r="M1097" s="726"/>
      <c r="N1097" s="726"/>
      <c r="O1097" s="726"/>
      <c r="P1097" s="726"/>
      <c r="Q1097" s="726"/>
      <c r="R1097" s="726"/>
      <c r="S1097" s="726"/>
      <c r="T1097" s="726"/>
      <c r="U1097" s="726"/>
      <c r="V1097" s="726"/>
      <c r="W1097" s="726"/>
      <c r="X1097" s="726"/>
      <c r="Y1097" s="726"/>
      <c r="Z1097" s="726"/>
      <c r="AA1097" s="732"/>
      <c r="AB1097" s="732"/>
      <c r="AC1097" s="732"/>
      <c r="AD1097" s="732"/>
      <c r="AE1097" s="733"/>
      <c r="AF1097" s="734" t="str">
        <f t="shared" si="53"/>
        <v/>
      </c>
      <c r="AG1097" s="773"/>
    </row>
    <row r="1098" spans="1:64" ht="18.75" x14ac:dyDescent="0.25">
      <c r="A1098" s="758"/>
      <c r="B1098" s="737"/>
      <c r="C1098" s="730"/>
      <c r="D1098" s="739"/>
      <c r="E1098" s="765"/>
      <c r="F1098" s="765"/>
      <c r="G1098" s="765"/>
      <c r="H1098" s="765"/>
      <c r="I1098" s="746" t="str">
        <f t="shared" si="52"/>
        <v/>
      </c>
      <c r="J1098" s="731"/>
      <c r="K1098" s="731" t="str">
        <f t="shared" si="51"/>
        <v/>
      </c>
      <c r="L1098" s="726"/>
      <c r="M1098" s="726"/>
      <c r="N1098" s="726"/>
      <c r="O1098" s="726"/>
      <c r="P1098" s="726"/>
      <c r="Q1098" s="726"/>
      <c r="R1098" s="726"/>
      <c r="S1098" s="726"/>
      <c r="T1098" s="726"/>
      <c r="U1098" s="726"/>
      <c r="V1098" s="726"/>
      <c r="W1098" s="726"/>
      <c r="X1098" s="726"/>
      <c r="Y1098" s="726"/>
      <c r="Z1098" s="726"/>
      <c r="AA1098" s="732"/>
      <c r="AB1098" s="732"/>
      <c r="AC1098" s="732"/>
      <c r="AD1098" s="732"/>
      <c r="AE1098" s="733"/>
      <c r="AF1098" s="734" t="str">
        <f t="shared" si="53"/>
        <v/>
      </c>
      <c r="AG1098" s="774"/>
      <c r="AH1098" s="778"/>
      <c r="AI1098" s="736"/>
      <c r="AJ1098" s="736"/>
      <c r="AK1098" s="736"/>
      <c r="AL1098" s="736"/>
      <c r="AM1098" s="736"/>
      <c r="AN1098" s="736"/>
      <c r="AO1098" s="736"/>
      <c r="AP1098" s="736"/>
      <c r="AQ1098" s="736"/>
      <c r="AR1098" s="736"/>
      <c r="AS1098" s="736"/>
      <c r="AT1098" s="736"/>
      <c r="AU1098" s="736"/>
      <c r="AV1098" s="736"/>
      <c r="AW1098" s="736"/>
      <c r="AX1098" s="736"/>
      <c r="AY1098" s="736"/>
      <c r="AZ1098" s="736"/>
      <c r="BA1098" s="736"/>
      <c r="BB1098" s="736"/>
      <c r="BC1098" s="736"/>
      <c r="BD1098" s="736"/>
      <c r="BE1098" s="736"/>
      <c r="BF1098" s="736"/>
      <c r="BG1098" s="736"/>
      <c r="BH1098" s="736"/>
      <c r="BI1098" s="736"/>
      <c r="BJ1098" s="736"/>
      <c r="BK1098" s="736"/>
      <c r="BL1098" s="736"/>
    </row>
    <row r="1099" spans="1:64" ht="18.75" x14ac:dyDescent="0.25">
      <c r="A1099" s="758"/>
      <c r="B1099" s="737"/>
      <c r="C1099" s="730"/>
      <c r="D1099" s="739"/>
      <c r="E1099" s="765"/>
      <c r="F1099" s="765"/>
      <c r="G1099" s="765"/>
      <c r="H1099" s="765"/>
      <c r="I1099" s="746" t="str">
        <f t="shared" si="52"/>
        <v/>
      </c>
      <c r="J1099" s="731"/>
      <c r="K1099" s="731" t="str">
        <f t="shared" si="51"/>
        <v/>
      </c>
      <c r="L1099" s="726"/>
      <c r="M1099" s="726"/>
      <c r="N1099" s="726"/>
      <c r="O1099" s="726"/>
      <c r="P1099" s="726"/>
      <c r="Q1099" s="726"/>
      <c r="R1099" s="726"/>
      <c r="S1099" s="726"/>
      <c r="T1099" s="726"/>
      <c r="U1099" s="726"/>
      <c r="V1099" s="726"/>
      <c r="W1099" s="726"/>
      <c r="X1099" s="726"/>
      <c r="Y1099" s="726"/>
      <c r="Z1099" s="726"/>
      <c r="AA1099" s="732"/>
      <c r="AB1099" s="732"/>
      <c r="AC1099" s="732"/>
      <c r="AD1099" s="732"/>
      <c r="AE1099" s="733"/>
      <c r="AF1099" s="734" t="str">
        <f t="shared" si="53"/>
        <v/>
      </c>
      <c r="AG1099" s="774"/>
      <c r="AH1099" s="778"/>
      <c r="AI1099" s="736"/>
      <c r="AJ1099" s="736"/>
      <c r="AK1099" s="736"/>
      <c r="AL1099" s="736"/>
      <c r="AM1099" s="736"/>
      <c r="AN1099" s="736"/>
      <c r="AO1099" s="736"/>
      <c r="AP1099" s="736"/>
      <c r="AQ1099" s="736"/>
      <c r="AR1099" s="736"/>
      <c r="AS1099" s="736"/>
      <c r="AT1099" s="736"/>
      <c r="AU1099" s="736"/>
      <c r="AV1099" s="736"/>
      <c r="AW1099" s="736"/>
      <c r="AX1099" s="736"/>
      <c r="AY1099" s="736"/>
      <c r="AZ1099" s="736"/>
      <c r="BA1099" s="736"/>
      <c r="BB1099" s="736"/>
      <c r="BC1099" s="736"/>
      <c r="BD1099" s="736"/>
      <c r="BE1099" s="736"/>
      <c r="BF1099" s="736"/>
      <c r="BG1099" s="736"/>
      <c r="BH1099" s="736"/>
      <c r="BI1099" s="736"/>
      <c r="BJ1099" s="736"/>
      <c r="BK1099" s="736"/>
      <c r="BL1099" s="736"/>
    </row>
    <row r="1100" spans="1:64" ht="18.75" x14ac:dyDescent="0.25">
      <c r="A1100" s="758"/>
      <c r="B1100" s="737"/>
      <c r="C1100" s="730"/>
      <c r="D1100" s="739"/>
      <c r="E1100" s="765"/>
      <c r="F1100" s="765"/>
      <c r="G1100" s="765"/>
      <c r="H1100" s="765"/>
      <c r="I1100" s="746" t="str">
        <f t="shared" si="52"/>
        <v/>
      </c>
      <c r="J1100" s="731"/>
      <c r="K1100" s="731" t="str">
        <f t="shared" si="51"/>
        <v/>
      </c>
      <c r="L1100" s="726"/>
      <c r="M1100" s="726"/>
      <c r="N1100" s="726"/>
      <c r="O1100" s="726"/>
      <c r="P1100" s="726"/>
      <c r="Q1100" s="726"/>
      <c r="R1100" s="726"/>
      <c r="S1100" s="726"/>
      <c r="T1100" s="726"/>
      <c r="U1100" s="726"/>
      <c r="V1100" s="726"/>
      <c r="W1100" s="726"/>
      <c r="X1100" s="726"/>
      <c r="Y1100" s="726"/>
      <c r="Z1100" s="726"/>
      <c r="AA1100" s="732"/>
      <c r="AB1100" s="732"/>
      <c r="AC1100" s="732"/>
      <c r="AD1100" s="732"/>
      <c r="AE1100" s="733"/>
      <c r="AF1100" s="734" t="str">
        <f t="shared" si="53"/>
        <v/>
      </c>
      <c r="AG1100" s="774"/>
      <c r="AH1100" s="778"/>
      <c r="AI1100" s="736"/>
      <c r="AJ1100" s="736"/>
      <c r="AK1100" s="736"/>
      <c r="AL1100" s="736"/>
      <c r="AM1100" s="736"/>
      <c r="AN1100" s="736"/>
      <c r="AO1100" s="736"/>
      <c r="AP1100" s="736"/>
      <c r="AQ1100" s="736"/>
      <c r="AR1100" s="736"/>
      <c r="AS1100" s="736"/>
      <c r="AT1100" s="736"/>
      <c r="AU1100" s="736"/>
      <c r="AV1100" s="736"/>
      <c r="AW1100" s="736"/>
      <c r="AX1100" s="736"/>
      <c r="AY1100" s="736"/>
      <c r="AZ1100" s="736"/>
      <c r="BA1100" s="736"/>
      <c r="BB1100" s="736"/>
      <c r="BC1100" s="736"/>
      <c r="BD1100" s="736"/>
      <c r="BE1100" s="736"/>
      <c r="BF1100" s="736"/>
      <c r="BG1100" s="736"/>
      <c r="BH1100" s="736"/>
      <c r="BI1100" s="736"/>
      <c r="BJ1100" s="736"/>
      <c r="BK1100" s="736"/>
      <c r="BL1100" s="736"/>
    </row>
    <row r="1101" spans="1:64" ht="18.75" x14ac:dyDescent="0.25">
      <c r="A1101" s="758"/>
      <c r="B1101" s="737"/>
      <c r="C1101" s="730"/>
      <c r="D1101" s="739"/>
      <c r="E1101" s="765"/>
      <c r="F1101" s="765"/>
      <c r="G1101" s="765"/>
      <c r="H1101" s="765"/>
      <c r="I1101" s="746" t="str">
        <f t="shared" si="52"/>
        <v/>
      </c>
      <c r="J1101" s="731"/>
      <c r="K1101" s="731" t="str">
        <f t="shared" si="51"/>
        <v/>
      </c>
      <c r="L1101" s="726"/>
      <c r="M1101" s="726"/>
      <c r="N1101" s="726"/>
      <c r="O1101" s="726"/>
      <c r="P1101" s="726"/>
      <c r="Q1101" s="726"/>
      <c r="R1101" s="726"/>
      <c r="S1101" s="726"/>
      <c r="T1101" s="726"/>
      <c r="U1101" s="726"/>
      <c r="V1101" s="726"/>
      <c r="W1101" s="726"/>
      <c r="X1101" s="726"/>
      <c r="Y1101" s="726"/>
      <c r="Z1101" s="726"/>
      <c r="AA1101" s="732"/>
      <c r="AB1101" s="732"/>
      <c r="AC1101" s="732"/>
      <c r="AD1101" s="732"/>
      <c r="AE1101" s="733"/>
      <c r="AF1101" s="734" t="str">
        <f t="shared" si="53"/>
        <v/>
      </c>
      <c r="AG1101" s="774"/>
      <c r="AH1101" s="778"/>
      <c r="AI1101" s="736"/>
      <c r="AJ1101" s="736"/>
      <c r="AK1101" s="736"/>
      <c r="AL1101" s="736"/>
      <c r="AM1101" s="736"/>
      <c r="AN1101" s="736"/>
      <c r="AO1101" s="736"/>
      <c r="AP1101" s="736"/>
      <c r="AQ1101" s="736"/>
      <c r="AR1101" s="736"/>
      <c r="AS1101" s="736"/>
      <c r="AT1101" s="736"/>
      <c r="AU1101" s="736"/>
      <c r="AV1101" s="736"/>
      <c r="AW1101" s="736"/>
      <c r="AX1101" s="736"/>
      <c r="AY1101" s="736"/>
      <c r="AZ1101" s="736"/>
      <c r="BA1101" s="736"/>
      <c r="BB1101" s="736"/>
      <c r="BC1101" s="736"/>
      <c r="BD1101" s="736"/>
      <c r="BE1101" s="736"/>
      <c r="BF1101" s="736"/>
      <c r="BG1101" s="736"/>
      <c r="BH1101" s="736"/>
      <c r="BI1101" s="736"/>
      <c r="BJ1101" s="736"/>
      <c r="BK1101" s="736"/>
      <c r="BL1101" s="736"/>
    </row>
    <row r="1102" spans="1:64" ht="18.75" x14ac:dyDescent="0.25">
      <c r="A1102" s="758"/>
      <c r="B1102" s="737"/>
      <c r="C1102" s="730"/>
      <c r="D1102" s="739"/>
      <c r="E1102" s="765"/>
      <c r="F1102" s="765"/>
      <c r="G1102" s="765"/>
      <c r="H1102" s="765"/>
      <c r="I1102" s="746" t="str">
        <f t="shared" si="52"/>
        <v/>
      </c>
      <c r="J1102" s="731"/>
      <c r="K1102" s="731" t="str">
        <f t="shared" si="51"/>
        <v/>
      </c>
      <c r="L1102" s="726"/>
      <c r="M1102" s="726"/>
      <c r="N1102" s="726"/>
      <c r="O1102" s="726"/>
      <c r="P1102" s="726"/>
      <c r="Q1102" s="726"/>
      <c r="R1102" s="726"/>
      <c r="S1102" s="726"/>
      <c r="T1102" s="726"/>
      <c r="U1102" s="726"/>
      <c r="V1102" s="726"/>
      <c r="W1102" s="726"/>
      <c r="X1102" s="726"/>
      <c r="Y1102" s="726"/>
      <c r="Z1102" s="726"/>
      <c r="AA1102" s="732"/>
      <c r="AB1102" s="732"/>
      <c r="AC1102" s="732"/>
      <c r="AD1102" s="732"/>
      <c r="AE1102" s="733"/>
      <c r="AF1102" s="734" t="str">
        <f t="shared" si="53"/>
        <v/>
      </c>
      <c r="AG1102" s="774"/>
      <c r="AH1102" s="778"/>
      <c r="AI1102" s="736"/>
      <c r="AJ1102" s="736"/>
      <c r="AK1102" s="736"/>
      <c r="AL1102" s="736"/>
      <c r="AM1102" s="736"/>
      <c r="AN1102" s="736"/>
      <c r="AO1102" s="736"/>
      <c r="AP1102" s="736"/>
      <c r="AQ1102" s="736"/>
      <c r="AR1102" s="736"/>
      <c r="AS1102" s="736"/>
      <c r="AT1102" s="736"/>
      <c r="AU1102" s="736"/>
      <c r="AV1102" s="736"/>
      <c r="AW1102" s="736"/>
      <c r="AX1102" s="736"/>
      <c r="AY1102" s="736"/>
      <c r="AZ1102" s="736"/>
      <c r="BA1102" s="736"/>
      <c r="BB1102" s="736"/>
      <c r="BC1102" s="736"/>
      <c r="BD1102" s="736"/>
      <c r="BE1102" s="736"/>
      <c r="BF1102" s="736"/>
      <c r="BG1102" s="736"/>
      <c r="BH1102" s="736"/>
      <c r="BI1102" s="736"/>
      <c r="BJ1102" s="736"/>
      <c r="BK1102" s="736"/>
      <c r="BL1102" s="736"/>
    </row>
    <row r="1103" spans="1:64" ht="18.75" x14ac:dyDescent="0.25">
      <c r="A1103" s="758"/>
      <c r="B1103" s="737"/>
      <c r="C1103" s="730"/>
      <c r="D1103" s="739"/>
      <c r="E1103" s="765"/>
      <c r="F1103" s="765"/>
      <c r="G1103" s="765"/>
      <c r="H1103" s="765"/>
      <c r="I1103" s="746" t="str">
        <f t="shared" si="52"/>
        <v/>
      </c>
      <c r="J1103" s="731"/>
      <c r="K1103" s="731" t="str">
        <f t="shared" si="51"/>
        <v/>
      </c>
      <c r="L1103" s="726"/>
      <c r="M1103" s="726"/>
      <c r="N1103" s="726"/>
      <c r="O1103" s="726"/>
      <c r="P1103" s="726"/>
      <c r="Q1103" s="726"/>
      <c r="R1103" s="726"/>
      <c r="S1103" s="726"/>
      <c r="T1103" s="726"/>
      <c r="U1103" s="726"/>
      <c r="V1103" s="726"/>
      <c r="W1103" s="726"/>
      <c r="X1103" s="726"/>
      <c r="Y1103" s="726"/>
      <c r="Z1103" s="726"/>
      <c r="AA1103" s="732"/>
      <c r="AB1103" s="732"/>
      <c r="AC1103" s="732"/>
      <c r="AD1103" s="732"/>
      <c r="AE1103" s="733"/>
      <c r="AF1103" s="734" t="str">
        <f t="shared" si="53"/>
        <v/>
      </c>
      <c r="AG1103" s="774"/>
      <c r="AH1103" s="778"/>
      <c r="AI1103" s="736"/>
      <c r="AJ1103" s="736"/>
      <c r="AK1103" s="736"/>
      <c r="AL1103" s="736"/>
      <c r="AM1103" s="736"/>
      <c r="AN1103" s="736"/>
      <c r="AO1103" s="736"/>
      <c r="AP1103" s="736"/>
      <c r="AQ1103" s="736"/>
      <c r="AR1103" s="736"/>
      <c r="AS1103" s="736"/>
      <c r="AT1103" s="736"/>
      <c r="AU1103" s="736"/>
      <c r="AV1103" s="736"/>
      <c r="AW1103" s="736"/>
      <c r="AX1103" s="736"/>
      <c r="AY1103" s="736"/>
      <c r="AZ1103" s="736"/>
      <c r="BA1103" s="736"/>
      <c r="BB1103" s="736"/>
      <c r="BC1103" s="736"/>
      <c r="BD1103" s="736"/>
      <c r="BE1103" s="736"/>
      <c r="BF1103" s="736"/>
      <c r="BG1103" s="736"/>
      <c r="BH1103" s="736"/>
      <c r="BI1103" s="736"/>
      <c r="BJ1103" s="736"/>
      <c r="BK1103" s="736"/>
      <c r="BL1103" s="736"/>
    </row>
    <row r="1104" spans="1:64" ht="18.75" x14ac:dyDescent="0.25">
      <c r="A1104" s="758"/>
      <c r="B1104" s="737"/>
      <c r="C1104" s="730"/>
      <c r="D1104" s="739"/>
      <c r="E1104" s="765"/>
      <c r="F1104" s="765"/>
      <c r="G1104" s="765"/>
      <c r="H1104" s="765"/>
      <c r="I1104" s="746" t="str">
        <f t="shared" si="52"/>
        <v/>
      </c>
      <c r="J1104" s="731"/>
      <c r="K1104" s="731" t="str">
        <f t="shared" si="51"/>
        <v/>
      </c>
      <c r="L1104" s="726"/>
      <c r="M1104" s="726"/>
      <c r="N1104" s="726"/>
      <c r="O1104" s="726"/>
      <c r="P1104" s="726"/>
      <c r="Q1104" s="726"/>
      <c r="R1104" s="726"/>
      <c r="S1104" s="726"/>
      <c r="T1104" s="726"/>
      <c r="U1104" s="726"/>
      <c r="V1104" s="726"/>
      <c r="W1104" s="726"/>
      <c r="X1104" s="726"/>
      <c r="Y1104" s="726"/>
      <c r="Z1104" s="726"/>
      <c r="AA1104" s="732"/>
      <c r="AB1104" s="732"/>
      <c r="AC1104" s="732"/>
      <c r="AD1104" s="732"/>
      <c r="AE1104" s="733"/>
      <c r="AF1104" s="734" t="str">
        <f t="shared" si="53"/>
        <v/>
      </c>
      <c r="AG1104" s="773"/>
    </row>
    <row r="1105" spans="1:64" ht="18.75" x14ac:dyDescent="0.25">
      <c r="A1105" s="758"/>
      <c r="B1105" s="737"/>
      <c r="C1105" s="730"/>
      <c r="D1105" s="739"/>
      <c r="E1105" s="765"/>
      <c r="F1105" s="765"/>
      <c r="G1105" s="765"/>
      <c r="H1105" s="765"/>
      <c r="I1105" s="746" t="str">
        <f t="shared" si="52"/>
        <v/>
      </c>
      <c r="J1105" s="731"/>
      <c r="K1105" s="731" t="str">
        <f t="shared" si="51"/>
        <v/>
      </c>
      <c r="L1105" s="726"/>
      <c r="M1105" s="726"/>
      <c r="N1105" s="726"/>
      <c r="O1105" s="726"/>
      <c r="P1105" s="726"/>
      <c r="Q1105" s="726"/>
      <c r="R1105" s="726"/>
      <c r="S1105" s="726"/>
      <c r="T1105" s="726"/>
      <c r="U1105" s="726"/>
      <c r="V1105" s="726"/>
      <c r="W1105" s="726"/>
      <c r="X1105" s="726"/>
      <c r="Y1105" s="726"/>
      <c r="Z1105" s="726"/>
      <c r="AA1105" s="732"/>
      <c r="AB1105" s="732"/>
      <c r="AC1105" s="732"/>
      <c r="AD1105" s="732"/>
      <c r="AE1105" s="733"/>
      <c r="AF1105" s="734" t="str">
        <f t="shared" si="53"/>
        <v/>
      </c>
      <c r="AG1105" s="774"/>
      <c r="AH1105" s="778"/>
      <c r="AI1105" s="736"/>
      <c r="AJ1105" s="736"/>
      <c r="AK1105" s="736"/>
      <c r="AL1105" s="736"/>
      <c r="AM1105" s="736"/>
      <c r="AN1105" s="736"/>
      <c r="AO1105" s="736"/>
      <c r="AP1105" s="736"/>
      <c r="AQ1105" s="736"/>
      <c r="AR1105" s="736"/>
      <c r="AS1105" s="736"/>
      <c r="AT1105" s="736"/>
      <c r="AU1105" s="736"/>
      <c r="AV1105" s="736"/>
      <c r="AW1105" s="736"/>
      <c r="AX1105" s="736"/>
      <c r="AY1105" s="736"/>
      <c r="AZ1105" s="736"/>
      <c r="BA1105" s="736"/>
      <c r="BB1105" s="736"/>
      <c r="BC1105" s="736"/>
      <c r="BD1105" s="736"/>
      <c r="BE1105" s="736"/>
      <c r="BF1105" s="736"/>
      <c r="BG1105" s="736"/>
      <c r="BH1105" s="736"/>
      <c r="BI1105" s="736"/>
      <c r="BJ1105" s="736"/>
      <c r="BK1105" s="736"/>
      <c r="BL1105" s="736"/>
    </row>
    <row r="1106" spans="1:64" ht="18.75" x14ac:dyDescent="0.25">
      <c r="A1106" s="758"/>
      <c r="B1106" s="737"/>
      <c r="C1106" s="730"/>
      <c r="D1106" s="739"/>
      <c r="E1106" s="765"/>
      <c r="F1106" s="765"/>
      <c r="G1106" s="765"/>
      <c r="H1106" s="765"/>
      <c r="I1106" s="746" t="str">
        <f t="shared" si="52"/>
        <v/>
      </c>
      <c r="J1106" s="731"/>
      <c r="K1106" s="731" t="str">
        <f t="shared" si="51"/>
        <v/>
      </c>
      <c r="L1106" s="726"/>
      <c r="M1106" s="726"/>
      <c r="N1106" s="726"/>
      <c r="O1106" s="726"/>
      <c r="P1106" s="726"/>
      <c r="Q1106" s="726"/>
      <c r="R1106" s="726"/>
      <c r="S1106" s="726"/>
      <c r="T1106" s="726"/>
      <c r="U1106" s="726"/>
      <c r="V1106" s="726"/>
      <c r="W1106" s="726"/>
      <c r="X1106" s="726"/>
      <c r="Y1106" s="726"/>
      <c r="Z1106" s="726"/>
      <c r="AA1106" s="732"/>
      <c r="AB1106" s="732"/>
      <c r="AC1106" s="732"/>
      <c r="AD1106" s="732"/>
      <c r="AE1106" s="733"/>
      <c r="AF1106" s="734" t="str">
        <f t="shared" si="53"/>
        <v/>
      </c>
      <c r="AG1106" s="773"/>
    </row>
    <row r="1107" spans="1:64" ht="18.75" x14ac:dyDescent="0.25">
      <c r="A1107" s="758"/>
      <c r="B1107" s="737"/>
      <c r="C1107" s="730"/>
      <c r="D1107" s="739"/>
      <c r="E1107" s="765"/>
      <c r="F1107" s="765"/>
      <c r="G1107" s="765"/>
      <c r="H1107" s="765"/>
      <c r="I1107" s="746" t="str">
        <f t="shared" si="52"/>
        <v/>
      </c>
      <c r="J1107" s="731"/>
      <c r="K1107" s="731" t="str">
        <f t="shared" si="51"/>
        <v/>
      </c>
      <c r="L1107" s="726"/>
      <c r="M1107" s="726"/>
      <c r="N1107" s="726"/>
      <c r="O1107" s="726"/>
      <c r="P1107" s="726"/>
      <c r="Q1107" s="726"/>
      <c r="R1107" s="726"/>
      <c r="S1107" s="726"/>
      <c r="T1107" s="726"/>
      <c r="U1107" s="726"/>
      <c r="V1107" s="726"/>
      <c r="W1107" s="726"/>
      <c r="X1107" s="726"/>
      <c r="Y1107" s="726"/>
      <c r="Z1107" s="726"/>
      <c r="AA1107" s="732"/>
      <c r="AB1107" s="732"/>
      <c r="AC1107" s="732"/>
      <c r="AD1107" s="732"/>
      <c r="AE1107" s="733"/>
      <c r="AF1107" s="734" t="str">
        <f t="shared" si="53"/>
        <v/>
      </c>
      <c r="AG1107" s="773"/>
    </row>
    <row r="1108" spans="1:64" ht="18.75" x14ac:dyDescent="0.25">
      <c r="A1108" s="758"/>
      <c r="B1108" s="737"/>
      <c r="C1108" s="730"/>
      <c r="D1108" s="739"/>
      <c r="E1108" s="765"/>
      <c r="F1108" s="765"/>
      <c r="G1108" s="765"/>
      <c r="H1108" s="765"/>
      <c r="I1108" s="746" t="str">
        <f t="shared" si="52"/>
        <v/>
      </c>
      <c r="J1108" s="731"/>
      <c r="K1108" s="731" t="str">
        <f t="shared" si="51"/>
        <v/>
      </c>
      <c r="L1108" s="726"/>
      <c r="M1108" s="726"/>
      <c r="N1108" s="726"/>
      <c r="O1108" s="726"/>
      <c r="P1108" s="726"/>
      <c r="Q1108" s="726"/>
      <c r="R1108" s="726"/>
      <c r="S1108" s="726"/>
      <c r="T1108" s="726"/>
      <c r="U1108" s="726"/>
      <c r="V1108" s="726"/>
      <c r="W1108" s="726"/>
      <c r="X1108" s="726"/>
      <c r="Y1108" s="726"/>
      <c r="Z1108" s="726"/>
      <c r="AA1108" s="732"/>
      <c r="AB1108" s="732"/>
      <c r="AC1108" s="732"/>
      <c r="AD1108" s="732"/>
      <c r="AE1108" s="733"/>
      <c r="AF1108" s="734" t="str">
        <f t="shared" si="53"/>
        <v/>
      </c>
      <c r="AG1108" s="774"/>
      <c r="AH1108" s="778"/>
      <c r="AI1108" s="736"/>
      <c r="AJ1108" s="736"/>
      <c r="AK1108" s="736"/>
      <c r="AL1108" s="736"/>
      <c r="AM1108" s="736"/>
      <c r="AN1108" s="736"/>
      <c r="AO1108" s="736"/>
      <c r="AP1108" s="736"/>
      <c r="AQ1108" s="736"/>
      <c r="AR1108" s="736"/>
      <c r="AS1108" s="736"/>
      <c r="AT1108" s="736"/>
      <c r="AU1108" s="736"/>
      <c r="AV1108" s="736"/>
      <c r="AW1108" s="736"/>
      <c r="AX1108" s="736"/>
      <c r="AY1108" s="736"/>
      <c r="AZ1108" s="736"/>
      <c r="BA1108" s="736"/>
      <c r="BB1108" s="736"/>
      <c r="BC1108" s="736"/>
      <c r="BD1108" s="736"/>
      <c r="BE1108" s="736"/>
      <c r="BF1108" s="736"/>
      <c r="BG1108" s="736"/>
      <c r="BH1108" s="736"/>
      <c r="BI1108" s="736"/>
      <c r="BJ1108" s="736"/>
      <c r="BK1108" s="736"/>
      <c r="BL1108" s="736"/>
    </row>
    <row r="1109" spans="1:64" ht="18.75" x14ac:dyDescent="0.25">
      <c r="A1109" s="758"/>
      <c r="B1109" s="737"/>
      <c r="C1109" s="730"/>
      <c r="D1109" s="739"/>
      <c r="E1109" s="765"/>
      <c r="F1109" s="765"/>
      <c r="G1109" s="765"/>
      <c r="H1109" s="765"/>
      <c r="I1109" s="746" t="str">
        <f t="shared" si="52"/>
        <v/>
      </c>
      <c r="J1109" s="731"/>
      <c r="K1109" s="731" t="str">
        <f t="shared" si="51"/>
        <v/>
      </c>
      <c r="L1109" s="726"/>
      <c r="M1109" s="726"/>
      <c r="N1109" s="726"/>
      <c r="O1109" s="726"/>
      <c r="P1109" s="726"/>
      <c r="Q1109" s="726"/>
      <c r="R1109" s="726"/>
      <c r="S1109" s="726"/>
      <c r="T1109" s="726"/>
      <c r="U1109" s="726"/>
      <c r="V1109" s="726"/>
      <c r="W1109" s="726"/>
      <c r="X1109" s="726"/>
      <c r="Y1109" s="726"/>
      <c r="Z1109" s="726"/>
      <c r="AA1109" s="732"/>
      <c r="AB1109" s="732"/>
      <c r="AC1109" s="732"/>
      <c r="AD1109" s="732"/>
      <c r="AE1109" s="733"/>
      <c r="AF1109" s="734" t="str">
        <f t="shared" si="53"/>
        <v/>
      </c>
      <c r="AG1109" s="774"/>
      <c r="AH1109" s="778"/>
      <c r="AI1109" s="736"/>
      <c r="AJ1109" s="736"/>
      <c r="AK1109" s="736"/>
      <c r="AL1109" s="736"/>
      <c r="AM1109" s="736"/>
      <c r="AN1109" s="736"/>
      <c r="AO1109" s="736"/>
      <c r="AP1109" s="736"/>
      <c r="AQ1109" s="736"/>
      <c r="AR1109" s="736"/>
      <c r="AS1109" s="736"/>
      <c r="AT1109" s="736"/>
      <c r="AU1109" s="736"/>
      <c r="AV1109" s="736"/>
      <c r="AW1109" s="736"/>
      <c r="AX1109" s="736"/>
      <c r="AY1109" s="736"/>
      <c r="AZ1109" s="736"/>
      <c r="BA1109" s="736"/>
      <c r="BB1109" s="736"/>
      <c r="BC1109" s="736"/>
      <c r="BD1109" s="736"/>
      <c r="BE1109" s="736"/>
      <c r="BF1109" s="736"/>
      <c r="BG1109" s="736"/>
      <c r="BH1109" s="736"/>
      <c r="BI1109" s="736"/>
      <c r="BJ1109" s="736"/>
      <c r="BK1109" s="736"/>
      <c r="BL1109" s="736"/>
    </row>
    <row r="1110" spans="1:64" ht="18.75" x14ac:dyDescent="0.25">
      <c r="A1110" s="758"/>
      <c r="B1110" s="737"/>
      <c r="C1110" s="730"/>
      <c r="D1110" s="739"/>
      <c r="E1110" s="765"/>
      <c r="F1110" s="765"/>
      <c r="G1110" s="765"/>
      <c r="H1110" s="765"/>
      <c r="I1110" s="746" t="str">
        <f t="shared" si="52"/>
        <v/>
      </c>
      <c r="J1110" s="731"/>
      <c r="K1110" s="731" t="str">
        <f t="shared" si="51"/>
        <v/>
      </c>
      <c r="L1110" s="726"/>
      <c r="M1110" s="726"/>
      <c r="N1110" s="726"/>
      <c r="O1110" s="726"/>
      <c r="P1110" s="726"/>
      <c r="Q1110" s="726"/>
      <c r="R1110" s="726"/>
      <c r="S1110" s="726"/>
      <c r="T1110" s="726"/>
      <c r="U1110" s="726"/>
      <c r="V1110" s="726"/>
      <c r="W1110" s="726"/>
      <c r="X1110" s="726"/>
      <c r="Y1110" s="726"/>
      <c r="Z1110" s="726"/>
      <c r="AA1110" s="732"/>
      <c r="AB1110" s="732"/>
      <c r="AC1110" s="732"/>
      <c r="AD1110" s="732"/>
      <c r="AE1110" s="733"/>
      <c r="AF1110" s="734" t="str">
        <f t="shared" si="53"/>
        <v/>
      </c>
      <c r="AG1110" s="774"/>
      <c r="AH1110" s="778"/>
      <c r="AI1110" s="736"/>
      <c r="AJ1110" s="736"/>
      <c r="AK1110" s="736"/>
      <c r="AL1110" s="736"/>
      <c r="AM1110" s="736"/>
      <c r="AN1110" s="736"/>
      <c r="AO1110" s="736"/>
      <c r="AP1110" s="736"/>
      <c r="AQ1110" s="736"/>
      <c r="AR1110" s="736"/>
      <c r="AS1110" s="736"/>
      <c r="AT1110" s="736"/>
      <c r="AU1110" s="736"/>
      <c r="AV1110" s="736"/>
      <c r="AW1110" s="736"/>
      <c r="AX1110" s="736"/>
      <c r="AY1110" s="736"/>
      <c r="AZ1110" s="736"/>
      <c r="BA1110" s="736"/>
      <c r="BB1110" s="736"/>
      <c r="BC1110" s="736"/>
      <c r="BD1110" s="736"/>
      <c r="BE1110" s="736"/>
      <c r="BF1110" s="736"/>
      <c r="BG1110" s="736"/>
      <c r="BH1110" s="736"/>
      <c r="BI1110" s="736"/>
      <c r="BJ1110" s="736"/>
      <c r="BK1110" s="736"/>
      <c r="BL1110" s="736"/>
    </row>
    <row r="1111" spans="1:64" ht="18.75" x14ac:dyDescent="0.25">
      <c r="A1111" s="758"/>
      <c r="B1111" s="737"/>
      <c r="C1111" s="730"/>
      <c r="D1111" s="739"/>
      <c r="E1111" s="765"/>
      <c r="F1111" s="765"/>
      <c r="G1111" s="765"/>
      <c r="H1111" s="765"/>
      <c r="I1111" s="746" t="str">
        <f t="shared" si="52"/>
        <v/>
      </c>
      <c r="J1111" s="731"/>
      <c r="K1111" s="731" t="str">
        <f t="shared" si="51"/>
        <v/>
      </c>
      <c r="L1111" s="726"/>
      <c r="M1111" s="726"/>
      <c r="N1111" s="726"/>
      <c r="O1111" s="726"/>
      <c r="P1111" s="726"/>
      <c r="Q1111" s="726"/>
      <c r="R1111" s="726"/>
      <c r="S1111" s="726"/>
      <c r="T1111" s="726"/>
      <c r="U1111" s="726"/>
      <c r="V1111" s="726"/>
      <c r="W1111" s="726"/>
      <c r="X1111" s="726"/>
      <c r="Y1111" s="726"/>
      <c r="Z1111" s="726"/>
      <c r="AA1111" s="732"/>
      <c r="AB1111" s="732"/>
      <c r="AC1111" s="732"/>
      <c r="AD1111" s="732"/>
      <c r="AE1111" s="733"/>
      <c r="AF1111" s="734" t="str">
        <f t="shared" si="53"/>
        <v/>
      </c>
      <c r="AG1111" s="773"/>
    </row>
    <row r="1112" spans="1:64" ht="18.75" x14ac:dyDescent="0.25">
      <c r="A1112" s="758"/>
      <c r="B1112" s="737"/>
      <c r="C1112" s="730"/>
      <c r="D1112" s="739"/>
      <c r="E1112" s="765"/>
      <c r="F1112" s="765"/>
      <c r="G1112" s="765"/>
      <c r="H1112" s="765"/>
      <c r="I1112" s="746" t="str">
        <f t="shared" si="52"/>
        <v/>
      </c>
      <c r="J1112" s="731"/>
      <c r="K1112" s="731" t="str">
        <f t="shared" si="51"/>
        <v/>
      </c>
      <c r="L1112" s="726"/>
      <c r="M1112" s="726"/>
      <c r="N1112" s="726"/>
      <c r="O1112" s="726"/>
      <c r="P1112" s="726"/>
      <c r="Q1112" s="726"/>
      <c r="R1112" s="726"/>
      <c r="S1112" s="726"/>
      <c r="T1112" s="726"/>
      <c r="U1112" s="726"/>
      <c r="V1112" s="726"/>
      <c r="W1112" s="726"/>
      <c r="X1112" s="726"/>
      <c r="Y1112" s="726"/>
      <c r="Z1112" s="726"/>
      <c r="AA1112" s="732"/>
      <c r="AB1112" s="732"/>
      <c r="AC1112" s="732"/>
      <c r="AD1112" s="732"/>
      <c r="AE1112" s="733"/>
      <c r="AF1112" s="734" t="str">
        <f t="shared" si="53"/>
        <v/>
      </c>
      <c r="AG1112" s="773"/>
    </row>
    <row r="1113" spans="1:64" ht="18.75" x14ac:dyDescent="0.25">
      <c r="A1113" s="758"/>
      <c r="B1113" s="737"/>
      <c r="C1113" s="730"/>
      <c r="D1113" s="739"/>
      <c r="E1113" s="765"/>
      <c r="F1113" s="765"/>
      <c r="G1113" s="765"/>
      <c r="H1113" s="765"/>
      <c r="I1113" s="746" t="str">
        <f t="shared" si="52"/>
        <v/>
      </c>
      <c r="J1113" s="731"/>
      <c r="K1113" s="731" t="str">
        <f t="shared" si="51"/>
        <v/>
      </c>
      <c r="L1113" s="726"/>
      <c r="M1113" s="726"/>
      <c r="N1113" s="726"/>
      <c r="O1113" s="726"/>
      <c r="P1113" s="726"/>
      <c r="Q1113" s="726"/>
      <c r="R1113" s="726"/>
      <c r="S1113" s="726"/>
      <c r="T1113" s="726"/>
      <c r="U1113" s="726"/>
      <c r="V1113" s="726"/>
      <c r="W1113" s="726"/>
      <c r="X1113" s="726"/>
      <c r="Y1113" s="726"/>
      <c r="Z1113" s="726"/>
      <c r="AA1113" s="732"/>
      <c r="AB1113" s="732"/>
      <c r="AC1113" s="732"/>
      <c r="AD1113" s="732"/>
      <c r="AE1113" s="733"/>
      <c r="AF1113" s="734" t="str">
        <f t="shared" si="53"/>
        <v/>
      </c>
      <c r="AG1113" s="773"/>
    </row>
    <row r="1114" spans="1:64" ht="18.75" x14ac:dyDescent="0.25">
      <c r="A1114" s="758"/>
      <c r="B1114" s="737"/>
      <c r="C1114" s="730"/>
      <c r="D1114" s="739"/>
      <c r="E1114" s="765"/>
      <c r="F1114" s="765"/>
      <c r="G1114" s="765"/>
      <c r="H1114" s="765"/>
      <c r="I1114" s="746" t="str">
        <f t="shared" si="52"/>
        <v/>
      </c>
      <c r="J1114" s="731"/>
      <c r="K1114" s="731" t="str">
        <f t="shared" si="51"/>
        <v/>
      </c>
      <c r="L1114" s="726"/>
      <c r="M1114" s="726"/>
      <c r="N1114" s="726"/>
      <c r="O1114" s="726"/>
      <c r="P1114" s="726"/>
      <c r="Q1114" s="726"/>
      <c r="R1114" s="726"/>
      <c r="S1114" s="726"/>
      <c r="T1114" s="726"/>
      <c r="U1114" s="726"/>
      <c r="V1114" s="726"/>
      <c r="W1114" s="726"/>
      <c r="X1114" s="726"/>
      <c r="Y1114" s="726"/>
      <c r="Z1114" s="726"/>
      <c r="AA1114" s="732"/>
      <c r="AB1114" s="732"/>
      <c r="AC1114" s="732"/>
      <c r="AD1114" s="732"/>
      <c r="AE1114" s="733"/>
      <c r="AF1114" s="734" t="str">
        <f t="shared" si="53"/>
        <v/>
      </c>
      <c r="AG1114" s="774"/>
      <c r="AH1114" s="778"/>
      <c r="AI1114" s="736"/>
      <c r="AJ1114" s="736"/>
      <c r="AK1114" s="736"/>
      <c r="AL1114" s="736"/>
      <c r="AM1114" s="736"/>
      <c r="AN1114" s="736"/>
      <c r="AO1114" s="736"/>
      <c r="AP1114" s="736"/>
      <c r="AQ1114" s="736"/>
      <c r="AR1114" s="736"/>
      <c r="AS1114" s="736"/>
      <c r="AT1114" s="736"/>
      <c r="AU1114" s="736"/>
      <c r="AV1114" s="736"/>
      <c r="AW1114" s="736"/>
      <c r="AX1114" s="736"/>
      <c r="AY1114" s="736"/>
      <c r="AZ1114" s="736"/>
      <c r="BA1114" s="736"/>
      <c r="BB1114" s="736"/>
      <c r="BC1114" s="736"/>
      <c r="BD1114" s="736"/>
      <c r="BE1114" s="736"/>
      <c r="BF1114" s="736"/>
      <c r="BG1114" s="736"/>
      <c r="BH1114" s="736"/>
      <c r="BI1114" s="736"/>
      <c r="BJ1114" s="736"/>
      <c r="BK1114" s="736"/>
      <c r="BL1114" s="736"/>
    </row>
    <row r="1115" spans="1:64" ht="18.75" x14ac:dyDescent="0.25">
      <c r="A1115" s="758"/>
      <c r="B1115" s="737"/>
      <c r="C1115" s="730"/>
      <c r="D1115" s="739"/>
      <c r="E1115" s="765"/>
      <c r="F1115" s="765"/>
      <c r="G1115" s="765"/>
      <c r="H1115" s="765"/>
      <c r="I1115" s="746" t="str">
        <f t="shared" si="52"/>
        <v/>
      </c>
      <c r="J1115" s="731"/>
      <c r="K1115" s="731" t="str">
        <f t="shared" si="51"/>
        <v/>
      </c>
      <c r="L1115" s="726"/>
      <c r="M1115" s="726"/>
      <c r="N1115" s="726"/>
      <c r="O1115" s="726"/>
      <c r="P1115" s="726"/>
      <c r="Q1115" s="726"/>
      <c r="R1115" s="726"/>
      <c r="S1115" s="726"/>
      <c r="T1115" s="726"/>
      <c r="U1115" s="726"/>
      <c r="V1115" s="726"/>
      <c r="W1115" s="726"/>
      <c r="X1115" s="726"/>
      <c r="Y1115" s="726"/>
      <c r="Z1115" s="726"/>
      <c r="AA1115" s="732"/>
      <c r="AB1115" s="732"/>
      <c r="AC1115" s="732"/>
      <c r="AD1115" s="732"/>
      <c r="AE1115" s="733"/>
      <c r="AF1115" s="734" t="str">
        <f t="shared" si="53"/>
        <v/>
      </c>
      <c r="AG1115" s="773"/>
    </row>
    <row r="1116" spans="1:64" ht="18.75" x14ac:dyDescent="0.25">
      <c r="A1116" s="758"/>
      <c r="B1116" s="737"/>
      <c r="C1116" s="730"/>
      <c r="D1116" s="739"/>
      <c r="E1116" s="765"/>
      <c r="F1116" s="765"/>
      <c r="G1116" s="765"/>
      <c r="H1116" s="765"/>
      <c r="I1116" s="746" t="str">
        <f t="shared" si="52"/>
        <v/>
      </c>
      <c r="J1116" s="731"/>
      <c r="K1116" s="731" t="str">
        <f t="shared" si="51"/>
        <v/>
      </c>
      <c r="L1116" s="726"/>
      <c r="M1116" s="726"/>
      <c r="N1116" s="726"/>
      <c r="O1116" s="726"/>
      <c r="P1116" s="726"/>
      <c r="Q1116" s="726"/>
      <c r="R1116" s="726"/>
      <c r="S1116" s="726"/>
      <c r="T1116" s="726"/>
      <c r="U1116" s="726"/>
      <c r="V1116" s="726"/>
      <c r="W1116" s="726"/>
      <c r="X1116" s="726"/>
      <c r="Y1116" s="726"/>
      <c r="Z1116" s="726"/>
      <c r="AA1116" s="732"/>
      <c r="AB1116" s="732"/>
      <c r="AC1116" s="732"/>
      <c r="AD1116" s="732"/>
      <c r="AE1116" s="733"/>
      <c r="AF1116" s="734" t="str">
        <f t="shared" si="53"/>
        <v/>
      </c>
      <c r="AG1116" s="773"/>
    </row>
    <row r="1117" spans="1:64" ht="18.75" x14ac:dyDescent="0.25">
      <c r="A1117" s="758"/>
      <c r="B1117" s="737"/>
      <c r="C1117" s="730"/>
      <c r="D1117" s="739"/>
      <c r="E1117" s="765"/>
      <c r="F1117" s="765"/>
      <c r="G1117" s="765"/>
      <c r="H1117" s="765"/>
      <c r="I1117" s="746" t="str">
        <f t="shared" si="52"/>
        <v/>
      </c>
      <c r="J1117" s="731"/>
      <c r="K1117" s="731" t="str">
        <f t="shared" si="51"/>
        <v/>
      </c>
      <c r="L1117" s="726"/>
      <c r="M1117" s="726"/>
      <c r="N1117" s="726"/>
      <c r="O1117" s="726"/>
      <c r="P1117" s="726"/>
      <c r="Q1117" s="726"/>
      <c r="R1117" s="726"/>
      <c r="S1117" s="726"/>
      <c r="T1117" s="726"/>
      <c r="U1117" s="726"/>
      <c r="V1117" s="726"/>
      <c r="W1117" s="726"/>
      <c r="X1117" s="726"/>
      <c r="Y1117" s="726"/>
      <c r="Z1117" s="726"/>
      <c r="AA1117" s="732"/>
      <c r="AB1117" s="732"/>
      <c r="AC1117" s="732"/>
      <c r="AD1117" s="732"/>
      <c r="AE1117" s="733"/>
      <c r="AF1117" s="734" t="str">
        <f t="shared" si="53"/>
        <v/>
      </c>
      <c r="AG1117" s="773"/>
    </row>
    <row r="1118" spans="1:64" ht="18.75" x14ac:dyDescent="0.25">
      <c r="A1118" s="758"/>
      <c r="B1118" s="737"/>
      <c r="C1118" s="730"/>
      <c r="D1118" s="739"/>
      <c r="E1118" s="765"/>
      <c r="F1118" s="765"/>
      <c r="G1118" s="765"/>
      <c r="H1118" s="765"/>
      <c r="I1118" s="746" t="str">
        <f t="shared" si="52"/>
        <v/>
      </c>
      <c r="J1118" s="731"/>
      <c r="K1118" s="731" t="str">
        <f t="shared" si="51"/>
        <v/>
      </c>
      <c r="L1118" s="726"/>
      <c r="M1118" s="726"/>
      <c r="N1118" s="726"/>
      <c r="O1118" s="726"/>
      <c r="P1118" s="726"/>
      <c r="Q1118" s="726"/>
      <c r="R1118" s="726"/>
      <c r="S1118" s="726"/>
      <c r="T1118" s="726"/>
      <c r="U1118" s="726"/>
      <c r="V1118" s="726"/>
      <c r="W1118" s="726"/>
      <c r="X1118" s="726"/>
      <c r="Y1118" s="726"/>
      <c r="Z1118" s="726"/>
      <c r="AA1118" s="732"/>
      <c r="AB1118" s="732"/>
      <c r="AC1118" s="732"/>
      <c r="AD1118" s="732"/>
      <c r="AE1118" s="733"/>
      <c r="AF1118" s="734" t="str">
        <f t="shared" si="53"/>
        <v/>
      </c>
      <c r="AG1118" s="773"/>
    </row>
    <row r="1119" spans="1:64" ht="18.75" x14ac:dyDescent="0.25">
      <c r="A1119" s="758"/>
      <c r="B1119" s="737"/>
      <c r="C1119" s="730"/>
      <c r="D1119" s="739"/>
      <c r="E1119" s="765"/>
      <c r="F1119" s="765"/>
      <c r="G1119" s="765"/>
      <c r="H1119" s="765"/>
      <c r="I1119" s="746" t="str">
        <f t="shared" si="52"/>
        <v/>
      </c>
      <c r="J1119" s="731"/>
      <c r="K1119" s="731" t="str">
        <f t="shared" si="51"/>
        <v/>
      </c>
      <c r="L1119" s="726"/>
      <c r="M1119" s="726"/>
      <c r="N1119" s="726"/>
      <c r="O1119" s="726"/>
      <c r="P1119" s="726"/>
      <c r="Q1119" s="726"/>
      <c r="R1119" s="726"/>
      <c r="S1119" s="726"/>
      <c r="T1119" s="726"/>
      <c r="U1119" s="726"/>
      <c r="V1119" s="726"/>
      <c r="W1119" s="726"/>
      <c r="X1119" s="726"/>
      <c r="Y1119" s="726"/>
      <c r="Z1119" s="726"/>
      <c r="AA1119" s="732"/>
      <c r="AB1119" s="732"/>
      <c r="AC1119" s="732"/>
      <c r="AD1119" s="732"/>
      <c r="AE1119" s="733"/>
      <c r="AF1119" s="734" t="str">
        <f t="shared" si="53"/>
        <v/>
      </c>
      <c r="AG1119" s="773"/>
    </row>
    <row r="1120" spans="1:64" ht="18.75" x14ac:dyDescent="0.25">
      <c r="A1120" s="758"/>
      <c r="B1120" s="737"/>
      <c r="C1120" s="730"/>
      <c r="D1120" s="739"/>
      <c r="E1120" s="765"/>
      <c r="F1120" s="765"/>
      <c r="G1120" s="765"/>
      <c r="H1120" s="765"/>
      <c r="I1120" s="746" t="str">
        <f t="shared" si="52"/>
        <v/>
      </c>
      <c r="J1120" s="731"/>
      <c r="K1120" s="731" t="str">
        <f t="shared" si="51"/>
        <v/>
      </c>
      <c r="L1120" s="726"/>
      <c r="M1120" s="726"/>
      <c r="N1120" s="726"/>
      <c r="O1120" s="726"/>
      <c r="P1120" s="726"/>
      <c r="Q1120" s="726"/>
      <c r="R1120" s="726"/>
      <c r="S1120" s="726"/>
      <c r="T1120" s="726"/>
      <c r="U1120" s="726"/>
      <c r="V1120" s="726"/>
      <c r="W1120" s="726"/>
      <c r="X1120" s="726"/>
      <c r="Y1120" s="726"/>
      <c r="Z1120" s="726"/>
      <c r="AA1120" s="732"/>
      <c r="AB1120" s="732"/>
      <c r="AC1120" s="732"/>
      <c r="AD1120" s="732"/>
      <c r="AE1120" s="733"/>
      <c r="AF1120" s="734" t="str">
        <f t="shared" si="53"/>
        <v/>
      </c>
      <c r="AG1120" s="773"/>
    </row>
    <row r="1121" spans="1:64" ht="18.75" x14ac:dyDescent="0.25">
      <c r="A1121" s="758"/>
      <c r="B1121" s="737"/>
      <c r="C1121" s="730"/>
      <c r="D1121" s="739"/>
      <c r="E1121" s="765"/>
      <c r="F1121" s="765"/>
      <c r="G1121" s="765"/>
      <c r="H1121" s="765"/>
      <c r="I1121" s="746" t="str">
        <f t="shared" si="52"/>
        <v/>
      </c>
      <c r="J1121" s="731"/>
      <c r="K1121" s="731" t="str">
        <f t="shared" si="51"/>
        <v/>
      </c>
      <c r="L1121" s="726"/>
      <c r="M1121" s="726"/>
      <c r="N1121" s="726"/>
      <c r="O1121" s="726"/>
      <c r="P1121" s="726"/>
      <c r="Q1121" s="726"/>
      <c r="R1121" s="726"/>
      <c r="S1121" s="726"/>
      <c r="T1121" s="726"/>
      <c r="U1121" s="726"/>
      <c r="V1121" s="726"/>
      <c r="W1121" s="726"/>
      <c r="X1121" s="726"/>
      <c r="Y1121" s="726"/>
      <c r="Z1121" s="726"/>
      <c r="AA1121" s="732"/>
      <c r="AB1121" s="732"/>
      <c r="AC1121" s="732"/>
      <c r="AD1121" s="732"/>
      <c r="AE1121" s="733"/>
      <c r="AF1121" s="734" t="str">
        <f t="shared" si="53"/>
        <v/>
      </c>
      <c r="AG1121" s="773"/>
    </row>
    <row r="1122" spans="1:64" ht="18.75" x14ac:dyDescent="0.25">
      <c r="A1122" s="758"/>
      <c r="B1122" s="737"/>
      <c r="C1122" s="730"/>
      <c r="D1122" s="739"/>
      <c r="E1122" s="765"/>
      <c r="F1122" s="765"/>
      <c r="G1122" s="765"/>
      <c r="H1122" s="765"/>
      <c r="I1122" s="746" t="str">
        <f t="shared" si="52"/>
        <v/>
      </c>
      <c r="J1122" s="731"/>
      <c r="K1122" s="731" t="str">
        <f t="shared" si="51"/>
        <v/>
      </c>
      <c r="L1122" s="726"/>
      <c r="M1122" s="726"/>
      <c r="N1122" s="726"/>
      <c r="O1122" s="726"/>
      <c r="P1122" s="726"/>
      <c r="Q1122" s="726"/>
      <c r="R1122" s="726"/>
      <c r="S1122" s="726"/>
      <c r="T1122" s="726"/>
      <c r="U1122" s="726"/>
      <c r="V1122" s="726"/>
      <c r="W1122" s="726"/>
      <c r="X1122" s="726"/>
      <c r="Y1122" s="726"/>
      <c r="Z1122" s="726"/>
      <c r="AA1122" s="732"/>
      <c r="AB1122" s="732"/>
      <c r="AC1122" s="732"/>
      <c r="AD1122" s="732"/>
      <c r="AE1122" s="733"/>
      <c r="AF1122" s="734" t="str">
        <f t="shared" si="53"/>
        <v/>
      </c>
      <c r="AG1122" s="773"/>
    </row>
    <row r="1123" spans="1:64" ht="18.75" x14ac:dyDescent="0.25">
      <c r="A1123" s="758"/>
      <c r="B1123" s="737"/>
      <c r="C1123" s="730"/>
      <c r="D1123" s="739"/>
      <c r="E1123" s="765"/>
      <c r="F1123" s="765"/>
      <c r="G1123" s="765"/>
      <c r="H1123" s="765"/>
      <c r="I1123" s="746" t="str">
        <f t="shared" si="52"/>
        <v/>
      </c>
      <c r="J1123" s="731"/>
      <c r="K1123" s="731" t="str">
        <f t="shared" si="51"/>
        <v/>
      </c>
      <c r="L1123" s="726"/>
      <c r="M1123" s="726"/>
      <c r="N1123" s="726"/>
      <c r="O1123" s="726"/>
      <c r="P1123" s="726"/>
      <c r="Q1123" s="726"/>
      <c r="R1123" s="726"/>
      <c r="S1123" s="726"/>
      <c r="T1123" s="726"/>
      <c r="U1123" s="726"/>
      <c r="V1123" s="726"/>
      <c r="W1123" s="726"/>
      <c r="X1123" s="726"/>
      <c r="Y1123" s="726"/>
      <c r="Z1123" s="726"/>
      <c r="AA1123" s="732"/>
      <c r="AB1123" s="732"/>
      <c r="AC1123" s="732"/>
      <c r="AD1123" s="732"/>
      <c r="AE1123" s="733"/>
      <c r="AF1123" s="734" t="str">
        <f t="shared" si="53"/>
        <v/>
      </c>
      <c r="AG1123" s="773"/>
    </row>
    <row r="1124" spans="1:64" ht="18.75" x14ac:dyDescent="0.25">
      <c r="A1124" s="758"/>
      <c r="B1124" s="737"/>
      <c r="C1124" s="730"/>
      <c r="D1124" s="739"/>
      <c r="E1124" s="765"/>
      <c r="F1124" s="765"/>
      <c r="G1124" s="765"/>
      <c r="H1124" s="765"/>
      <c r="I1124" s="746" t="str">
        <f t="shared" si="52"/>
        <v/>
      </c>
      <c r="J1124" s="731"/>
      <c r="K1124" s="731" t="str">
        <f t="shared" si="51"/>
        <v/>
      </c>
      <c r="L1124" s="726"/>
      <c r="M1124" s="726"/>
      <c r="N1124" s="726"/>
      <c r="O1124" s="726"/>
      <c r="P1124" s="726"/>
      <c r="Q1124" s="726"/>
      <c r="R1124" s="726"/>
      <c r="S1124" s="726"/>
      <c r="T1124" s="726"/>
      <c r="U1124" s="726"/>
      <c r="V1124" s="726"/>
      <c r="W1124" s="726"/>
      <c r="X1124" s="726"/>
      <c r="Y1124" s="726"/>
      <c r="Z1124" s="726"/>
      <c r="AA1124" s="732"/>
      <c r="AB1124" s="732"/>
      <c r="AC1124" s="732"/>
      <c r="AD1124" s="732"/>
      <c r="AE1124" s="733"/>
      <c r="AF1124" s="734" t="str">
        <f t="shared" si="53"/>
        <v/>
      </c>
      <c r="AG1124" s="773"/>
    </row>
    <row r="1125" spans="1:64" ht="18.75" x14ac:dyDescent="0.25">
      <c r="A1125" s="758"/>
      <c r="B1125" s="737"/>
      <c r="C1125" s="730"/>
      <c r="D1125" s="739"/>
      <c r="E1125" s="765"/>
      <c r="F1125" s="765"/>
      <c r="G1125" s="765"/>
      <c r="H1125" s="765"/>
      <c r="I1125" s="746" t="str">
        <f t="shared" si="52"/>
        <v/>
      </c>
      <c r="J1125" s="731"/>
      <c r="K1125" s="731" t="str">
        <f t="shared" si="51"/>
        <v/>
      </c>
      <c r="L1125" s="726"/>
      <c r="M1125" s="726"/>
      <c r="N1125" s="726"/>
      <c r="O1125" s="726"/>
      <c r="P1125" s="726"/>
      <c r="Q1125" s="726"/>
      <c r="R1125" s="726"/>
      <c r="S1125" s="726"/>
      <c r="T1125" s="726"/>
      <c r="U1125" s="726"/>
      <c r="V1125" s="726"/>
      <c r="W1125" s="726"/>
      <c r="X1125" s="726"/>
      <c r="Y1125" s="726"/>
      <c r="Z1125" s="726"/>
      <c r="AA1125" s="732"/>
      <c r="AB1125" s="732"/>
      <c r="AC1125" s="732"/>
      <c r="AD1125" s="732"/>
      <c r="AE1125" s="733"/>
      <c r="AF1125" s="734" t="str">
        <f t="shared" si="53"/>
        <v/>
      </c>
      <c r="AG1125" s="773"/>
    </row>
    <row r="1126" spans="1:64" ht="19.5" customHeight="1" x14ac:dyDescent="0.25">
      <c r="A1126" s="758"/>
      <c r="B1126" s="737"/>
      <c r="C1126" s="730"/>
      <c r="D1126" s="739"/>
      <c r="E1126" s="765"/>
      <c r="F1126" s="765"/>
      <c r="G1126" s="765"/>
      <c r="H1126" s="765"/>
      <c r="I1126" s="746" t="str">
        <f t="shared" si="52"/>
        <v/>
      </c>
      <c r="J1126" s="731"/>
      <c r="K1126" s="731" t="str">
        <f t="shared" si="51"/>
        <v/>
      </c>
      <c r="L1126" s="726"/>
      <c r="M1126" s="726"/>
      <c r="N1126" s="726"/>
      <c r="O1126" s="726"/>
      <c r="P1126" s="726"/>
      <c r="Q1126" s="726"/>
      <c r="R1126" s="726"/>
      <c r="S1126" s="726"/>
      <c r="T1126" s="726"/>
      <c r="U1126" s="726"/>
      <c r="V1126" s="726"/>
      <c r="W1126" s="726"/>
      <c r="X1126" s="726"/>
      <c r="Y1126" s="726"/>
      <c r="Z1126" s="726"/>
      <c r="AA1126" s="732"/>
      <c r="AB1126" s="732"/>
      <c r="AC1126" s="732"/>
      <c r="AD1126" s="732"/>
      <c r="AE1126" s="733"/>
      <c r="AF1126" s="734" t="str">
        <f t="shared" si="53"/>
        <v/>
      </c>
      <c r="AG1126" s="773"/>
    </row>
    <row r="1127" spans="1:64" ht="18.75" x14ac:dyDescent="0.25">
      <c r="A1127" s="758"/>
      <c r="B1127" s="737"/>
      <c r="C1127" s="730"/>
      <c r="D1127" s="739"/>
      <c r="E1127" s="765"/>
      <c r="F1127" s="765"/>
      <c r="G1127" s="765"/>
      <c r="H1127" s="765"/>
      <c r="I1127" s="746" t="str">
        <f t="shared" si="52"/>
        <v/>
      </c>
      <c r="J1127" s="731"/>
      <c r="K1127" s="731" t="str">
        <f t="shared" si="51"/>
        <v/>
      </c>
      <c r="L1127" s="726"/>
      <c r="M1127" s="726"/>
      <c r="N1127" s="726"/>
      <c r="O1127" s="726"/>
      <c r="P1127" s="726"/>
      <c r="Q1127" s="726"/>
      <c r="R1127" s="726"/>
      <c r="S1127" s="726"/>
      <c r="T1127" s="726"/>
      <c r="U1127" s="726"/>
      <c r="V1127" s="726"/>
      <c r="W1127" s="726"/>
      <c r="X1127" s="726"/>
      <c r="Y1127" s="726"/>
      <c r="Z1127" s="726"/>
      <c r="AA1127" s="732"/>
      <c r="AB1127" s="732"/>
      <c r="AC1127" s="732"/>
      <c r="AD1127" s="732"/>
      <c r="AE1127" s="733"/>
      <c r="AF1127" s="734" t="str">
        <f t="shared" si="53"/>
        <v/>
      </c>
      <c r="AG1127" s="773"/>
    </row>
    <row r="1128" spans="1:64" ht="18.75" x14ac:dyDescent="0.25">
      <c r="A1128" s="758"/>
      <c r="B1128" s="737"/>
      <c r="C1128" s="730"/>
      <c r="D1128" s="739"/>
      <c r="E1128" s="765"/>
      <c r="F1128" s="765"/>
      <c r="G1128" s="765"/>
      <c r="H1128" s="765"/>
      <c r="I1128" s="746" t="str">
        <f t="shared" si="52"/>
        <v/>
      </c>
      <c r="J1128" s="731"/>
      <c r="K1128" s="731" t="str">
        <f t="shared" si="51"/>
        <v/>
      </c>
      <c r="L1128" s="726"/>
      <c r="M1128" s="726"/>
      <c r="N1128" s="726"/>
      <c r="O1128" s="726"/>
      <c r="P1128" s="726"/>
      <c r="Q1128" s="726"/>
      <c r="R1128" s="726"/>
      <c r="S1128" s="726"/>
      <c r="T1128" s="726"/>
      <c r="U1128" s="726"/>
      <c r="V1128" s="726"/>
      <c r="W1128" s="726"/>
      <c r="X1128" s="726"/>
      <c r="Y1128" s="726"/>
      <c r="Z1128" s="726"/>
      <c r="AA1128" s="732"/>
      <c r="AB1128" s="732"/>
      <c r="AC1128" s="732"/>
      <c r="AD1128" s="732"/>
      <c r="AE1128" s="733"/>
      <c r="AF1128" s="734" t="str">
        <f t="shared" si="53"/>
        <v/>
      </c>
      <c r="AG1128" s="773"/>
    </row>
    <row r="1129" spans="1:64" ht="19.5" customHeight="1" x14ac:dyDescent="0.25">
      <c r="A1129" s="758"/>
      <c r="B1129" s="737"/>
      <c r="C1129" s="730"/>
      <c r="D1129" s="739"/>
      <c r="E1129" s="765"/>
      <c r="F1129" s="765"/>
      <c r="G1129" s="765"/>
      <c r="H1129" s="765"/>
      <c r="I1129" s="746" t="str">
        <f t="shared" si="52"/>
        <v/>
      </c>
      <c r="J1129" s="731"/>
      <c r="K1129" s="731" t="str">
        <f t="shared" si="51"/>
        <v/>
      </c>
      <c r="L1129" s="726"/>
      <c r="M1129" s="726"/>
      <c r="N1129" s="726"/>
      <c r="O1129" s="726"/>
      <c r="P1129" s="726"/>
      <c r="Q1129" s="726"/>
      <c r="R1129" s="726"/>
      <c r="S1129" s="726"/>
      <c r="T1129" s="726"/>
      <c r="U1129" s="726"/>
      <c r="V1129" s="726"/>
      <c r="W1129" s="726"/>
      <c r="X1129" s="726"/>
      <c r="Y1129" s="726"/>
      <c r="Z1129" s="726"/>
      <c r="AA1129" s="732"/>
      <c r="AB1129" s="732"/>
      <c r="AC1129" s="732"/>
      <c r="AD1129" s="732"/>
      <c r="AE1129" s="733"/>
      <c r="AF1129" s="734" t="str">
        <f t="shared" si="53"/>
        <v/>
      </c>
      <c r="AG1129" s="775"/>
      <c r="AH1129" s="779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36"/>
      <c r="AZ1129" s="36"/>
      <c r="BA1129" s="36"/>
      <c r="BB1129" s="36"/>
      <c r="BC1129" s="36"/>
      <c r="BD1129" s="36"/>
      <c r="BE1129" s="36"/>
      <c r="BF1129" s="36"/>
      <c r="BG1129" s="36"/>
      <c r="BH1129" s="36"/>
      <c r="BI1129" s="36"/>
      <c r="BJ1129" s="36"/>
      <c r="BK1129" s="36"/>
      <c r="BL1129" s="36"/>
    </row>
    <row r="1130" spans="1:64" ht="19.5" customHeight="1" x14ac:dyDescent="0.25">
      <c r="A1130" s="758"/>
      <c r="B1130" s="737"/>
      <c r="C1130" s="730"/>
      <c r="D1130" s="739"/>
      <c r="E1130" s="765"/>
      <c r="F1130" s="765"/>
      <c r="G1130" s="765"/>
      <c r="H1130" s="765"/>
      <c r="I1130" s="746" t="str">
        <f t="shared" si="52"/>
        <v/>
      </c>
      <c r="J1130" s="731"/>
      <c r="K1130" s="731" t="str">
        <f t="shared" si="51"/>
        <v/>
      </c>
      <c r="L1130" s="726"/>
      <c r="M1130" s="726"/>
      <c r="N1130" s="726"/>
      <c r="O1130" s="726"/>
      <c r="P1130" s="726"/>
      <c r="Q1130" s="726"/>
      <c r="R1130" s="726"/>
      <c r="S1130" s="726"/>
      <c r="T1130" s="726"/>
      <c r="U1130" s="726"/>
      <c r="V1130" s="726"/>
      <c r="W1130" s="726"/>
      <c r="X1130" s="726"/>
      <c r="Y1130" s="726"/>
      <c r="Z1130" s="726"/>
      <c r="AA1130" s="732"/>
      <c r="AB1130" s="732"/>
      <c r="AC1130" s="732"/>
      <c r="AD1130" s="732"/>
      <c r="AE1130" s="733"/>
      <c r="AF1130" s="734" t="str">
        <f t="shared" si="53"/>
        <v/>
      </c>
      <c r="AG1130" s="775"/>
      <c r="AH1130" s="779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36"/>
      <c r="AZ1130" s="36"/>
      <c r="BA1130" s="36"/>
      <c r="BB1130" s="36"/>
      <c r="BC1130" s="36"/>
      <c r="BD1130" s="36"/>
      <c r="BE1130" s="36"/>
      <c r="BF1130" s="36"/>
      <c r="BG1130" s="36"/>
      <c r="BH1130" s="36"/>
      <c r="BI1130" s="36"/>
      <c r="BJ1130" s="36"/>
      <c r="BK1130" s="36"/>
      <c r="BL1130" s="36"/>
    </row>
    <row r="1131" spans="1:64" ht="18.75" x14ac:dyDescent="0.25">
      <c r="A1131" s="758"/>
      <c r="B1131" s="737"/>
      <c r="C1131" s="730"/>
      <c r="D1131" s="739"/>
      <c r="E1131" s="765"/>
      <c r="F1131" s="765"/>
      <c r="G1131" s="765"/>
      <c r="H1131" s="765"/>
      <c r="I1131" s="746" t="str">
        <f t="shared" si="52"/>
        <v/>
      </c>
      <c r="J1131" s="731"/>
      <c r="K1131" s="731" t="str">
        <f t="shared" si="51"/>
        <v/>
      </c>
      <c r="L1131" s="726"/>
      <c r="M1131" s="726"/>
      <c r="N1131" s="726"/>
      <c r="O1131" s="726"/>
      <c r="P1131" s="726"/>
      <c r="Q1131" s="726"/>
      <c r="R1131" s="726"/>
      <c r="S1131" s="726"/>
      <c r="T1131" s="726"/>
      <c r="U1131" s="726"/>
      <c r="V1131" s="726"/>
      <c r="W1131" s="726"/>
      <c r="X1131" s="726"/>
      <c r="Y1131" s="726"/>
      <c r="Z1131" s="726"/>
      <c r="AA1131" s="732"/>
      <c r="AB1131" s="732"/>
      <c r="AC1131" s="732"/>
      <c r="AD1131" s="732"/>
      <c r="AE1131" s="733"/>
      <c r="AF1131" s="734" t="str">
        <f t="shared" si="53"/>
        <v/>
      </c>
      <c r="AG1131" s="773"/>
    </row>
    <row r="1132" spans="1:64" ht="18.75" x14ac:dyDescent="0.25">
      <c r="A1132" s="758"/>
      <c r="B1132" s="737"/>
      <c r="C1132" s="730"/>
      <c r="D1132" s="739"/>
      <c r="E1132" s="765"/>
      <c r="F1132" s="765"/>
      <c r="G1132" s="765"/>
      <c r="H1132" s="765"/>
      <c r="I1132" s="746" t="str">
        <f t="shared" si="52"/>
        <v/>
      </c>
      <c r="J1132" s="731"/>
      <c r="K1132" s="731" t="str">
        <f t="shared" si="51"/>
        <v/>
      </c>
      <c r="L1132" s="726"/>
      <c r="M1132" s="726"/>
      <c r="N1132" s="726"/>
      <c r="O1132" s="726"/>
      <c r="P1132" s="726"/>
      <c r="Q1132" s="726"/>
      <c r="R1132" s="726"/>
      <c r="S1132" s="726"/>
      <c r="T1132" s="726"/>
      <c r="U1132" s="726"/>
      <c r="V1132" s="726"/>
      <c r="W1132" s="726"/>
      <c r="X1132" s="726"/>
      <c r="Y1132" s="726"/>
      <c r="Z1132" s="726"/>
      <c r="AA1132" s="732"/>
      <c r="AB1132" s="732"/>
      <c r="AC1132" s="732"/>
      <c r="AD1132" s="732"/>
      <c r="AE1132" s="733"/>
      <c r="AF1132" s="734" t="str">
        <f t="shared" si="53"/>
        <v/>
      </c>
      <c r="AG1132" s="773"/>
    </row>
    <row r="1133" spans="1:64" ht="18.75" x14ac:dyDescent="0.25">
      <c r="A1133" s="758"/>
      <c r="B1133" s="737"/>
      <c r="C1133" s="730"/>
      <c r="D1133" s="739"/>
      <c r="E1133" s="765"/>
      <c r="F1133" s="765"/>
      <c r="G1133" s="765"/>
      <c r="H1133" s="765"/>
      <c r="I1133" s="746" t="str">
        <f t="shared" si="52"/>
        <v/>
      </c>
      <c r="J1133" s="731"/>
      <c r="K1133" s="731" t="str">
        <f t="shared" si="51"/>
        <v/>
      </c>
      <c r="L1133" s="726"/>
      <c r="M1133" s="726"/>
      <c r="N1133" s="726"/>
      <c r="O1133" s="726"/>
      <c r="P1133" s="726"/>
      <c r="Q1133" s="726"/>
      <c r="R1133" s="726"/>
      <c r="S1133" s="726"/>
      <c r="T1133" s="726"/>
      <c r="U1133" s="726"/>
      <c r="V1133" s="726"/>
      <c r="W1133" s="726"/>
      <c r="X1133" s="726"/>
      <c r="Y1133" s="726"/>
      <c r="Z1133" s="726"/>
      <c r="AA1133" s="732"/>
      <c r="AB1133" s="732"/>
      <c r="AC1133" s="732"/>
      <c r="AD1133" s="732"/>
      <c r="AE1133" s="733"/>
      <c r="AF1133" s="734" t="str">
        <f t="shared" si="53"/>
        <v/>
      </c>
      <c r="AG1133" s="773"/>
    </row>
    <row r="1134" spans="1:64" ht="18.75" x14ac:dyDescent="0.25">
      <c r="A1134" s="758"/>
      <c r="B1134" s="737"/>
      <c r="C1134" s="730"/>
      <c r="D1134" s="739"/>
      <c r="E1134" s="765"/>
      <c r="F1134" s="765"/>
      <c r="G1134" s="765"/>
      <c r="H1134" s="765"/>
      <c r="I1134" s="746" t="str">
        <f t="shared" si="52"/>
        <v/>
      </c>
      <c r="J1134" s="731"/>
      <c r="K1134" s="731" t="str">
        <f t="shared" si="51"/>
        <v/>
      </c>
      <c r="L1134" s="726"/>
      <c r="M1134" s="726"/>
      <c r="N1134" s="726"/>
      <c r="O1134" s="726"/>
      <c r="P1134" s="726"/>
      <c r="Q1134" s="726"/>
      <c r="R1134" s="726"/>
      <c r="S1134" s="726"/>
      <c r="T1134" s="726"/>
      <c r="U1134" s="726"/>
      <c r="V1134" s="726"/>
      <c r="W1134" s="726"/>
      <c r="X1134" s="726"/>
      <c r="Y1134" s="726"/>
      <c r="Z1134" s="726"/>
      <c r="AA1134" s="732"/>
      <c r="AB1134" s="732"/>
      <c r="AC1134" s="732"/>
      <c r="AD1134" s="732"/>
      <c r="AE1134" s="733"/>
      <c r="AF1134" s="734" t="str">
        <f t="shared" si="53"/>
        <v/>
      </c>
      <c r="AG1134" s="773"/>
    </row>
    <row r="1135" spans="1:64" ht="18.75" x14ac:dyDescent="0.25">
      <c r="A1135" s="758"/>
      <c r="B1135" s="737"/>
      <c r="C1135" s="730"/>
      <c r="D1135" s="739"/>
      <c r="E1135" s="765"/>
      <c r="F1135" s="765"/>
      <c r="G1135" s="765"/>
      <c r="H1135" s="765"/>
      <c r="I1135" s="746" t="str">
        <f t="shared" si="52"/>
        <v/>
      </c>
      <c r="J1135" s="731"/>
      <c r="K1135" s="731" t="str">
        <f t="shared" si="51"/>
        <v/>
      </c>
      <c r="L1135" s="726"/>
      <c r="M1135" s="726"/>
      <c r="N1135" s="726"/>
      <c r="O1135" s="726"/>
      <c r="P1135" s="726"/>
      <c r="Q1135" s="726"/>
      <c r="R1135" s="726"/>
      <c r="S1135" s="726"/>
      <c r="T1135" s="726"/>
      <c r="U1135" s="726"/>
      <c r="V1135" s="726"/>
      <c r="W1135" s="726"/>
      <c r="X1135" s="726"/>
      <c r="Y1135" s="726"/>
      <c r="Z1135" s="726"/>
      <c r="AA1135" s="732"/>
      <c r="AB1135" s="732"/>
      <c r="AC1135" s="732"/>
      <c r="AD1135" s="732"/>
      <c r="AE1135" s="733"/>
      <c r="AF1135" s="734" t="str">
        <f t="shared" si="53"/>
        <v/>
      </c>
      <c r="AG1135" s="773"/>
    </row>
    <row r="1136" spans="1:64" ht="18.75" x14ac:dyDescent="0.25">
      <c r="A1136" s="758"/>
      <c r="B1136" s="737"/>
      <c r="C1136" s="730"/>
      <c r="D1136" s="739"/>
      <c r="E1136" s="765"/>
      <c r="F1136" s="765"/>
      <c r="G1136" s="765"/>
      <c r="H1136" s="765"/>
      <c r="I1136" s="746" t="str">
        <f t="shared" si="52"/>
        <v/>
      </c>
      <c r="J1136" s="731"/>
      <c r="K1136" s="731" t="str">
        <f t="shared" si="51"/>
        <v/>
      </c>
      <c r="L1136" s="726"/>
      <c r="M1136" s="726"/>
      <c r="N1136" s="726"/>
      <c r="O1136" s="726"/>
      <c r="P1136" s="726"/>
      <c r="Q1136" s="726"/>
      <c r="R1136" s="726"/>
      <c r="S1136" s="726"/>
      <c r="T1136" s="726"/>
      <c r="U1136" s="726"/>
      <c r="V1136" s="726"/>
      <c r="W1136" s="726"/>
      <c r="X1136" s="726"/>
      <c r="Y1136" s="726"/>
      <c r="Z1136" s="726"/>
      <c r="AA1136" s="732"/>
      <c r="AB1136" s="732"/>
      <c r="AC1136" s="732"/>
      <c r="AD1136" s="732"/>
      <c r="AE1136" s="733"/>
      <c r="AF1136" s="734" t="str">
        <f t="shared" si="53"/>
        <v/>
      </c>
      <c r="AG1136" s="773"/>
    </row>
    <row r="1137" spans="1:64" ht="18.75" x14ac:dyDescent="0.25">
      <c r="A1137" s="758"/>
      <c r="B1137" s="737"/>
      <c r="C1137" s="730"/>
      <c r="D1137" s="739"/>
      <c r="E1137" s="765"/>
      <c r="F1137" s="765"/>
      <c r="G1137" s="765"/>
      <c r="H1137" s="765"/>
      <c r="I1137" s="746" t="str">
        <f t="shared" si="52"/>
        <v/>
      </c>
      <c r="J1137" s="731"/>
      <c r="K1137" s="731" t="str">
        <f t="shared" si="51"/>
        <v/>
      </c>
      <c r="L1137" s="726"/>
      <c r="M1137" s="726"/>
      <c r="N1137" s="726"/>
      <c r="O1137" s="726"/>
      <c r="P1137" s="726"/>
      <c r="Q1137" s="726"/>
      <c r="R1137" s="726"/>
      <c r="S1137" s="726"/>
      <c r="T1137" s="726"/>
      <c r="U1137" s="726"/>
      <c r="V1137" s="726"/>
      <c r="W1137" s="726"/>
      <c r="X1137" s="726"/>
      <c r="Y1137" s="726"/>
      <c r="Z1137" s="726"/>
      <c r="AA1137" s="732"/>
      <c r="AB1137" s="732"/>
      <c r="AC1137" s="732"/>
      <c r="AD1137" s="732"/>
      <c r="AE1137" s="733"/>
      <c r="AF1137" s="734" t="str">
        <f t="shared" si="53"/>
        <v/>
      </c>
      <c r="AG1137" s="775"/>
      <c r="AH1137" s="779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36"/>
      <c r="AZ1137" s="36"/>
      <c r="BA1137" s="36"/>
      <c r="BB1137" s="36"/>
      <c r="BC1137" s="36"/>
      <c r="BD1137" s="36"/>
      <c r="BE1137" s="36"/>
      <c r="BF1137" s="36"/>
      <c r="BG1137" s="36"/>
      <c r="BH1137" s="36"/>
      <c r="BI1137" s="36"/>
      <c r="BJ1137" s="36"/>
      <c r="BK1137" s="36"/>
      <c r="BL1137" s="36"/>
    </row>
    <row r="1138" spans="1:64" ht="18.75" x14ac:dyDescent="0.25">
      <c r="A1138" s="758"/>
      <c r="B1138" s="737"/>
      <c r="C1138" s="730"/>
      <c r="D1138" s="739"/>
      <c r="E1138" s="765"/>
      <c r="F1138" s="765"/>
      <c r="G1138" s="765"/>
      <c r="H1138" s="765"/>
      <c r="I1138" s="746" t="str">
        <f t="shared" si="52"/>
        <v/>
      </c>
      <c r="J1138" s="731"/>
      <c r="K1138" s="731" t="str">
        <f t="shared" si="51"/>
        <v/>
      </c>
      <c r="L1138" s="726"/>
      <c r="M1138" s="726"/>
      <c r="N1138" s="726"/>
      <c r="O1138" s="726"/>
      <c r="P1138" s="726"/>
      <c r="Q1138" s="726"/>
      <c r="R1138" s="726"/>
      <c r="S1138" s="726"/>
      <c r="T1138" s="726"/>
      <c r="U1138" s="726"/>
      <c r="V1138" s="726"/>
      <c r="W1138" s="726"/>
      <c r="X1138" s="726"/>
      <c r="Y1138" s="726"/>
      <c r="Z1138" s="726"/>
      <c r="AA1138" s="732"/>
      <c r="AB1138" s="732"/>
      <c r="AC1138" s="732"/>
      <c r="AD1138" s="732"/>
      <c r="AE1138" s="733"/>
      <c r="AF1138" s="734" t="str">
        <f t="shared" si="53"/>
        <v/>
      </c>
      <c r="AG1138" s="773"/>
    </row>
    <row r="1139" spans="1:64" ht="18.75" x14ac:dyDescent="0.25">
      <c r="A1139" s="758"/>
      <c r="B1139" s="737"/>
      <c r="C1139" s="730"/>
      <c r="D1139" s="739"/>
      <c r="E1139" s="765"/>
      <c r="F1139" s="765"/>
      <c r="G1139" s="765"/>
      <c r="H1139" s="765"/>
      <c r="I1139" s="746" t="str">
        <f t="shared" si="52"/>
        <v/>
      </c>
      <c r="J1139" s="731"/>
      <c r="K1139" s="731" t="str">
        <f t="shared" si="51"/>
        <v/>
      </c>
      <c r="L1139" s="726"/>
      <c r="M1139" s="726"/>
      <c r="N1139" s="726"/>
      <c r="O1139" s="726"/>
      <c r="P1139" s="726"/>
      <c r="Q1139" s="726"/>
      <c r="R1139" s="726"/>
      <c r="S1139" s="726"/>
      <c r="T1139" s="726"/>
      <c r="U1139" s="726"/>
      <c r="V1139" s="726"/>
      <c r="W1139" s="726"/>
      <c r="X1139" s="726"/>
      <c r="Y1139" s="726"/>
      <c r="Z1139" s="726"/>
      <c r="AA1139" s="732"/>
      <c r="AB1139" s="732"/>
      <c r="AC1139" s="732"/>
      <c r="AD1139" s="732"/>
      <c r="AE1139" s="733"/>
      <c r="AF1139" s="734" t="str">
        <f t="shared" si="53"/>
        <v/>
      </c>
      <c r="AG1139" s="773"/>
    </row>
    <row r="1140" spans="1:64" ht="18.75" x14ac:dyDescent="0.25">
      <c r="A1140" s="758"/>
      <c r="B1140" s="737"/>
      <c r="C1140" s="730"/>
      <c r="D1140" s="739"/>
      <c r="E1140" s="765"/>
      <c r="F1140" s="765"/>
      <c r="G1140" s="765"/>
      <c r="H1140" s="765"/>
      <c r="I1140" s="746" t="str">
        <f t="shared" si="52"/>
        <v/>
      </c>
      <c r="J1140" s="731"/>
      <c r="K1140" s="731" t="str">
        <f t="shared" si="51"/>
        <v/>
      </c>
      <c r="L1140" s="726"/>
      <c r="M1140" s="726"/>
      <c r="N1140" s="726"/>
      <c r="O1140" s="726"/>
      <c r="P1140" s="726"/>
      <c r="Q1140" s="726"/>
      <c r="R1140" s="726"/>
      <c r="S1140" s="726"/>
      <c r="T1140" s="726"/>
      <c r="U1140" s="726"/>
      <c r="V1140" s="726"/>
      <c r="W1140" s="726"/>
      <c r="X1140" s="726"/>
      <c r="Y1140" s="726"/>
      <c r="Z1140" s="726"/>
      <c r="AA1140" s="732"/>
      <c r="AB1140" s="732"/>
      <c r="AC1140" s="732"/>
      <c r="AD1140" s="732"/>
      <c r="AE1140" s="733"/>
      <c r="AF1140" s="734" t="str">
        <f t="shared" si="53"/>
        <v/>
      </c>
      <c r="AG1140" s="773"/>
    </row>
    <row r="1141" spans="1:64" ht="18.75" x14ac:dyDescent="0.25">
      <c r="A1141" s="758"/>
      <c r="B1141" s="737"/>
      <c r="C1141" s="730"/>
      <c r="D1141" s="739"/>
      <c r="E1141" s="765"/>
      <c r="F1141" s="765"/>
      <c r="G1141" s="765"/>
      <c r="H1141" s="765"/>
      <c r="I1141" s="746" t="str">
        <f t="shared" si="52"/>
        <v/>
      </c>
      <c r="J1141" s="731"/>
      <c r="K1141" s="731" t="str">
        <f t="shared" si="51"/>
        <v/>
      </c>
      <c r="L1141" s="726"/>
      <c r="M1141" s="726"/>
      <c r="N1141" s="726"/>
      <c r="O1141" s="726"/>
      <c r="P1141" s="726"/>
      <c r="Q1141" s="726"/>
      <c r="R1141" s="726"/>
      <c r="S1141" s="726"/>
      <c r="T1141" s="726"/>
      <c r="U1141" s="726"/>
      <c r="V1141" s="726"/>
      <c r="W1141" s="726"/>
      <c r="X1141" s="726"/>
      <c r="Y1141" s="726"/>
      <c r="Z1141" s="726"/>
      <c r="AA1141" s="732"/>
      <c r="AB1141" s="732"/>
      <c r="AC1141" s="732"/>
      <c r="AD1141" s="732"/>
      <c r="AE1141" s="733"/>
      <c r="AF1141" s="734" t="str">
        <f t="shared" si="53"/>
        <v/>
      </c>
      <c r="AG1141" s="773"/>
    </row>
    <row r="1142" spans="1:64" ht="18.75" x14ac:dyDescent="0.25">
      <c r="A1142" s="758"/>
      <c r="B1142" s="737"/>
      <c r="C1142" s="730"/>
      <c r="D1142" s="739"/>
      <c r="E1142" s="765"/>
      <c r="F1142" s="765"/>
      <c r="G1142" s="765"/>
      <c r="H1142" s="765"/>
      <c r="I1142" s="746" t="str">
        <f t="shared" si="52"/>
        <v/>
      </c>
      <c r="J1142" s="731"/>
      <c r="K1142" s="731" t="str">
        <f t="shared" si="51"/>
        <v/>
      </c>
      <c r="L1142" s="726"/>
      <c r="M1142" s="726"/>
      <c r="N1142" s="726"/>
      <c r="O1142" s="726"/>
      <c r="P1142" s="726"/>
      <c r="Q1142" s="726"/>
      <c r="R1142" s="726"/>
      <c r="S1142" s="726"/>
      <c r="T1142" s="726"/>
      <c r="U1142" s="726"/>
      <c r="V1142" s="726"/>
      <c r="W1142" s="726"/>
      <c r="X1142" s="726"/>
      <c r="Y1142" s="726"/>
      <c r="Z1142" s="726"/>
      <c r="AA1142" s="732"/>
      <c r="AB1142" s="732"/>
      <c r="AC1142" s="732"/>
      <c r="AD1142" s="732"/>
      <c r="AE1142" s="733"/>
      <c r="AF1142" s="734" t="str">
        <f t="shared" si="53"/>
        <v/>
      </c>
      <c r="AG1142" s="773"/>
    </row>
    <row r="1143" spans="1:64" ht="19.5" customHeight="1" x14ac:dyDescent="0.25">
      <c r="A1143" s="758"/>
      <c r="B1143" s="737"/>
      <c r="C1143" s="730"/>
      <c r="D1143" s="739"/>
      <c r="E1143" s="765"/>
      <c r="F1143" s="765"/>
      <c r="G1143" s="765"/>
      <c r="H1143" s="765"/>
      <c r="I1143" s="746" t="str">
        <f t="shared" si="52"/>
        <v/>
      </c>
      <c r="J1143" s="731"/>
      <c r="K1143" s="731" t="str">
        <f t="shared" si="51"/>
        <v/>
      </c>
      <c r="L1143" s="726"/>
      <c r="M1143" s="726"/>
      <c r="N1143" s="726"/>
      <c r="O1143" s="726"/>
      <c r="P1143" s="726"/>
      <c r="Q1143" s="726"/>
      <c r="R1143" s="726"/>
      <c r="S1143" s="726"/>
      <c r="T1143" s="726"/>
      <c r="U1143" s="726"/>
      <c r="V1143" s="726"/>
      <c r="W1143" s="726"/>
      <c r="X1143" s="726"/>
      <c r="Y1143" s="726"/>
      <c r="Z1143" s="726"/>
      <c r="AA1143" s="732"/>
      <c r="AB1143" s="732"/>
      <c r="AC1143" s="732"/>
      <c r="AD1143" s="732"/>
      <c r="AE1143" s="733"/>
      <c r="AF1143" s="734" t="str">
        <f t="shared" si="53"/>
        <v/>
      </c>
      <c r="AG1143" s="775"/>
      <c r="AH1143" s="779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36"/>
      <c r="AZ1143" s="36"/>
      <c r="BA1143" s="36"/>
      <c r="BB1143" s="36"/>
      <c r="BC1143" s="36"/>
      <c r="BD1143" s="36"/>
      <c r="BE1143" s="36"/>
      <c r="BF1143" s="36"/>
      <c r="BG1143" s="36"/>
      <c r="BH1143" s="36"/>
      <c r="BI1143" s="36"/>
      <c r="BJ1143" s="36"/>
      <c r="BK1143" s="36"/>
      <c r="BL1143" s="36"/>
    </row>
    <row r="1144" spans="1:64" ht="19.5" customHeight="1" x14ac:dyDescent="0.25">
      <c r="A1144" s="758"/>
      <c r="B1144" s="737"/>
      <c r="C1144" s="730"/>
      <c r="D1144" s="739"/>
      <c r="E1144" s="765"/>
      <c r="F1144" s="765"/>
      <c r="G1144" s="765"/>
      <c r="H1144" s="765"/>
      <c r="I1144" s="746" t="str">
        <f t="shared" si="52"/>
        <v/>
      </c>
      <c r="J1144" s="731"/>
      <c r="K1144" s="731" t="str">
        <f t="shared" si="51"/>
        <v/>
      </c>
      <c r="L1144" s="726"/>
      <c r="M1144" s="726"/>
      <c r="N1144" s="726"/>
      <c r="O1144" s="726"/>
      <c r="P1144" s="726"/>
      <c r="Q1144" s="726"/>
      <c r="R1144" s="726"/>
      <c r="S1144" s="726"/>
      <c r="T1144" s="726"/>
      <c r="U1144" s="726"/>
      <c r="V1144" s="726"/>
      <c r="W1144" s="726"/>
      <c r="X1144" s="726"/>
      <c r="Y1144" s="726"/>
      <c r="Z1144" s="726"/>
      <c r="AA1144" s="732"/>
      <c r="AB1144" s="732"/>
      <c r="AC1144" s="732"/>
      <c r="AD1144" s="732"/>
      <c r="AE1144" s="733"/>
      <c r="AF1144" s="734" t="str">
        <f t="shared" si="53"/>
        <v/>
      </c>
      <c r="AG1144" s="775"/>
      <c r="AH1144" s="779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36"/>
      <c r="AZ1144" s="36"/>
      <c r="BA1144" s="36"/>
      <c r="BB1144" s="36"/>
      <c r="BC1144" s="36"/>
      <c r="BD1144" s="36"/>
      <c r="BE1144" s="36"/>
      <c r="BF1144" s="36"/>
      <c r="BG1144" s="36"/>
      <c r="BH1144" s="36"/>
      <c r="BI1144" s="36"/>
      <c r="BJ1144" s="36"/>
      <c r="BK1144" s="36"/>
      <c r="BL1144" s="36"/>
    </row>
    <row r="1145" spans="1:64" ht="18.75" x14ac:dyDescent="0.25">
      <c r="A1145" s="758"/>
      <c r="B1145" s="737"/>
      <c r="C1145" s="730"/>
      <c r="D1145" s="739"/>
      <c r="E1145" s="765"/>
      <c r="F1145" s="765"/>
      <c r="G1145" s="765"/>
      <c r="H1145" s="765"/>
      <c r="I1145" s="746" t="str">
        <f t="shared" si="52"/>
        <v/>
      </c>
      <c r="J1145" s="731"/>
      <c r="K1145" s="731" t="str">
        <f t="shared" si="51"/>
        <v/>
      </c>
      <c r="L1145" s="726"/>
      <c r="M1145" s="726"/>
      <c r="N1145" s="726"/>
      <c r="O1145" s="726"/>
      <c r="P1145" s="726"/>
      <c r="Q1145" s="726"/>
      <c r="R1145" s="726"/>
      <c r="S1145" s="726"/>
      <c r="T1145" s="726"/>
      <c r="U1145" s="726"/>
      <c r="V1145" s="726"/>
      <c r="W1145" s="726"/>
      <c r="X1145" s="726"/>
      <c r="Y1145" s="726"/>
      <c r="Z1145" s="726"/>
      <c r="AA1145" s="732"/>
      <c r="AB1145" s="732"/>
      <c r="AC1145" s="732"/>
      <c r="AD1145" s="732"/>
      <c r="AE1145" s="733"/>
      <c r="AF1145" s="734" t="str">
        <f t="shared" si="53"/>
        <v/>
      </c>
      <c r="AG1145" s="773"/>
    </row>
    <row r="1146" spans="1:64" ht="18.75" x14ac:dyDescent="0.25">
      <c r="A1146" s="758"/>
      <c r="B1146" s="737"/>
      <c r="C1146" s="730"/>
      <c r="D1146" s="739"/>
      <c r="E1146" s="765"/>
      <c r="F1146" s="765"/>
      <c r="G1146" s="765"/>
      <c r="H1146" s="765"/>
      <c r="I1146" s="746" t="str">
        <f t="shared" si="52"/>
        <v/>
      </c>
      <c r="J1146" s="731"/>
      <c r="K1146" s="731" t="str">
        <f t="shared" si="51"/>
        <v/>
      </c>
      <c r="L1146" s="726"/>
      <c r="M1146" s="726"/>
      <c r="N1146" s="726"/>
      <c r="O1146" s="726"/>
      <c r="P1146" s="726"/>
      <c r="Q1146" s="726"/>
      <c r="R1146" s="726"/>
      <c r="S1146" s="726"/>
      <c r="T1146" s="726"/>
      <c r="U1146" s="726"/>
      <c r="V1146" s="726"/>
      <c r="W1146" s="726"/>
      <c r="X1146" s="726"/>
      <c r="Y1146" s="726"/>
      <c r="Z1146" s="726"/>
      <c r="AA1146" s="732"/>
      <c r="AB1146" s="732"/>
      <c r="AC1146" s="732"/>
      <c r="AD1146" s="732"/>
      <c r="AE1146" s="733"/>
      <c r="AF1146" s="734" t="str">
        <f t="shared" si="53"/>
        <v/>
      </c>
      <c r="AG1146" s="773"/>
    </row>
    <row r="1147" spans="1:64" ht="18.75" x14ac:dyDescent="0.25">
      <c r="A1147" s="758"/>
      <c r="B1147" s="737"/>
      <c r="C1147" s="730"/>
      <c r="D1147" s="739"/>
      <c r="E1147" s="765"/>
      <c r="F1147" s="765"/>
      <c r="G1147" s="765"/>
      <c r="H1147" s="765"/>
      <c r="I1147" s="746" t="str">
        <f t="shared" si="52"/>
        <v/>
      </c>
      <c r="J1147" s="731"/>
      <c r="K1147" s="731" t="str">
        <f t="shared" si="51"/>
        <v/>
      </c>
      <c r="L1147" s="726"/>
      <c r="M1147" s="726"/>
      <c r="N1147" s="726"/>
      <c r="O1147" s="726"/>
      <c r="P1147" s="726"/>
      <c r="Q1147" s="726"/>
      <c r="R1147" s="726"/>
      <c r="S1147" s="726"/>
      <c r="T1147" s="726"/>
      <c r="U1147" s="726"/>
      <c r="V1147" s="726"/>
      <c r="W1147" s="726"/>
      <c r="X1147" s="726"/>
      <c r="Y1147" s="726"/>
      <c r="Z1147" s="726"/>
      <c r="AA1147" s="732"/>
      <c r="AB1147" s="732"/>
      <c r="AC1147" s="732"/>
      <c r="AD1147" s="732"/>
      <c r="AE1147" s="733"/>
      <c r="AF1147" s="734" t="str">
        <f t="shared" si="53"/>
        <v/>
      </c>
      <c r="AG1147" s="773"/>
    </row>
    <row r="1148" spans="1:64" ht="18.75" x14ac:dyDescent="0.25">
      <c r="A1148" s="758"/>
      <c r="B1148" s="737"/>
      <c r="C1148" s="730"/>
      <c r="D1148" s="739"/>
      <c r="E1148" s="765"/>
      <c r="F1148" s="765"/>
      <c r="G1148" s="765"/>
      <c r="H1148" s="765"/>
      <c r="I1148" s="746" t="str">
        <f t="shared" si="52"/>
        <v/>
      </c>
      <c r="J1148" s="731"/>
      <c r="K1148" s="731" t="str">
        <f t="shared" si="51"/>
        <v/>
      </c>
      <c r="L1148" s="726"/>
      <c r="M1148" s="726"/>
      <c r="N1148" s="726"/>
      <c r="O1148" s="726"/>
      <c r="P1148" s="726"/>
      <c r="Q1148" s="726"/>
      <c r="R1148" s="726"/>
      <c r="S1148" s="726"/>
      <c r="T1148" s="726"/>
      <c r="U1148" s="726"/>
      <c r="V1148" s="726"/>
      <c r="W1148" s="726"/>
      <c r="X1148" s="726"/>
      <c r="Y1148" s="726"/>
      <c r="Z1148" s="726"/>
      <c r="AA1148" s="732"/>
      <c r="AB1148" s="732"/>
      <c r="AC1148" s="732"/>
      <c r="AD1148" s="732"/>
      <c r="AE1148" s="733"/>
      <c r="AF1148" s="734" t="str">
        <f t="shared" si="53"/>
        <v/>
      </c>
      <c r="AG1148" s="773"/>
    </row>
    <row r="1149" spans="1:64" ht="18.75" x14ac:dyDescent="0.25">
      <c r="A1149" s="758"/>
      <c r="B1149" s="737"/>
      <c r="C1149" s="730"/>
      <c r="D1149" s="739"/>
      <c r="E1149" s="765"/>
      <c r="F1149" s="765"/>
      <c r="G1149" s="765"/>
      <c r="H1149" s="765"/>
      <c r="I1149" s="746" t="str">
        <f t="shared" si="52"/>
        <v/>
      </c>
      <c r="J1149" s="731"/>
      <c r="K1149" s="731" t="str">
        <f t="shared" si="51"/>
        <v/>
      </c>
      <c r="L1149" s="726"/>
      <c r="M1149" s="726"/>
      <c r="N1149" s="726"/>
      <c r="O1149" s="726"/>
      <c r="P1149" s="726"/>
      <c r="Q1149" s="726"/>
      <c r="R1149" s="726"/>
      <c r="S1149" s="726"/>
      <c r="T1149" s="726"/>
      <c r="U1149" s="726"/>
      <c r="V1149" s="726"/>
      <c r="W1149" s="726"/>
      <c r="X1149" s="726"/>
      <c r="Y1149" s="726"/>
      <c r="Z1149" s="726"/>
      <c r="AA1149" s="732"/>
      <c r="AB1149" s="732"/>
      <c r="AC1149" s="732"/>
      <c r="AD1149" s="732"/>
      <c r="AE1149" s="733"/>
      <c r="AF1149" s="734" t="str">
        <f t="shared" si="53"/>
        <v/>
      </c>
      <c r="AG1149" s="773"/>
    </row>
    <row r="1150" spans="1:64" ht="18.75" x14ac:dyDescent="0.25">
      <c r="A1150" s="758"/>
      <c r="B1150" s="737"/>
      <c r="C1150" s="730"/>
      <c r="D1150" s="739"/>
      <c r="E1150" s="765"/>
      <c r="F1150" s="765"/>
      <c r="G1150" s="765"/>
      <c r="H1150" s="765"/>
      <c r="I1150" s="746" t="str">
        <f t="shared" si="52"/>
        <v/>
      </c>
      <c r="J1150" s="731"/>
      <c r="K1150" s="731" t="str">
        <f t="shared" si="51"/>
        <v/>
      </c>
      <c r="L1150" s="726"/>
      <c r="M1150" s="726"/>
      <c r="N1150" s="726"/>
      <c r="O1150" s="726"/>
      <c r="P1150" s="726"/>
      <c r="Q1150" s="726"/>
      <c r="R1150" s="726"/>
      <c r="S1150" s="726"/>
      <c r="T1150" s="726"/>
      <c r="U1150" s="726"/>
      <c r="V1150" s="726"/>
      <c r="W1150" s="726"/>
      <c r="X1150" s="726"/>
      <c r="Y1150" s="726"/>
      <c r="Z1150" s="726"/>
      <c r="AA1150" s="732"/>
      <c r="AB1150" s="732"/>
      <c r="AC1150" s="732"/>
      <c r="AD1150" s="732"/>
      <c r="AE1150" s="733"/>
      <c r="AF1150" s="734" t="str">
        <f t="shared" si="53"/>
        <v/>
      </c>
      <c r="AG1150" s="773"/>
    </row>
    <row r="1151" spans="1:64" ht="18.75" x14ac:dyDescent="0.25">
      <c r="A1151" s="758"/>
      <c r="B1151" s="737"/>
      <c r="C1151" s="730"/>
      <c r="D1151" s="739"/>
      <c r="E1151" s="765"/>
      <c r="F1151" s="765"/>
      <c r="G1151" s="765"/>
      <c r="H1151" s="765"/>
      <c r="I1151" s="746" t="str">
        <f t="shared" si="52"/>
        <v/>
      </c>
      <c r="J1151" s="731"/>
      <c r="K1151" s="731" t="str">
        <f t="shared" si="51"/>
        <v/>
      </c>
      <c r="L1151" s="726"/>
      <c r="M1151" s="726"/>
      <c r="N1151" s="726"/>
      <c r="O1151" s="726"/>
      <c r="P1151" s="726"/>
      <c r="Q1151" s="726"/>
      <c r="R1151" s="726"/>
      <c r="S1151" s="726"/>
      <c r="T1151" s="726"/>
      <c r="U1151" s="726"/>
      <c r="V1151" s="726"/>
      <c r="W1151" s="726"/>
      <c r="X1151" s="726"/>
      <c r="Y1151" s="726"/>
      <c r="Z1151" s="726"/>
      <c r="AA1151" s="732"/>
      <c r="AB1151" s="732"/>
      <c r="AC1151" s="732"/>
      <c r="AD1151" s="732"/>
      <c r="AE1151" s="733"/>
      <c r="AF1151" s="734" t="str">
        <f t="shared" si="53"/>
        <v/>
      </c>
      <c r="AG1151" s="775"/>
      <c r="AH1151" s="779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36"/>
      <c r="AZ1151" s="36"/>
      <c r="BA1151" s="36"/>
      <c r="BB1151" s="36"/>
      <c r="BC1151" s="36"/>
      <c r="BD1151" s="36"/>
      <c r="BE1151" s="36"/>
      <c r="BF1151" s="36"/>
      <c r="BG1151" s="36"/>
      <c r="BH1151" s="36"/>
      <c r="BI1151" s="36"/>
      <c r="BJ1151" s="36"/>
      <c r="BK1151" s="36"/>
      <c r="BL1151" s="36"/>
    </row>
    <row r="1152" spans="1:64" ht="18.75" x14ac:dyDescent="0.25">
      <c r="A1152" s="758"/>
      <c r="B1152" s="737"/>
      <c r="C1152" s="730"/>
      <c r="D1152" s="739"/>
      <c r="E1152" s="765"/>
      <c r="F1152" s="765"/>
      <c r="G1152" s="765"/>
      <c r="H1152" s="765"/>
      <c r="I1152" s="746" t="str">
        <f t="shared" si="52"/>
        <v/>
      </c>
      <c r="J1152" s="731"/>
      <c r="K1152" s="731" t="str">
        <f t="shared" si="51"/>
        <v/>
      </c>
      <c r="L1152" s="726"/>
      <c r="M1152" s="726"/>
      <c r="N1152" s="726"/>
      <c r="O1152" s="726"/>
      <c r="P1152" s="726"/>
      <c r="Q1152" s="726"/>
      <c r="R1152" s="726"/>
      <c r="S1152" s="726"/>
      <c r="T1152" s="726"/>
      <c r="U1152" s="726"/>
      <c r="V1152" s="726"/>
      <c r="W1152" s="726"/>
      <c r="X1152" s="726"/>
      <c r="Y1152" s="726"/>
      <c r="Z1152" s="726"/>
      <c r="AA1152" s="732"/>
      <c r="AB1152" s="732"/>
      <c r="AC1152" s="732"/>
      <c r="AD1152" s="732"/>
      <c r="AE1152" s="733"/>
      <c r="AF1152" s="734" t="str">
        <f t="shared" si="53"/>
        <v/>
      </c>
      <c r="AG1152" s="773"/>
    </row>
    <row r="1153" spans="1:64" ht="18.75" x14ac:dyDescent="0.25">
      <c r="A1153" s="758"/>
      <c r="B1153" s="737"/>
      <c r="C1153" s="730"/>
      <c r="D1153" s="739"/>
      <c r="E1153" s="765"/>
      <c r="F1153" s="765"/>
      <c r="G1153" s="765"/>
      <c r="H1153" s="765"/>
      <c r="I1153" s="746" t="str">
        <f t="shared" si="52"/>
        <v/>
      </c>
      <c r="J1153" s="731"/>
      <c r="K1153" s="731" t="str">
        <f t="shared" si="51"/>
        <v/>
      </c>
      <c r="L1153" s="726"/>
      <c r="M1153" s="726"/>
      <c r="N1153" s="726"/>
      <c r="O1153" s="726"/>
      <c r="P1153" s="726"/>
      <c r="Q1153" s="726"/>
      <c r="R1153" s="726"/>
      <c r="S1153" s="726"/>
      <c r="T1153" s="726"/>
      <c r="U1153" s="726"/>
      <c r="V1153" s="726"/>
      <c r="W1153" s="726"/>
      <c r="X1153" s="726"/>
      <c r="Y1153" s="726"/>
      <c r="Z1153" s="726"/>
      <c r="AA1153" s="732"/>
      <c r="AB1153" s="732"/>
      <c r="AC1153" s="732"/>
      <c r="AD1153" s="732"/>
      <c r="AE1153" s="733"/>
      <c r="AF1153" s="734" t="str">
        <f t="shared" si="53"/>
        <v/>
      </c>
      <c r="AG1153" s="773"/>
    </row>
    <row r="1154" spans="1:64" ht="18.75" x14ac:dyDescent="0.25">
      <c r="A1154" s="758"/>
      <c r="B1154" s="737"/>
      <c r="C1154" s="730"/>
      <c r="D1154" s="739"/>
      <c r="E1154" s="765"/>
      <c r="F1154" s="765"/>
      <c r="G1154" s="765"/>
      <c r="H1154" s="765"/>
      <c r="I1154" s="746" t="str">
        <f t="shared" si="52"/>
        <v/>
      </c>
      <c r="J1154" s="731"/>
      <c r="K1154" s="731" t="str">
        <f t="shared" si="51"/>
        <v/>
      </c>
      <c r="L1154" s="726"/>
      <c r="M1154" s="726"/>
      <c r="N1154" s="726"/>
      <c r="O1154" s="726"/>
      <c r="P1154" s="726"/>
      <c r="Q1154" s="726"/>
      <c r="R1154" s="726"/>
      <c r="S1154" s="726"/>
      <c r="T1154" s="726"/>
      <c r="U1154" s="726"/>
      <c r="V1154" s="726"/>
      <c r="W1154" s="726"/>
      <c r="X1154" s="726"/>
      <c r="Y1154" s="726"/>
      <c r="Z1154" s="726"/>
      <c r="AA1154" s="732"/>
      <c r="AB1154" s="732"/>
      <c r="AC1154" s="732"/>
      <c r="AD1154" s="732"/>
      <c r="AE1154" s="733"/>
      <c r="AF1154" s="734" t="str">
        <f t="shared" si="53"/>
        <v/>
      </c>
      <c r="AG1154" s="773"/>
    </row>
    <row r="1155" spans="1:64" ht="18.75" x14ac:dyDescent="0.25">
      <c r="A1155" s="758"/>
      <c r="B1155" s="737"/>
      <c r="C1155" s="730"/>
      <c r="D1155" s="739"/>
      <c r="E1155" s="765"/>
      <c r="F1155" s="765"/>
      <c r="G1155" s="765"/>
      <c r="H1155" s="765"/>
      <c r="I1155" s="746" t="str">
        <f t="shared" si="52"/>
        <v/>
      </c>
      <c r="J1155" s="731"/>
      <c r="K1155" s="731" t="str">
        <f t="shared" si="51"/>
        <v/>
      </c>
      <c r="L1155" s="726"/>
      <c r="M1155" s="726"/>
      <c r="N1155" s="726"/>
      <c r="O1155" s="726"/>
      <c r="P1155" s="726"/>
      <c r="Q1155" s="726"/>
      <c r="R1155" s="726"/>
      <c r="S1155" s="726"/>
      <c r="T1155" s="726"/>
      <c r="U1155" s="726"/>
      <c r="V1155" s="726"/>
      <c r="W1155" s="726"/>
      <c r="X1155" s="726"/>
      <c r="Y1155" s="726"/>
      <c r="Z1155" s="726"/>
      <c r="AA1155" s="732"/>
      <c r="AB1155" s="732"/>
      <c r="AC1155" s="732"/>
      <c r="AD1155" s="732"/>
      <c r="AE1155" s="733"/>
      <c r="AF1155" s="734" t="str">
        <f t="shared" si="53"/>
        <v/>
      </c>
      <c r="AG1155" s="773"/>
    </row>
    <row r="1156" spans="1:64" ht="18.75" x14ac:dyDescent="0.25">
      <c r="A1156" s="758"/>
      <c r="B1156" s="737"/>
      <c r="C1156" s="730"/>
      <c r="D1156" s="739"/>
      <c r="E1156" s="765"/>
      <c r="F1156" s="765"/>
      <c r="G1156" s="765"/>
      <c r="H1156" s="765"/>
      <c r="I1156" s="746" t="str">
        <f t="shared" si="52"/>
        <v/>
      </c>
      <c r="J1156" s="731"/>
      <c r="K1156" s="731" t="str">
        <f t="shared" ref="K1156:K1219" si="54">IF(AA1156-AE1156 = 0,"",AA1156-AE1156)</f>
        <v/>
      </c>
      <c r="L1156" s="726"/>
      <c r="M1156" s="726"/>
      <c r="N1156" s="726"/>
      <c r="O1156" s="726"/>
      <c r="P1156" s="726"/>
      <c r="Q1156" s="726"/>
      <c r="R1156" s="726"/>
      <c r="S1156" s="726"/>
      <c r="T1156" s="726"/>
      <c r="U1156" s="726"/>
      <c r="V1156" s="726"/>
      <c r="W1156" s="726"/>
      <c r="X1156" s="726"/>
      <c r="Y1156" s="726"/>
      <c r="Z1156" s="726"/>
      <c r="AA1156" s="732"/>
      <c r="AB1156" s="732"/>
      <c r="AC1156" s="732"/>
      <c r="AD1156" s="732"/>
      <c r="AE1156" s="733"/>
      <c r="AF1156" s="734" t="str">
        <f t="shared" si="53"/>
        <v/>
      </c>
      <c r="AG1156" s="773"/>
    </row>
    <row r="1157" spans="1:64" ht="18.75" x14ac:dyDescent="0.25">
      <c r="A1157" s="758"/>
      <c r="B1157" s="737"/>
      <c r="C1157" s="730"/>
      <c r="D1157" s="739"/>
      <c r="E1157" s="765"/>
      <c r="F1157" s="765"/>
      <c r="G1157" s="765"/>
      <c r="H1157" s="765"/>
      <c r="I1157" s="746" t="str">
        <f t="shared" ref="I1157:I1220" si="55">AF1157</f>
        <v/>
      </c>
      <c r="J1157" s="731"/>
      <c r="K1157" s="731" t="str">
        <f t="shared" si="54"/>
        <v/>
      </c>
      <c r="L1157" s="726"/>
      <c r="M1157" s="726"/>
      <c r="N1157" s="726"/>
      <c r="O1157" s="726"/>
      <c r="P1157" s="726"/>
      <c r="Q1157" s="726"/>
      <c r="R1157" s="726"/>
      <c r="S1157" s="726"/>
      <c r="T1157" s="726"/>
      <c r="U1157" s="726"/>
      <c r="V1157" s="726"/>
      <c r="W1157" s="726"/>
      <c r="X1157" s="726"/>
      <c r="Y1157" s="726"/>
      <c r="Z1157" s="726"/>
      <c r="AA1157" s="732"/>
      <c r="AB1157" s="732"/>
      <c r="AC1157" s="732"/>
      <c r="AD1157" s="732"/>
      <c r="AE1157" s="733"/>
      <c r="AF1157" s="734" t="str">
        <f t="shared" ref="AF1157:AF1220" si="56">IF(AE1157 &lt;&gt;"", AE1157/AA1157,"")</f>
        <v/>
      </c>
      <c r="AG1157" s="773"/>
    </row>
    <row r="1158" spans="1:64" ht="19.5" customHeight="1" x14ac:dyDescent="0.25">
      <c r="A1158" s="758"/>
      <c r="B1158" s="737"/>
      <c r="C1158" s="730"/>
      <c r="D1158" s="739"/>
      <c r="E1158" s="765"/>
      <c r="F1158" s="765"/>
      <c r="G1158" s="765"/>
      <c r="H1158" s="765"/>
      <c r="I1158" s="746" t="str">
        <f t="shared" si="55"/>
        <v/>
      </c>
      <c r="J1158" s="731"/>
      <c r="K1158" s="731" t="str">
        <f t="shared" si="54"/>
        <v/>
      </c>
      <c r="L1158" s="726"/>
      <c r="M1158" s="726"/>
      <c r="N1158" s="726"/>
      <c r="O1158" s="726"/>
      <c r="P1158" s="726"/>
      <c r="Q1158" s="726"/>
      <c r="R1158" s="726"/>
      <c r="S1158" s="726"/>
      <c r="T1158" s="726"/>
      <c r="U1158" s="726"/>
      <c r="V1158" s="726"/>
      <c r="W1158" s="726"/>
      <c r="X1158" s="726"/>
      <c r="Y1158" s="726"/>
      <c r="Z1158" s="726"/>
      <c r="AA1158" s="732"/>
      <c r="AB1158" s="732"/>
      <c r="AC1158" s="732"/>
      <c r="AD1158" s="732"/>
      <c r="AE1158" s="733"/>
      <c r="AF1158" s="734" t="str">
        <f t="shared" si="56"/>
        <v/>
      </c>
      <c r="AG1158" s="775"/>
      <c r="AH1158" s="779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36"/>
      <c r="AZ1158" s="36"/>
      <c r="BA1158" s="36"/>
      <c r="BB1158" s="36"/>
      <c r="BC1158" s="36"/>
      <c r="BD1158" s="36"/>
      <c r="BE1158" s="36"/>
      <c r="BF1158" s="36"/>
      <c r="BG1158" s="36"/>
      <c r="BH1158" s="36"/>
      <c r="BI1158" s="36"/>
      <c r="BJ1158" s="36"/>
      <c r="BK1158" s="36"/>
      <c r="BL1158" s="36"/>
    </row>
    <row r="1159" spans="1:64" ht="19.5" customHeight="1" x14ac:dyDescent="0.25">
      <c r="A1159" s="758"/>
      <c r="B1159" s="737"/>
      <c r="C1159" s="730"/>
      <c r="D1159" s="739"/>
      <c r="E1159" s="765"/>
      <c r="F1159" s="765"/>
      <c r="G1159" s="765"/>
      <c r="H1159" s="765"/>
      <c r="I1159" s="746" t="str">
        <f t="shared" si="55"/>
        <v/>
      </c>
      <c r="J1159" s="731"/>
      <c r="K1159" s="731" t="str">
        <f t="shared" si="54"/>
        <v/>
      </c>
      <c r="L1159" s="726"/>
      <c r="M1159" s="726"/>
      <c r="N1159" s="726"/>
      <c r="O1159" s="726"/>
      <c r="P1159" s="726"/>
      <c r="Q1159" s="726"/>
      <c r="R1159" s="726"/>
      <c r="S1159" s="726"/>
      <c r="T1159" s="726"/>
      <c r="U1159" s="726"/>
      <c r="V1159" s="726"/>
      <c r="W1159" s="726"/>
      <c r="X1159" s="726"/>
      <c r="Y1159" s="726"/>
      <c r="Z1159" s="726"/>
      <c r="AA1159" s="732"/>
      <c r="AB1159" s="732"/>
      <c r="AC1159" s="732"/>
      <c r="AD1159" s="732"/>
      <c r="AE1159" s="733"/>
      <c r="AF1159" s="734" t="str">
        <f t="shared" si="56"/>
        <v/>
      </c>
      <c r="AG1159" s="775"/>
      <c r="AH1159" s="779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  <c r="AW1159" s="36"/>
      <c r="AX1159" s="36"/>
      <c r="AY1159" s="36"/>
      <c r="AZ1159" s="36"/>
      <c r="BA1159" s="36"/>
      <c r="BB1159" s="36"/>
      <c r="BC1159" s="36"/>
      <c r="BD1159" s="36"/>
      <c r="BE1159" s="36"/>
      <c r="BF1159" s="36"/>
      <c r="BG1159" s="36"/>
      <c r="BH1159" s="36"/>
      <c r="BI1159" s="36"/>
      <c r="BJ1159" s="36"/>
      <c r="BK1159" s="36"/>
      <c r="BL1159" s="36"/>
    </row>
    <row r="1160" spans="1:64" ht="18.75" x14ac:dyDescent="0.25">
      <c r="A1160" s="758"/>
      <c r="B1160" s="737"/>
      <c r="C1160" s="730"/>
      <c r="D1160" s="739"/>
      <c r="E1160" s="765"/>
      <c r="F1160" s="765"/>
      <c r="G1160" s="765"/>
      <c r="H1160" s="765"/>
      <c r="I1160" s="746" t="str">
        <f t="shared" si="55"/>
        <v/>
      </c>
      <c r="J1160" s="731"/>
      <c r="K1160" s="731" t="str">
        <f t="shared" si="54"/>
        <v/>
      </c>
      <c r="L1160" s="726"/>
      <c r="M1160" s="726"/>
      <c r="N1160" s="726"/>
      <c r="O1160" s="726"/>
      <c r="P1160" s="726"/>
      <c r="Q1160" s="726"/>
      <c r="R1160" s="726"/>
      <c r="S1160" s="726"/>
      <c r="T1160" s="726"/>
      <c r="U1160" s="726"/>
      <c r="V1160" s="726"/>
      <c r="W1160" s="726"/>
      <c r="X1160" s="726"/>
      <c r="Y1160" s="726"/>
      <c r="Z1160" s="726"/>
      <c r="AA1160" s="732"/>
      <c r="AB1160" s="732"/>
      <c r="AC1160" s="732"/>
      <c r="AD1160" s="732"/>
      <c r="AE1160" s="733"/>
      <c r="AF1160" s="734" t="str">
        <f t="shared" si="56"/>
        <v/>
      </c>
      <c r="AG1160" s="773"/>
    </row>
    <row r="1161" spans="1:64" ht="18.75" x14ac:dyDescent="0.25">
      <c r="A1161" s="758"/>
      <c r="B1161" s="737"/>
      <c r="C1161" s="730"/>
      <c r="D1161" s="739"/>
      <c r="E1161" s="765"/>
      <c r="F1161" s="765"/>
      <c r="G1161" s="765"/>
      <c r="H1161" s="765"/>
      <c r="I1161" s="746" t="str">
        <f t="shared" si="55"/>
        <v/>
      </c>
      <c r="J1161" s="731"/>
      <c r="K1161" s="731" t="str">
        <f t="shared" si="54"/>
        <v/>
      </c>
      <c r="L1161" s="726"/>
      <c r="M1161" s="726"/>
      <c r="N1161" s="726"/>
      <c r="O1161" s="726"/>
      <c r="P1161" s="726"/>
      <c r="Q1161" s="726"/>
      <c r="R1161" s="726"/>
      <c r="S1161" s="726"/>
      <c r="T1161" s="726"/>
      <c r="U1161" s="726"/>
      <c r="V1161" s="726"/>
      <c r="W1161" s="726"/>
      <c r="X1161" s="726"/>
      <c r="Y1161" s="726"/>
      <c r="Z1161" s="726"/>
      <c r="AA1161" s="732"/>
      <c r="AB1161" s="732"/>
      <c r="AC1161" s="732"/>
      <c r="AD1161" s="732"/>
      <c r="AE1161" s="733"/>
      <c r="AF1161" s="734" t="str">
        <f t="shared" si="56"/>
        <v/>
      </c>
      <c r="AG1161" s="773"/>
    </row>
    <row r="1162" spans="1:64" ht="18.75" x14ac:dyDescent="0.25">
      <c r="A1162" s="758"/>
      <c r="B1162" s="737"/>
      <c r="C1162" s="730"/>
      <c r="D1162" s="739"/>
      <c r="E1162" s="765"/>
      <c r="F1162" s="765"/>
      <c r="G1162" s="765"/>
      <c r="H1162" s="765"/>
      <c r="I1162" s="746" t="str">
        <f t="shared" si="55"/>
        <v/>
      </c>
      <c r="J1162" s="731"/>
      <c r="K1162" s="731" t="str">
        <f t="shared" si="54"/>
        <v/>
      </c>
      <c r="L1162" s="726"/>
      <c r="M1162" s="726"/>
      <c r="N1162" s="726"/>
      <c r="O1162" s="726"/>
      <c r="P1162" s="726"/>
      <c r="Q1162" s="726"/>
      <c r="R1162" s="726"/>
      <c r="S1162" s="726"/>
      <c r="T1162" s="726"/>
      <c r="U1162" s="726"/>
      <c r="V1162" s="726"/>
      <c r="W1162" s="726"/>
      <c r="X1162" s="726"/>
      <c r="Y1162" s="726"/>
      <c r="Z1162" s="726"/>
      <c r="AA1162" s="732"/>
      <c r="AB1162" s="732"/>
      <c r="AC1162" s="732"/>
      <c r="AD1162" s="732"/>
      <c r="AE1162" s="733"/>
      <c r="AF1162" s="734" t="str">
        <f t="shared" si="56"/>
        <v/>
      </c>
      <c r="AG1162" s="773"/>
    </row>
    <row r="1163" spans="1:64" ht="18.75" x14ac:dyDescent="0.25">
      <c r="A1163" s="758"/>
      <c r="B1163" s="737"/>
      <c r="C1163" s="730"/>
      <c r="D1163" s="739"/>
      <c r="E1163" s="765"/>
      <c r="F1163" s="765"/>
      <c r="G1163" s="765"/>
      <c r="H1163" s="765"/>
      <c r="I1163" s="746" t="str">
        <f t="shared" si="55"/>
        <v/>
      </c>
      <c r="J1163" s="731"/>
      <c r="K1163" s="731" t="str">
        <f t="shared" si="54"/>
        <v/>
      </c>
      <c r="L1163" s="726"/>
      <c r="M1163" s="726"/>
      <c r="N1163" s="726"/>
      <c r="O1163" s="726"/>
      <c r="P1163" s="726"/>
      <c r="Q1163" s="726"/>
      <c r="R1163" s="726"/>
      <c r="S1163" s="726"/>
      <c r="T1163" s="726"/>
      <c r="U1163" s="726"/>
      <c r="V1163" s="726"/>
      <c r="W1163" s="726"/>
      <c r="X1163" s="726"/>
      <c r="Y1163" s="726"/>
      <c r="Z1163" s="726"/>
      <c r="AA1163" s="732"/>
      <c r="AB1163" s="732"/>
      <c r="AC1163" s="732"/>
      <c r="AD1163" s="732"/>
      <c r="AE1163" s="733"/>
      <c r="AF1163" s="734" t="str">
        <f t="shared" si="56"/>
        <v/>
      </c>
      <c r="AG1163" s="773"/>
    </row>
    <row r="1164" spans="1:64" ht="18.75" x14ac:dyDescent="0.25">
      <c r="A1164" s="758"/>
      <c r="B1164" s="737"/>
      <c r="C1164" s="730"/>
      <c r="D1164" s="739"/>
      <c r="E1164" s="765"/>
      <c r="F1164" s="765"/>
      <c r="G1164" s="765"/>
      <c r="H1164" s="765"/>
      <c r="I1164" s="746" t="str">
        <f t="shared" si="55"/>
        <v/>
      </c>
      <c r="J1164" s="731"/>
      <c r="K1164" s="731" t="str">
        <f t="shared" si="54"/>
        <v/>
      </c>
      <c r="L1164" s="726"/>
      <c r="M1164" s="726"/>
      <c r="N1164" s="726"/>
      <c r="O1164" s="726"/>
      <c r="P1164" s="726"/>
      <c r="Q1164" s="726"/>
      <c r="R1164" s="726"/>
      <c r="S1164" s="726"/>
      <c r="T1164" s="726"/>
      <c r="U1164" s="726"/>
      <c r="V1164" s="726"/>
      <c r="W1164" s="726"/>
      <c r="X1164" s="726"/>
      <c r="Y1164" s="726"/>
      <c r="Z1164" s="726"/>
      <c r="AA1164" s="732"/>
      <c r="AB1164" s="732"/>
      <c r="AC1164" s="732"/>
      <c r="AD1164" s="732"/>
      <c r="AE1164" s="733"/>
      <c r="AF1164" s="734" t="str">
        <f t="shared" si="56"/>
        <v/>
      </c>
      <c r="AG1164" s="773"/>
    </row>
    <row r="1165" spans="1:64" ht="18.75" x14ac:dyDescent="0.25">
      <c r="A1165" s="758"/>
      <c r="B1165" s="737"/>
      <c r="C1165" s="730"/>
      <c r="D1165" s="739"/>
      <c r="E1165" s="765"/>
      <c r="F1165" s="765"/>
      <c r="G1165" s="765"/>
      <c r="H1165" s="765"/>
      <c r="I1165" s="746" t="str">
        <f t="shared" si="55"/>
        <v/>
      </c>
      <c r="J1165" s="731"/>
      <c r="K1165" s="731" t="str">
        <f t="shared" si="54"/>
        <v/>
      </c>
      <c r="L1165" s="726"/>
      <c r="M1165" s="726"/>
      <c r="N1165" s="726"/>
      <c r="O1165" s="726"/>
      <c r="P1165" s="726"/>
      <c r="Q1165" s="726"/>
      <c r="R1165" s="726"/>
      <c r="S1165" s="726"/>
      <c r="T1165" s="726"/>
      <c r="U1165" s="726"/>
      <c r="V1165" s="726"/>
      <c r="W1165" s="726"/>
      <c r="X1165" s="726"/>
      <c r="Y1165" s="726"/>
      <c r="Z1165" s="726"/>
      <c r="AA1165" s="732"/>
      <c r="AB1165" s="732"/>
      <c r="AC1165" s="732"/>
      <c r="AD1165" s="732"/>
      <c r="AE1165" s="733"/>
      <c r="AF1165" s="734" t="str">
        <f t="shared" si="56"/>
        <v/>
      </c>
      <c r="AG1165" s="773"/>
    </row>
    <row r="1166" spans="1:64" ht="18.75" x14ac:dyDescent="0.25">
      <c r="A1166" s="758"/>
      <c r="B1166" s="737"/>
      <c r="C1166" s="730"/>
      <c r="D1166" s="739"/>
      <c r="E1166" s="765"/>
      <c r="F1166" s="765"/>
      <c r="G1166" s="765"/>
      <c r="H1166" s="765"/>
      <c r="I1166" s="746" t="str">
        <f t="shared" si="55"/>
        <v/>
      </c>
      <c r="J1166" s="731"/>
      <c r="K1166" s="731" t="str">
        <f t="shared" si="54"/>
        <v/>
      </c>
      <c r="L1166" s="726"/>
      <c r="M1166" s="726"/>
      <c r="N1166" s="726"/>
      <c r="O1166" s="726"/>
      <c r="P1166" s="726"/>
      <c r="Q1166" s="726"/>
      <c r="R1166" s="726"/>
      <c r="S1166" s="726"/>
      <c r="T1166" s="726"/>
      <c r="U1166" s="726"/>
      <c r="V1166" s="726"/>
      <c r="W1166" s="726"/>
      <c r="X1166" s="726"/>
      <c r="Y1166" s="726"/>
      <c r="Z1166" s="726"/>
      <c r="AA1166" s="732"/>
      <c r="AB1166" s="732"/>
      <c r="AC1166" s="732"/>
      <c r="AD1166" s="732"/>
      <c r="AE1166" s="733"/>
      <c r="AF1166" s="734" t="str">
        <f t="shared" si="56"/>
        <v/>
      </c>
      <c r="AG1166" s="775"/>
      <c r="AH1166" s="779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  <c r="AW1166" s="36"/>
      <c r="AX1166" s="36"/>
      <c r="AY1166" s="36"/>
      <c r="AZ1166" s="36"/>
      <c r="BA1166" s="36"/>
      <c r="BB1166" s="36"/>
      <c r="BC1166" s="36"/>
      <c r="BD1166" s="36"/>
      <c r="BE1166" s="36"/>
      <c r="BF1166" s="36"/>
      <c r="BG1166" s="36"/>
      <c r="BH1166" s="36"/>
      <c r="BI1166" s="36"/>
      <c r="BJ1166" s="36"/>
      <c r="BK1166" s="36"/>
      <c r="BL1166" s="36"/>
    </row>
    <row r="1167" spans="1:64" ht="18.75" x14ac:dyDescent="0.25">
      <c r="A1167" s="758"/>
      <c r="B1167" s="737"/>
      <c r="C1167" s="730"/>
      <c r="D1167" s="739"/>
      <c r="E1167" s="765"/>
      <c r="F1167" s="765"/>
      <c r="G1167" s="765"/>
      <c r="H1167" s="765"/>
      <c r="I1167" s="746" t="str">
        <f t="shared" si="55"/>
        <v/>
      </c>
      <c r="J1167" s="731"/>
      <c r="K1167" s="731" t="str">
        <f t="shared" si="54"/>
        <v/>
      </c>
      <c r="L1167" s="726"/>
      <c r="M1167" s="726"/>
      <c r="N1167" s="726"/>
      <c r="O1167" s="726"/>
      <c r="P1167" s="726"/>
      <c r="Q1167" s="726"/>
      <c r="R1167" s="726"/>
      <c r="S1167" s="726"/>
      <c r="T1167" s="726"/>
      <c r="U1167" s="726"/>
      <c r="V1167" s="726"/>
      <c r="W1167" s="726"/>
      <c r="X1167" s="726"/>
      <c r="Y1167" s="726"/>
      <c r="Z1167" s="726"/>
      <c r="AA1167" s="732"/>
      <c r="AB1167" s="732"/>
      <c r="AC1167" s="732"/>
      <c r="AD1167" s="732"/>
      <c r="AE1167" s="733"/>
      <c r="AF1167" s="734" t="str">
        <f t="shared" si="56"/>
        <v/>
      </c>
      <c r="AG1167" s="773"/>
    </row>
    <row r="1168" spans="1:64" ht="18.75" x14ac:dyDescent="0.25">
      <c r="A1168" s="758"/>
      <c r="B1168" s="737"/>
      <c r="C1168" s="730"/>
      <c r="D1168" s="739"/>
      <c r="E1168" s="765"/>
      <c r="F1168" s="765"/>
      <c r="G1168" s="765"/>
      <c r="H1168" s="765"/>
      <c r="I1168" s="746" t="str">
        <f t="shared" si="55"/>
        <v/>
      </c>
      <c r="J1168" s="731"/>
      <c r="K1168" s="731" t="str">
        <f t="shared" si="54"/>
        <v/>
      </c>
      <c r="L1168" s="726"/>
      <c r="M1168" s="726"/>
      <c r="N1168" s="726"/>
      <c r="O1168" s="726"/>
      <c r="P1168" s="726"/>
      <c r="Q1168" s="726"/>
      <c r="R1168" s="726"/>
      <c r="S1168" s="726"/>
      <c r="T1168" s="726"/>
      <c r="U1168" s="726"/>
      <c r="V1168" s="726"/>
      <c r="W1168" s="726"/>
      <c r="X1168" s="726"/>
      <c r="Y1168" s="726"/>
      <c r="Z1168" s="726"/>
      <c r="AA1168" s="732"/>
      <c r="AB1168" s="732"/>
      <c r="AC1168" s="732"/>
      <c r="AD1168" s="732"/>
      <c r="AE1168" s="733"/>
      <c r="AF1168" s="734" t="str">
        <f t="shared" si="56"/>
        <v/>
      </c>
      <c r="AG1168" s="773"/>
    </row>
    <row r="1169" spans="1:64" ht="18.75" x14ac:dyDescent="0.25">
      <c r="A1169" s="758"/>
      <c r="B1169" s="737"/>
      <c r="C1169" s="730"/>
      <c r="D1169" s="739"/>
      <c r="E1169" s="765"/>
      <c r="F1169" s="765"/>
      <c r="G1169" s="765"/>
      <c r="H1169" s="765"/>
      <c r="I1169" s="746" t="str">
        <f t="shared" si="55"/>
        <v/>
      </c>
      <c r="J1169" s="731"/>
      <c r="K1169" s="731" t="str">
        <f t="shared" si="54"/>
        <v/>
      </c>
      <c r="L1169" s="726"/>
      <c r="M1169" s="726"/>
      <c r="N1169" s="726"/>
      <c r="O1169" s="726"/>
      <c r="P1169" s="726"/>
      <c r="Q1169" s="726"/>
      <c r="R1169" s="726"/>
      <c r="S1169" s="726"/>
      <c r="T1169" s="726"/>
      <c r="U1169" s="726"/>
      <c r="V1169" s="726"/>
      <c r="W1169" s="726"/>
      <c r="X1169" s="726"/>
      <c r="Y1169" s="726"/>
      <c r="Z1169" s="726"/>
      <c r="AA1169" s="732"/>
      <c r="AB1169" s="732"/>
      <c r="AC1169" s="732"/>
      <c r="AD1169" s="732"/>
      <c r="AE1169" s="733"/>
      <c r="AF1169" s="734" t="str">
        <f t="shared" si="56"/>
        <v/>
      </c>
      <c r="AG1169" s="773"/>
    </row>
    <row r="1170" spans="1:64" ht="18.75" x14ac:dyDescent="0.25">
      <c r="A1170" s="758"/>
      <c r="B1170" s="737"/>
      <c r="C1170" s="730"/>
      <c r="D1170" s="739"/>
      <c r="E1170" s="765"/>
      <c r="F1170" s="765"/>
      <c r="G1170" s="765"/>
      <c r="H1170" s="765"/>
      <c r="I1170" s="746" t="str">
        <f t="shared" si="55"/>
        <v/>
      </c>
      <c r="J1170" s="731"/>
      <c r="K1170" s="731" t="str">
        <f t="shared" si="54"/>
        <v/>
      </c>
      <c r="L1170" s="726"/>
      <c r="M1170" s="726"/>
      <c r="N1170" s="726"/>
      <c r="O1170" s="726"/>
      <c r="P1170" s="726"/>
      <c r="Q1170" s="726"/>
      <c r="R1170" s="726"/>
      <c r="S1170" s="726"/>
      <c r="T1170" s="726"/>
      <c r="U1170" s="726"/>
      <c r="V1170" s="726"/>
      <c r="W1170" s="726"/>
      <c r="X1170" s="726"/>
      <c r="Y1170" s="726"/>
      <c r="Z1170" s="726"/>
      <c r="AA1170" s="732"/>
      <c r="AB1170" s="732"/>
      <c r="AC1170" s="732"/>
      <c r="AD1170" s="732"/>
      <c r="AE1170" s="733"/>
      <c r="AF1170" s="734" t="str">
        <f t="shared" si="56"/>
        <v/>
      </c>
      <c r="AG1170" s="773"/>
    </row>
    <row r="1171" spans="1:64" ht="18.75" x14ac:dyDescent="0.25">
      <c r="A1171" s="758"/>
      <c r="B1171" s="737"/>
      <c r="C1171" s="730"/>
      <c r="D1171" s="739"/>
      <c r="E1171" s="765"/>
      <c r="F1171" s="765"/>
      <c r="G1171" s="765"/>
      <c r="H1171" s="765"/>
      <c r="I1171" s="746" t="str">
        <f t="shared" si="55"/>
        <v/>
      </c>
      <c r="J1171" s="731"/>
      <c r="K1171" s="731" t="str">
        <f t="shared" si="54"/>
        <v/>
      </c>
      <c r="L1171" s="726"/>
      <c r="M1171" s="726"/>
      <c r="N1171" s="726"/>
      <c r="O1171" s="726"/>
      <c r="P1171" s="726"/>
      <c r="Q1171" s="726"/>
      <c r="R1171" s="726"/>
      <c r="S1171" s="726"/>
      <c r="T1171" s="726"/>
      <c r="U1171" s="726"/>
      <c r="V1171" s="726"/>
      <c r="W1171" s="726"/>
      <c r="X1171" s="726"/>
      <c r="Y1171" s="726"/>
      <c r="Z1171" s="726"/>
      <c r="AA1171" s="732"/>
      <c r="AB1171" s="732"/>
      <c r="AC1171" s="732"/>
      <c r="AD1171" s="732"/>
      <c r="AE1171" s="733"/>
      <c r="AF1171" s="734" t="str">
        <f t="shared" si="56"/>
        <v/>
      </c>
      <c r="AG1171" s="773"/>
    </row>
    <row r="1172" spans="1:64" ht="18.75" customHeight="1" x14ac:dyDescent="0.25">
      <c r="A1172" s="758"/>
      <c r="B1172" s="737"/>
      <c r="C1172" s="730"/>
      <c r="D1172" s="739"/>
      <c r="E1172" s="765"/>
      <c r="F1172" s="765"/>
      <c r="G1172" s="765"/>
      <c r="H1172" s="765"/>
      <c r="I1172" s="746" t="str">
        <f t="shared" si="55"/>
        <v/>
      </c>
      <c r="J1172" s="731"/>
      <c r="K1172" s="731" t="str">
        <f t="shared" si="54"/>
        <v/>
      </c>
      <c r="L1172" s="726"/>
      <c r="M1172" s="726"/>
      <c r="N1172" s="726"/>
      <c r="O1172" s="726"/>
      <c r="P1172" s="726"/>
      <c r="Q1172" s="726"/>
      <c r="R1172" s="726"/>
      <c r="S1172" s="726"/>
      <c r="T1172" s="726"/>
      <c r="U1172" s="726"/>
      <c r="V1172" s="726"/>
      <c r="W1172" s="726"/>
      <c r="X1172" s="726"/>
      <c r="Y1172" s="726"/>
      <c r="Z1172" s="726"/>
      <c r="AA1172" s="732"/>
      <c r="AB1172" s="732"/>
      <c r="AC1172" s="732"/>
      <c r="AD1172" s="732"/>
      <c r="AE1172" s="733"/>
      <c r="AF1172" s="734" t="str">
        <f t="shared" si="56"/>
        <v/>
      </c>
      <c r="AG1172" s="772"/>
      <c r="AH1172" s="777"/>
      <c r="AI1172" s="735"/>
      <c r="AJ1172" s="735"/>
      <c r="AK1172" s="735"/>
      <c r="AL1172" s="735"/>
      <c r="AM1172" s="735"/>
      <c r="AN1172" s="735"/>
      <c r="AO1172" s="735"/>
      <c r="AP1172" s="735"/>
      <c r="AQ1172" s="735"/>
      <c r="AR1172" s="735"/>
      <c r="AS1172" s="735"/>
      <c r="AT1172" s="735"/>
      <c r="AU1172" s="735"/>
      <c r="AV1172" s="735"/>
      <c r="AW1172" s="735"/>
      <c r="AX1172" s="735"/>
      <c r="AY1172" s="735"/>
      <c r="AZ1172" s="735"/>
      <c r="BA1172" s="735"/>
      <c r="BB1172" s="735"/>
      <c r="BC1172" s="735"/>
      <c r="BD1172" s="735"/>
      <c r="BE1172" s="735"/>
      <c r="BF1172" s="735"/>
      <c r="BG1172" s="735"/>
      <c r="BH1172" s="735"/>
      <c r="BI1172" s="735"/>
      <c r="BJ1172" s="735"/>
      <c r="BK1172" s="735"/>
      <c r="BL1172" s="735"/>
    </row>
    <row r="1173" spans="1:64" ht="19.5" customHeight="1" x14ac:dyDescent="0.25">
      <c r="A1173" s="758"/>
      <c r="B1173" s="737"/>
      <c r="C1173" s="730"/>
      <c r="D1173" s="739"/>
      <c r="E1173" s="765"/>
      <c r="F1173" s="765"/>
      <c r="G1173" s="765"/>
      <c r="H1173" s="765"/>
      <c r="I1173" s="746" t="str">
        <f t="shared" si="55"/>
        <v/>
      </c>
      <c r="J1173" s="731"/>
      <c r="K1173" s="731" t="str">
        <f t="shared" si="54"/>
        <v/>
      </c>
      <c r="L1173" s="726"/>
      <c r="M1173" s="726"/>
      <c r="N1173" s="726"/>
      <c r="O1173" s="726"/>
      <c r="P1173" s="726"/>
      <c r="Q1173" s="726"/>
      <c r="R1173" s="726"/>
      <c r="S1173" s="726"/>
      <c r="T1173" s="726"/>
      <c r="U1173" s="726"/>
      <c r="V1173" s="726"/>
      <c r="W1173" s="726"/>
      <c r="X1173" s="726"/>
      <c r="Y1173" s="726"/>
      <c r="Z1173" s="726"/>
      <c r="AA1173" s="732"/>
      <c r="AB1173" s="732"/>
      <c r="AC1173" s="732"/>
      <c r="AD1173" s="732"/>
      <c r="AE1173" s="733"/>
      <c r="AF1173" s="734" t="str">
        <f t="shared" si="56"/>
        <v/>
      </c>
      <c r="AG1173" s="772"/>
      <c r="AH1173" s="777"/>
      <c r="AI1173" s="735"/>
      <c r="AJ1173" s="735"/>
      <c r="AK1173" s="735"/>
      <c r="AL1173" s="735"/>
      <c r="AM1173" s="735"/>
      <c r="AN1173" s="735"/>
      <c r="AO1173" s="735"/>
      <c r="AP1173" s="735"/>
      <c r="AQ1173" s="735"/>
      <c r="AR1173" s="735"/>
      <c r="AS1173" s="735"/>
      <c r="AT1173" s="735"/>
      <c r="AU1173" s="735"/>
      <c r="AV1173" s="735"/>
      <c r="AW1173" s="735"/>
      <c r="AX1173" s="735"/>
      <c r="AY1173" s="735"/>
      <c r="AZ1173" s="735"/>
      <c r="BA1173" s="735"/>
      <c r="BB1173" s="735"/>
      <c r="BC1173" s="735"/>
      <c r="BD1173" s="735"/>
      <c r="BE1173" s="735"/>
      <c r="BF1173" s="735"/>
      <c r="BG1173" s="735"/>
      <c r="BH1173" s="735"/>
      <c r="BI1173" s="735"/>
      <c r="BJ1173" s="735"/>
      <c r="BK1173" s="735"/>
      <c r="BL1173" s="735"/>
    </row>
    <row r="1174" spans="1:64" ht="19.5" customHeight="1" x14ac:dyDescent="0.25">
      <c r="A1174" s="758"/>
      <c r="B1174" s="737"/>
      <c r="C1174" s="730"/>
      <c r="D1174" s="739"/>
      <c r="E1174" s="765"/>
      <c r="F1174" s="765"/>
      <c r="G1174" s="765"/>
      <c r="H1174" s="765"/>
      <c r="I1174" s="746" t="str">
        <f t="shared" si="55"/>
        <v/>
      </c>
      <c r="J1174" s="731"/>
      <c r="K1174" s="731" t="str">
        <f t="shared" si="54"/>
        <v/>
      </c>
      <c r="L1174" s="726"/>
      <c r="M1174" s="726"/>
      <c r="N1174" s="726"/>
      <c r="O1174" s="726"/>
      <c r="P1174" s="726"/>
      <c r="Q1174" s="726"/>
      <c r="R1174" s="726"/>
      <c r="S1174" s="726"/>
      <c r="T1174" s="726"/>
      <c r="U1174" s="726"/>
      <c r="V1174" s="726"/>
      <c r="W1174" s="726"/>
      <c r="X1174" s="726"/>
      <c r="Y1174" s="726"/>
      <c r="Z1174" s="726"/>
      <c r="AA1174" s="732"/>
      <c r="AB1174" s="732"/>
      <c r="AC1174" s="732"/>
      <c r="AD1174" s="732"/>
      <c r="AE1174" s="733"/>
      <c r="AF1174" s="734" t="str">
        <f t="shared" si="56"/>
        <v/>
      </c>
      <c r="AG1174" s="772"/>
      <c r="AH1174" s="777"/>
      <c r="AI1174" s="735"/>
      <c r="AJ1174" s="735"/>
      <c r="AK1174" s="735"/>
      <c r="AL1174" s="735"/>
      <c r="AM1174" s="735"/>
      <c r="AN1174" s="735"/>
      <c r="AO1174" s="735"/>
      <c r="AP1174" s="735"/>
      <c r="AQ1174" s="735"/>
      <c r="AR1174" s="735"/>
      <c r="AS1174" s="735"/>
      <c r="AT1174" s="735"/>
      <c r="AU1174" s="735"/>
      <c r="AV1174" s="735"/>
      <c r="AW1174" s="735"/>
      <c r="AX1174" s="735"/>
      <c r="AY1174" s="735"/>
      <c r="AZ1174" s="735"/>
      <c r="BA1174" s="735"/>
      <c r="BB1174" s="735"/>
      <c r="BC1174" s="735"/>
      <c r="BD1174" s="735"/>
      <c r="BE1174" s="735"/>
      <c r="BF1174" s="735"/>
      <c r="BG1174" s="735"/>
      <c r="BH1174" s="735"/>
      <c r="BI1174" s="735"/>
      <c r="BJ1174" s="735"/>
      <c r="BK1174" s="735"/>
      <c r="BL1174" s="735"/>
    </row>
    <row r="1175" spans="1:64" ht="19.5" customHeight="1" x14ac:dyDescent="0.25">
      <c r="A1175" s="758"/>
      <c r="B1175" s="737"/>
      <c r="C1175" s="730"/>
      <c r="D1175" s="739"/>
      <c r="E1175" s="765"/>
      <c r="F1175" s="765"/>
      <c r="G1175" s="765"/>
      <c r="H1175" s="765"/>
      <c r="I1175" s="746" t="str">
        <f t="shared" si="55"/>
        <v/>
      </c>
      <c r="J1175" s="731"/>
      <c r="K1175" s="731" t="str">
        <f t="shared" si="54"/>
        <v/>
      </c>
      <c r="L1175" s="726"/>
      <c r="M1175" s="726"/>
      <c r="N1175" s="726"/>
      <c r="O1175" s="726"/>
      <c r="P1175" s="726"/>
      <c r="Q1175" s="726"/>
      <c r="R1175" s="726"/>
      <c r="S1175" s="726"/>
      <c r="T1175" s="726"/>
      <c r="U1175" s="726"/>
      <c r="V1175" s="726"/>
      <c r="W1175" s="726"/>
      <c r="X1175" s="726"/>
      <c r="Y1175" s="726"/>
      <c r="Z1175" s="726"/>
      <c r="AA1175" s="732"/>
      <c r="AB1175" s="732"/>
      <c r="AC1175" s="732"/>
      <c r="AD1175" s="732"/>
      <c r="AE1175" s="733"/>
      <c r="AF1175" s="734" t="str">
        <f t="shared" si="56"/>
        <v/>
      </c>
      <c r="AG1175" s="772"/>
      <c r="AH1175" s="777"/>
      <c r="AI1175" s="735"/>
      <c r="AJ1175" s="735"/>
      <c r="AK1175" s="735"/>
      <c r="AL1175" s="735"/>
      <c r="AM1175" s="735"/>
      <c r="AN1175" s="735"/>
      <c r="AO1175" s="735"/>
      <c r="AP1175" s="735"/>
      <c r="AQ1175" s="735"/>
      <c r="AR1175" s="735"/>
      <c r="AS1175" s="735"/>
      <c r="AT1175" s="735"/>
      <c r="AU1175" s="735"/>
      <c r="AV1175" s="735"/>
      <c r="AW1175" s="735"/>
      <c r="AX1175" s="735"/>
      <c r="AY1175" s="735"/>
      <c r="AZ1175" s="735"/>
      <c r="BA1175" s="735"/>
      <c r="BB1175" s="735"/>
      <c r="BC1175" s="735"/>
      <c r="BD1175" s="735"/>
      <c r="BE1175" s="735"/>
      <c r="BF1175" s="735"/>
      <c r="BG1175" s="735"/>
      <c r="BH1175" s="735"/>
      <c r="BI1175" s="735"/>
      <c r="BJ1175" s="735"/>
      <c r="BK1175" s="735"/>
      <c r="BL1175" s="735"/>
    </row>
    <row r="1176" spans="1:64" ht="18.75" x14ac:dyDescent="0.25">
      <c r="A1176" s="758"/>
      <c r="B1176" s="737"/>
      <c r="C1176" s="730"/>
      <c r="D1176" s="739"/>
      <c r="E1176" s="765"/>
      <c r="F1176" s="765"/>
      <c r="G1176" s="765"/>
      <c r="H1176" s="765"/>
      <c r="I1176" s="746" t="str">
        <f t="shared" si="55"/>
        <v/>
      </c>
      <c r="J1176" s="731"/>
      <c r="K1176" s="731" t="str">
        <f t="shared" si="54"/>
        <v/>
      </c>
      <c r="L1176" s="726"/>
      <c r="M1176" s="726"/>
      <c r="N1176" s="726"/>
      <c r="O1176" s="726"/>
      <c r="P1176" s="726"/>
      <c r="Q1176" s="726"/>
      <c r="R1176" s="726"/>
      <c r="S1176" s="726"/>
      <c r="T1176" s="726"/>
      <c r="U1176" s="726"/>
      <c r="V1176" s="726"/>
      <c r="W1176" s="726"/>
      <c r="X1176" s="726"/>
      <c r="Y1176" s="726"/>
      <c r="Z1176" s="726"/>
      <c r="AA1176" s="732"/>
      <c r="AB1176" s="732"/>
      <c r="AC1176" s="732"/>
      <c r="AD1176" s="732"/>
      <c r="AE1176" s="733"/>
      <c r="AF1176" s="734" t="str">
        <f t="shared" si="56"/>
        <v/>
      </c>
      <c r="AG1176" s="773"/>
    </row>
    <row r="1177" spans="1:64" ht="18.75" x14ac:dyDescent="0.25">
      <c r="A1177" s="758"/>
      <c r="B1177" s="737"/>
      <c r="C1177" s="730"/>
      <c r="D1177" s="739"/>
      <c r="E1177" s="765"/>
      <c r="F1177" s="765"/>
      <c r="G1177" s="765"/>
      <c r="H1177" s="765"/>
      <c r="I1177" s="746" t="str">
        <f t="shared" si="55"/>
        <v/>
      </c>
      <c r="J1177" s="731"/>
      <c r="K1177" s="731" t="str">
        <f t="shared" si="54"/>
        <v/>
      </c>
      <c r="L1177" s="726"/>
      <c r="M1177" s="726"/>
      <c r="N1177" s="726"/>
      <c r="O1177" s="726"/>
      <c r="P1177" s="726"/>
      <c r="Q1177" s="726"/>
      <c r="R1177" s="726"/>
      <c r="S1177" s="726"/>
      <c r="T1177" s="726"/>
      <c r="U1177" s="726"/>
      <c r="V1177" s="726"/>
      <c r="W1177" s="726"/>
      <c r="X1177" s="726"/>
      <c r="Y1177" s="726"/>
      <c r="Z1177" s="726"/>
      <c r="AA1177" s="732"/>
      <c r="AB1177" s="732"/>
      <c r="AC1177" s="732"/>
      <c r="AD1177" s="732"/>
      <c r="AE1177" s="733"/>
      <c r="AF1177" s="734" t="str">
        <f t="shared" si="56"/>
        <v/>
      </c>
      <c r="AG1177" s="773"/>
    </row>
    <row r="1178" spans="1:64" ht="18.75" x14ac:dyDescent="0.25">
      <c r="A1178" s="758"/>
      <c r="B1178" s="737"/>
      <c r="C1178" s="730"/>
      <c r="D1178" s="739"/>
      <c r="E1178" s="765"/>
      <c r="F1178" s="765"/>
      <c r="G1178" s="765"/>
      <c r="H1178" s="765"/>
      <c r="I1178" s="746" t="str">
        <f t="shared" si="55"/>
        <v/>
      </c>
      <c r="J1178" s="731"/>
      <c r="K1178" s="731" t="str">
        <f t="shared" si="54"/>
        <v/>
      </c>
      <c r="L1178" s="726"/>
      <c r="M1178" s="726"/>
      <c r="N1178" s="726"/>
      <c r="O1178" s="726"/>
      <c r="P1178" s="726"/>
      <c r="Q1178" s="726"/>
      <c r="R1178" s="726"/>
      <c r="S1178" s="726"/>
      <c r="T1178" s="726"/>
      <c r="U1178" s="726"/>
      <c r="V1178" s="726"/>
      <c r="W1178" s="726"/>
      <c r="X1178" s="726"/>
      <c r="Y1178" s="726"/>
      <c r="Z1178" s="726"/>
      <c r="AA1178" s="732"/>
      <c r="AB1178" s="732"/>
      <c r="AC1178" s="732"/>
      <c r="AD1178" s="732"/>
      <c r="AE1178" s="733"/>
      <c r="AF1178" s="734" t="str">
        <f t="shared" si="56"/>
        <v/>
      </c>
      <c r="AG1178" s="773"/>
    </row>
    <row r="1179" spans="1:64" ht="18.75" x14ac:dyDescent="0.25">
      <c r="A1179" s="758"/>
      <c r="B1179" s="737"/>
      <c r="C1179" s="730"/>
      <c r="D1179" s="739"/>
      <c r="E1179" s="765"/>
      <c r="F1179" s="765"/>
      <c r="G1179" s="765"/>
      <c r="H1179" s="765"/>
      <c r="I1179" s="746" t="str">
        <f t="shared" si="55"/>
        <v/>
      </c>
      <c r="J1179" s="731"/>
      <c r="K1179" s="731" t="str">
        <f t="shared" si="54"/>
        <v/>
      </c>
      <c r="L1179" s="726"/>
      <c r="M1179" s="726"/>
      <c r="N1179" s="726"/>
      <c r="O1179" s="726"/>
      <c r="P1179" s="726"/>
      <c r="Q1179" s="726"/>
      <c r="R1179" s="726"/>
      <c r="S1179" s="726"/>
      <c r="T1179" s="726"/>
      <c r="U1179" s="726"/>
      <c r="V1179" s="726"/>
      <c r="W1179" s="726"/>
      <c r="X1179" s="726"/>
      <c r="Y1179" s="726"/>
      <c r="Z1179" s="726"/>
      <c r="AA1179" s="732"/>
      <c r="AB1179" s="732"/>
      <c r="AC1179" s="732"/>
      <c r="AD1179" s="732"/>
      <c r="AE1179" s="733"/>
      <c r="AF1179" s="734" t="str">
        <f t="shared" si="56"/>
        <v/>
      </c>
      <c r="AG1179" s="773"/>
    </row>
    <row r="1180" spans="1:64" ht="18.75" x14ac:dyDescent="0.25">
      <c r="A1180" s="758"/>
      <c r="B1180" s="737"/>
      <c r="C1180" s="730"/>
      <c r="D1180" s="739"/>
      <c r="E1180" s="765"/>
      <c r="F1180" s="765"/>
      <c r="G1180" s="765"/>
      <c r="H1180" s="765"/>
      <c r="I1180" s="746" t="str">
        <f t="shared" si="55"/>
        <v/>
      </c>
      <c r="J1180" s="731"/>
      <c r="K1180" s="731" t="str">
        <f t="shared" si="54"/>
        <v/>
      </c>
      <c r="L1180" s="726"/>
      <c r="M1180" s="726"/>
      <c r="N1180" s="726"/>
      <c r="O1180" s="726"/>
      <c r="P1180" s="726"/>
      <c r="Q1180" s="726"/>
      <c r="R1180" s="726"/>
      <c r="S1180" s="726"/>
      <c r="T1180" s="726"/>
      <c r="U1180" s="726"/>
      <c r="V1180" s="726"/>
      <c r="W1180" s="726"/>
      <c r="X1180" s="726"/>
      <c r="Y1180" s="726"/>
      <c r="Z1180" s="726"/>
      <c r="AA1180" s="732"/>
      <c r="AB1180" s="732"/>
      <c r="AC1180" s="732"/>
      <c r="AD1180" s="732"/>
      <c r="AE1180" s="733"/>
      <c r="AF1180" s="734" t="str">
        <f t="shared" si="56"/>
        <v/>
      </c>
      <c r="AG1180" s="773"/>
    </row>
    <row r="1181" spans="1:64" ht="18.75" x14ac:dyDescent="0.25">
      <c r="A1181" s="758"/>
      <c r="B1181" s="737"/>
      <c r="C1181" s="730"/>
      <c r="D1181" s="739"/>
      <c r="E1181" s="765"/>
      <c r="F1181" s="765"/>
      <c r="G1181" s="765"/>
      <c r="H1181" s="765"/>
      <c r="I1181" s="746" t="str">
        <f t="shared" si="55"/>
        <v/>
      </c>
      <c r="J1181" s="731"/>
      <c r="K1181" s="731" t="str">
        <f t="shared" si="54"/>
        <v/>
      </c>
      <c r="L1181" s="726"/>
      <c r="M1181" s="726"/>
      <c r="N1181" s="726"/>
      <c r="O1181" s="726"/>
      <c r="P1181" s="726"/>
      <c r="Q1181" s="726"/>
      <c r="R1181" s="726"/>
      <c r="S1181" s="726"/>
      <c r="T1181" s="726"/>
      <c r="U1181" s="726"/>
      <c r="V1181" s="726"/>
      <c r="W1181" s="726"/>
      <c r="X1181" s="726"/>
      <c r="Y1181" s="726"/>
      <c r="Z1181" s="726"/>
      <c r="AA1181" s="732"/>
      <c r="AB1181" s="732"/>
      <c r="AC1181" s="732"/>
      <c r="AD1181" s="732"/>
      <c r="AE1181" s="733"/>
      <c r="AF1181" s="734" t="str">
        <f t="shared" si="56"/>
        <v/>
      </c>
      <c r="AG1181" s="773"/>
    </row>
    <row r="1182" spans="1:64" ht="18.75" x14ac:dyDescent="0.25">
      <c r="A1182" s="758"/>
      <c r="B1182" s="737"/>
      <c r="C1182" s="730"/>
      <c r="D1182" s="739"/>
      <c r="E1182" s="765"/>
      <c r="F1182" s="765"/>
      <c r="G1182" s="765"/>
      <c r="H1182" s="765"/>
      <c r="I1182" s="746" t="str">
        <f t="shared" si="55"/>
        <v/>
      </c>
      <c r="J1182" s="731"/>
      <c r="K1182" s="731" t="str">
        <f t="shared" si="54"/>
        <v/>
      </c>
      <c r="L1182" s="726"/>
      <c r="M1182" s="726"/>
      <c r="N1182" s="726"/>
      <c r="O1182" s="726"/>
      <c r="P1182" s="726"/>
      <c r="Q1182" s="726"/>
      <c r="R1182" s="726"/>
      <c r="S1182" s="726"/>
      <c r="T1182" s="726"/>
      <c r="U1182" s="726"/>
      <c r="V1182" s="726"/>
      <c r="W1182" s="726"/>
      <c r="X1182" s="726"/>
      <c r="Y1182" s="726"/>
      <c r="Z1182" s="726"/>
      <c r="AA1182" s="732"/>
      <c r="AB1182" s="732"/>
      <c r="AC1182" s="732"/>
      <c r="AD1182" s="732"/>
      <c r="AE1182" s="733"/>
      <c r="AF1182" s="734" t="str">
        <f t="shared" si="56"/>
        <v/>
      </c>
      <c r="AG1182" s="773"/>
    </row>
    <row r="1183" spans="1:64" ht="18.75" x14ac:dyDescent="0.25">
      <c r="A1183" s="758"/>
      <c r="B1183" s="737"/>
      <c r="C1183" s="730"/>
      <c r="D1183" s="739"/>
      <c r="E1183" s="765"/>
      <c r="F1183" s="765"/>
      <c r="G1183" s="765"/>
      <c r="H1183" s="765"/>
      <c r="I1183" s="746" t="str">
        <f t="shared" si="55"/>
        <v/>
      </c>
      <c r="J1183" s="731"/>
      <c r="K1183" s="731" t="str">
        <f t="shared" si="54"/>
        <v/>
      </c>
      <c r="L1183" s="726"/>
      <c r="M1183" s="726"/>
      <c r="N1183" s="726"/>
      <c r="O1183" s="726"/>
      <c r="P1183" s="726"/>
      <c r="Q1183" s="726"/>
      <c r="R1183" s="726"/>
      <c r="S1183" s="726"/>
      <c r="T1183" s="726"/>
      <c r="U1183" s="726"/>
      <c r="V1183" s="726"/>
      <c r="W1183" s="726"/>
      <c r="X1183" s="726"/>
      <c r="Y1183" s="726"/>
      <c r="Z1183" s="726"/>
      <c r="AA1183" s="732"/>
      <c r="AB1183" s="732"/>
      <c r="AC1183" s="732"/>
      <c r="AD1183" s="732"/>
      <c r="AE1183" s="733"/>
      <c r="AF1183" s="734" t="str">
        <f t="shared" si="56"/>
        <v/>
      </c>
      <c r="AG1183" s="773"/>
    </row>
    <row r="1184" spans="1:64" ht="18.75" x14ac:dyDescent="0.25">
      <c r="A1184" s="758"/>
      <c r="B1184" s="737"/>
      <c r="C1184" s="730"/>
      <c r="D1184" s="739"/>
      <c r="E1184" s="765"/>
      <c r="F1184" s="765"/>
      <c r="G1184" s="765"/>
      <c r="H1184" s="765"/>
      <c r="I1184" s="746" t="str">
        <f t="shared" si="55"/>
        <v/>
      </c>
      <c r="J1184" s="731"/>
      <c r="K1184" s="731" t="str">
        <f t="shared" si="54"/>
        <v/>
      </c>
      <c r="L1184" s="726"/>
      <c r="M1184" s="726"/>
      <c r="N1184" s="726"/>
      <c r="O1184" s="726"/>
      <c r="P1184" s="726"/>
      <c r="Q1184" s="726"/>
      <c r="R1184" s="726"/>
      <c r="S1184" s="726"/>
      <c r="T1184" s="726"/>
      <c r="U1184" s="726"/>
      <c r="V1184" s="726"/>
      <c r="W1184" s="726"/>
      <c r="X1184" s="726"/>
      <c r="Y1184" s="726"/>
      <c r="Z1184" s="726"/>
      <c r="AA1184" s="732"/>
      <c r="AB1184" s="732"/>
      <c r="AC1184" s="732"/>
      <c r="AD1184" s="732"/>
      <c r="AE1184" s="733"/>
      <c r="AF1184" s="734" t="str">
        <f t="shared" si="56"/>
        <v/>
      </c>
      <c r="AG1184" s="773"/>
    </row>
    <row r="1185" spans="1:64" ht="18.75" x14ac:dyDescent="0.25">
      <c r="A1185" s="758"/>
      <c r="B1185" s="737"/>
      <c r="C1185" s="730"/>
      <c r="D1185" s="739"/>
      <c r="E1185" s="765"/>
      <c r="F1185" s="765"/>
      <c r="G1185" s="765"/>
      <c r="H1185" s="765"/>
      <c r="I1185" s="746" t="str">
        <f t="shared" si="55"/>
        <v/>
      </c>
      <c r="J1185" s="731"/>
      <c r="K1185" s="731" t="str">
        <f t="shared" si="54"/>
        <v/>
      </c>
      <c r="L1185" s="726"/>
      <c r="M1185" s="726"/>
      <c r="N1185" s="726"/>
      <c r="O1185" s="726"/>
      <c r="P1185" s="726"/>
      <c r="Q1185" s="726"/>
      <c r="R1185" s="726"/>
      <c r="S1185" s="726"/>
      <c r="T1185" s="726"/>
      <c r="U1185" s="726"/>
      <c r="V1185" s="726"/>
      <c r="W1185" s="726"/>
      <c r="X1185" s="726"/>
      <c r="Y1185" s="726"/>
      <c r="Z1185" s="726"/>
      <c r="AA1185" s="732"/>
      <c r="AB1185" s="732"/>
      <c r="AC1185" s="732"/>
      <c r="AD1185" s="732"/>
      <c r="AE1185" s="733"/>
      <c r="AF1185" s="734" t="str">
        <f t="shared" si="56"/>
        <v/>
      </c>
      <c r="AG1185" s="773"/>
    </row>
    <row r="1186" spans="1:64" ht="18.75" x14ac:dyDescent="0.25">
      <c r="A1186" s="758"/>
      <c r="B1186" s="737"/>
      <c r="C1186" s="730"/>
      <c r="D1186" s="739"/>
      <c r="E1186" s="765"/>
      <c r="F1186" s="765"/>
      <c r="G1186" s="765"/>
      <c r="H1186" s="765"/>
      <c r="I1186" s="746" t="str">
        <f t="shared" si="55"/>
        <v/>
      </c>
      <c r="J1186" s="731"/>
      <c r="K1186" s="731" t="str">
        <f t="shared" si="54"/>
        <v/>
      </c>
      <c r="L1186" s="726"/>
      <c r="M1186" s="726"/>
      <c r="N1186" s="726"/>
      <c r="O1186" s="726"/>
      <c r="P1186" s="726"/>
      <c r="Q1186" s="726"/>
      <c r="R1186" s="726"/>
      <c r="S1186" s="726"/>
      <c r="T1186" s="726"/>
      <c r="U1186" s="726"/>
      <c r="V1186" s="726"/>
      <c r="W1186" s="726"/>
      <c r="X1186" s="726"/>
      <c r="Y1186" s="726"/>
      <c r="Z1186" s="726"/>
      <c r="AA1186" s="732"/>
      <c r="AB1186" s="732"/>
      <c r="AC1186" s="732"/>
      <c r="AD1186" s="732"/>
      <c r="AE1186" s="733"/>
      <c r="AF1186" s="734" t="str">
        <f t="shared" si="56"/>
        <v/>
      </c>
      <c r="AG1186" s="773"/>
    </row>
    <row r="1187" spans="1:64" ht="18.75" x14ac:dyDescent="0.25">
      <c r="A1187" s="758"/>
      <c r="B1187" s="737"/>
      <c r="C1187" s="730"/>
      <c r="D1187" s="739"/>
      <c r="E1187" s="765"/>
      <c r="F1187" s="765"/>
      <c r="G1187" s="765"/>
      <c r="H1187" s="765"/>
      <c r="I1187" s="746" t="str">
        <f t="shared" si="55"/>
        <v/>
      </c>
      <c r="J1187" s="731"/>
      <c r="K1187" s="731" t="str">
        <f t="shared" si="54"/>
        <v/>
      </c>
      <c r="L1187" s="726"/>
      <c r="M1187" s="726"/>
      <c r="N1187" s="726"/>
      <c r="O1187" s="726"/>
      <c r="P1187" s="726"/>
      <c r="Q1187" s="726"/>
      <c r="R1187" s="726"/>
      <c r="S1187" s="726"/>
      <c r="T1187" s="726"/>
      <c r="U1187" s="726"/>
      <c r="V1187" s="726"/>
      <c r="W1187" s="726"/>
      <c r="X1187" s="726"/>
      <c r="Y1187" s="726"/>
      <c r="Z1187" s="726"/>
      <c r="AA1187" s="732"/>
      <c r="AB1187" s="732"/>
      <c r="AC1187" s="732"/>
      <c r="AD1187" s="732"/>
      <c r="AE1187" s="733"/>
      <c r="AF1187" s="734" t="str">
        <f t="shared" si="56"/>
        <v/>
      </c>
      <c r="AG1187" s="773"/>
    </row>
    <row r="1188" spans="1:64" ht="18.75" x14ac:dyDescent="0.25">
      <c r="A1188" s="758"/>
      <c r="B1188" s="737"/>
      <c r="C1188" s="730"/>
      <c r="D1188" s="739"/>
      <c r="E1188" s="765"/>
      <c r="F1188" s="765"/>
      <c r="G1188" s="765"/>
      <c r="H1188" s="765"/>
      <c r="I1188" s="746" t="str">
        <f t="shared" si="55"/>
        <v/>
      </c>
      <c r="J1188" s="731"/>
      <c r="K1188" s="731" t="str">
        <f t="shared" si="54"/>
        <v/>
      </c>
      <c r="L1188" s="726"/>
      <c r="M1188" s="726"/>
      <c r="N1188" s="726"/>
      <c r="O1188" s="726"/>
      <c r="P1188" s="726"/>
      <c r="Q1188" s="726"/>
      <c r="R1188" s="726"/>
      <c r="S1188" s="726"/>
      <c r="T1188" s="726"/>
      <c r="U1188" s="726"/>
      <c r="V1188" s="726"/>
      <c r="W1188" s="726"/>
      <c r="X1188" s="726"/>
      <c r="Y1188" s="726"/>
      <c r="Z1188" s="726"/>
      <c r="AA1188" s="732"/>
      <c r="AB1188" s="732"/>
      <c r="AC1188" s="732"/>
      <c r="AD1188" s="732"/>
      <c r="AE1188" s="733"/>
      <c r="AF1188" s="734" t="str">
        <f t="shared" si="56"/>
        <v/>
      </c>
      <c r="AG1188" s="773"/>
    </row>
    <row r="1189" spans="1:64" ht="18.75" x14ac:dyDescent="0.25">
      <c r="A1189" s="758"/>
      <c r="B1189" s="737"/>
      <c r="C1189" s="730"/>
      <c r="D1189" s="739"/>
      <c r="E1189" s="765"/>
      <c r="F1189" s="765"/>
      <c r="G1189" s="765"/>
      <c r="H1189" s="765"/>
      <c r="I1189" s="746" t="str">
        <f t="shared" si="55"/>
        <v/>
      </c>
      <c r="J1189" s="731"/>
      <c r="K1189" s="731" t="str">
        <f t="shared" si="54"/>
        <v/>
      </c>
      <c r="L1189" s="726"/>
      <c r="M1189" s="726"/>
      <c r="N1189" s="726"/>
      <c r="O1189" s="726"/>
      <c r="P1189" s="726"/>
      <c r="Q1189" s="726"/>
      <c r="R1189" s="726"/>
      <c r="S1189" s="726"/>
      <c r="T1189" s="726"/>
      <c r="U1189" s="726"/>
      <c r="V1189" s="726"/>
      <c r="W1189" s="726"/>
      <c r="X1189" s="726"/>
      <c r="Y1189" s="726"/>
      <c r="Z1189" s="726"/>
      <c r="AA1189" s="732"/>
      <c r="AB1189" s="732"/>
      <c r="AC1189" s="732"/>
      <c r="AD1189" s="732"/>
      <c r="AE1189" s="733"/>
      <c r="AF1189" s="734" t="str">
        <f t="shared" si="56"/>
        <v/>
      </c>
      <c r="AG1189" s="773"/>
    </row>
    <row r="1190" spans="1:64" ht="18.75" x14ac:dyDescent="0.25">
      <c r="A1190" s="758"/>
      <c r="B1190" s="737"/>
      <c r="C1190" s="730"/>
      <c r="D1190" s="739"/>
      <c r="E1190" s="765"/>
      <c r="F1190" s="765"/>
      <c r="G1190" s="765"/>
      <c r="H1190" s="765"/>
      <c r="I1190" s="746" t="str">
        <f t="shared" si="55"/>
        <v/>
      </c>
      <c r="J1190" s="731"/>
      <c r="K1190" s="731" t="str">
        <f t="shared" si="54"/>
        <v/>
      </c>
      <c r="L1190" s="726"/>
      <c r="M1190" s="726"/>
      <c r="N1190" s="726"/>
      <c r="O1190" s="726"/>
      <c r="P1190" s="726"/>
      <c r="Q1190" s="726"/>
      <c r="R1190" s="726"/>
      <c r="S1190" s="726"/>
      <c r="T1190" s="726"/>
      <c r="U1190" s="726"/>
      <c r="V1190" s="726"/>
      <c r="W1190" s="726"/>
      <c r="X1190" s="726"/>
      <c r="Y1190" s="726"/>
      <c r="Z1190" s="726"/>
      <c r="AA1190" s="732"/>
      <c r="AB1190" s="732"/>
      <c r="AC1190" s="732"/>
      <c r="AD1190" s="732"/>
      <c r="AE1190" s="733"/>
      <c r="AF1190" s="734" t="str">
        <f t="shared" si="56"/>
        <v/>
      </c>
      <c r="AG1190" s="773"/>
    </row>
    <row r="1191" spans="1:64" ht="18.75" x14ac:dyDescent="0.25">
      <c r="A1191" s="758"/>
      <c r="B1191" s="737"/>
      <c r="C1191" s="730"/>
      <c r="D1191" s="739"/>
      <c r="E1191" s="765"/>
      <c r="F1191" s="765"/>
      <c r="G1191" s="765"/>
      <c r="H1191" s="765"/>
      <c r="I1191" s="746" t="str">
        <f t="shared" si="55"/>
        <v/>
      </c>
      <c r="J1191" s="731"/>
      <c r="K1191" s="731" t="str">
        <f t="shared" si="54"/>
        <v/>
      </c>
      <c r="L1191" s="726"/>
      <c r="M1191" s="726"/>
      <c r="N1191" s="726"/>
      <c r="O1191" s="726"/>
      <c r="P1191" s="726"/>
      <c r="Q1191" s="726"/>
      <c r="R1191" s="726"/>
      <c r="S1191" s="726"/>
      <c r="T1191" s="726"/>
      <c r="U1191" s="726"/>
      <c r="V1191" s="726"/>
      <c r="W1191" s="726"/>
      <c r="X1191" s="726"/>
      <c r="Y1191" s="726"/>
      <c r="Z1191" s="726"/>
      <c r="AA1191" s="732"/>
      <c r="AB1191" s="732"/>
      <c r="AC1191" s="732"/>
      <c r="AD1191" s="732"/>
      <c r="AE1191" s="733"/>
      <c r="AF1191" s="734" t="str">
        <f t="shared" si="56"/>
        <v/>
      </c>
      <c r="AG1191" s="773"/>
    </row>
    <row r="1192" spans="1:64" ht="18.75" x14ac:dyDescent="0.25">
      <c r="A1192" s="758"/>
      <c r="B1192" s="737"/>
      <c r="C1192" s="730"/>
      <c r="D1192" s="739"/>
      <c r="E1192" s="765"/>
      <c r="F1192" s="765"/>
      <c r="G1192" s="765"/>
      <c r="H1192" s="765"/>
      <c r="I1192" s="746" t="str">
        <f t="shared" si="55"/>
        <v/>
      </c>
      <c r="J1192" s="731"/>
      <c r="K1192" s="731" t="str">
        <f t="shared" si="54"/>
        <v/>
      </c>
      <c r="L1192" s="726"/>
      <c r="M1192" s="726"/>
      <c r="N1192" s="726"/>
      <c r="O1192" s="726"/>
      <c r="P1192" s="726"/>
      <c r="Q1192" s="726"/>
      <c r="R1192" s="726"/>
      <c r="S1192" s="726"/>
      <c r="T1192" s="726"/>
      <c r="U1192" s="726"/>
      <c r="V1192" s="726"/>
      <c r="W1192" s="726"/>
      <c r="X1192" s="726"/>
      <c r="Y1192" s="726"/>
      <c r="Z1192" s="726"/>
      <c r="AA1192" s="732"/>
      <c r="AB1192" s="732"/>
      <c r="AC1192" s="732"/>
      <c r="AD1192" s="732"/>
      <c r="AE1192" s="733"/>
      <c r="AF1192" s="734" t="str">
        <f t="shared" si="56"/>
        <v/>
      </c>
      <c r="AG1192" s="773"/>
    </row>
    <row r="1193" spans="1:64" ht="18.75" x14ac:dyDescent="0.25">
      <c r="A1193" s="758"/>
      <c r="B1193" s="737"/>
      <c r="C1193" s="730"/>
      <c r="D1193" s="739"/>
      <c r="E1193" s="765"/>
      <c r="F1193" s="765"/>
      <c r="G1193" s="765"/>
      <c r="H1193" s="765"/>
      <c r="I1193" s="746" t="str">
        <f t="shared" si="55"/>
        <v/>
      </c>
      <c r="J1193" s="731"/>
      <c r="K1193" s="731" t="str">
        <f t="shared" si="54"/>
        <v/>
      </c>
      <c r="L1193" s="726"/>
      <c r="M1193" s="726"/>
      <c r="N1193" s="726"/>
      <c r="O1193" s="726"/>
      <c r="P1193" s="726"/>
      <c r="Q1193" s="726"/>
      <c r="R1193" s="726"/>
      <c r="S1193" s="726"/>
      <c r="T1193" s="726"/>
      <c r="U1193" s="726"/>
      <c r="V1193" s="726"/>
      <c r="W1193" s="726"/>
      <c r="X1193" s="726"/>
      <c r="Y1193" s="726"/>
      <c r="Z1193" s="726"/>
      <c r="AA1193" s="732"/>
      <c r="AB1193" s="732"/>
      <c r="AC1193" s="732"/>
      <c r="AD1193" s="732"/>
      <c r="AE1193" s="733"/>
      <c r="AF1193" s="734" t="str">
        <f t="shared" si="56"/>
        <v/>
      </c>
      <c r="AG1193" s="774"/>
      <c r="AH1193" s="778"/>
      <c r="AI1193" s="736"/>
      <c r="AJ1193" s="736"/>
      <c r="AK1193" s="736"/>
      <c r="AL1193" s="736"/>
      <c r="AM1193" s="736"/>
      <c r="AN1193" s="736"/>
      <c r="AO1193" s="736"/>
      <c r="AP1193" s="736"/>
      <c r="AQ1193" s="736"/>
      <c r="AR1193" s="736"/>
      <c r="AS1193" s="736"/>
      <c r="AT1193" s="736"/>
      <c r="AU1193" s="736"/>
      <c r="AV1193" s="736"/>
      <c r="AW1193" s="736"/>
      <c r="AX1193" s="736"/>
      <c r="AY1193" s="736"/>
      <c r="AZ1193" s="736"/>
      <c r="BA1193" s="736"/>
      <c r="BB1193" s="736"/>
      <c r="BC1193" s="736"/>
      <c r="BD1193" s="736"/>
      <c r="BE1193" s="736"/>
      <c r="BF1193" s="736"/>
      <c r="BG1193" s="736"/>
      <c r="BH1193" s="736"/>
      <c r="BI1193" s="736"/>
      <c r="BJ1193" s="736"/>
      <c r="BK1193" s="736"/>
      <c r="BL1193" s="736"/>
    </row>
    <row r="1194" spans="1:64" ht="18.75" x14ac:dyDescent="0.25">
      <c r="A1194" s="758"/>
      <c r="B1194" s="737"/>
      <c r="C1194" s="730"/>
      <c r="D1194" s="739"/>
      <c r="E1194" s="765"/>
      <c r="F1194" s="765"/>
      <c r="G1194" s="765"/>
      <c r="H1194" s="765"/>
      <c r="I1194" s="746" t="str">
        <f t="shared" si="55"/>
        <v/>
      </c>
      <c r="J1194" s="731"/>
      <c r="K1194" s="731" t="str">
        <f t="shared" si="54"/>
        <v/>
      </c>
      <c r="L1194" s="726"/>
      <c r="M1194" s="726"/>
      <c r="N1194" s="726"/>
      <c r="O1194" s="726"/>
      <c r="P1194" s="726"/>
      <c r="Q1194" s="726"/>
      <c r="R1194" s="726"/>
      <c r="S1194" s="726"/>
      <c r="T1194" s="726"/>
      <c r="U1194" s="726"/>
      <c r="V1194" s="726"/>
      <c r="W1194" s="726"/>
      <c r="X1194" s="726"/>
      <c r="Y1194" s="726"/>
      <c r="Z1194" s="726"/>
      <c r="AA1194" s="732"/>
      <c r="AB1194" s="732"/>
      <c r="AC1194" s="732"/>
      <c r="AD1194" s="732"/>
      <c r="AE1194" s="733"/>
      <c r="AF1194" s="734" t="str">
        <f t="shared" si="56"/>
        <v/>
      </c>
      <c r="AG1194" s="774"/>
      <c r="AH1194" s="778"/>
      <c r="AI1194" s="736"/>
      <c r="AJ1194" s="736"/>
      <c r="AK1194" s="736"/>
      <c r="AL1194" s="736"/>
      <c r="AM1194" s="736"/>
      <c r="AN1194" s="736"/>
      <c r="AO1194" s="736"/>
      <c r="AP1194" s="736"/>
      <c r="AQ1194" s="736"/>
      <c r="AR1194" s="736"/>
      <c r="AS1194" s="736"/>
      <c r="AT1194" s="736"/>
      <c r="AU1194" s="736"/>
      <c r="AV1194" s="736"/>
      <c r="AW1194" s="736"/>
      <c r="AX1194" s="736"/>
      <c r="AY1194" s="736"/>
      <c r="AZ1194" s="736"/>
      <c r="BA1194" s="736"/>
      <c r="BB1194" s="736"/>
      <c r="BC1194" s="736"/>
      <c r="BD1194" s="736"/>
      <c r="BE1194" s="736"/>
      <c r="BF1194" s="736"/>
      <c r="BG1194" s="736"/>
      <c r="BH1194" s="736"/>
      <c r="BI1194" s="736"/>
      <c r="BJ1194" s="736"/>
      <c r="BK1194" s="736"/>
      <c r="BL1194" s="736"/>
    </row>
    <row r="1195" spans="1:64" ht="18.75" x14ac:dyDescent="0.25">
      <c r="A1195" s="758"/>
      <c r="B1195" s="737"/>
      <c r="C1195" s="730"/>
      <c r="D1195" s="739"/>
      <c r="E1195" s="765"/>
      <c r="F1195" s="765"/>
      <c r="G1195" s="765"/>
      <c r="H1195" s="765"/>
      <c r="I1195" s="746" t="str">
        <f t="shared" si="55"/>
        <v/>
      </c>
      <c r="J1195" s="731"/>
      <c r="K1195" s="731" t="str">
        <f t="shared" si="54"/>
        <v/>
      </c>
      <c r="L1195" s="726"/>
      <c r="M1195" s="726"/>
      <c r="N1195" s="726"/>
      <c r="O1195" s="726"/>
      <c r="P1195" s="726"/>
      <c r="Q1195" s="726"/>
      <c r="R1195" s="726"/>
      <c r="S1195" s="726"/>
      <c r="T1195" s="726"/>
      <c r="U1195" s="726"/>
      <c r="V1195" s="726"/>
      <c r="W1195" s="726"/>
      <c r="X1195" s="726"/>
      <c r="Y1195" s="726"/>
      <c r="Z1195" s="726"/>
      <c r="AA1195" s="732"/>
      <c r="AB1195" s="732"/>
      <c r="AC1195" s="732"/>
      <c r="AD1195" s="732"/>
      <c r="AE1195" s="733"/>
      <c r="AF1195" s="734" t="str">
        <f t="shared" si="56"/>
        <v/>
      </c>
      <c r="AG1195" s="773"/>
    </row>
    <row r="1196" spans="1:64" ht="18.75" x14ac:dyDescent="0.25">
      <c r="A1196" s="758"/>
      <c r="B1196" s="737"/>
      <c r="C1196" s="730"/>
      <c r="D1196" s="739"/>
      <c r="E1196" s="765"/>
      <c r="F1196" s="765"/>
      <c r="G1196" s="765"/>
      <c r="H1196" s="765"/>
      <c r="I1196" s="746" t="str">
        <f t="shared" si="55"/>
        <v/>
      </c>
      <c r="J1196" s="731"/>
      <c r="K1196" s="731" t="str">
        <f t="shared" si="54"/>
        <v/>
      </c>
      <c r="L1196" s="726"/>
      <c r="M1196" s="726"/>
      <c r="N1196" s="726"/>
      <c r="O1196" s="726"/>
      <c r="P1196" s="726"/>
      <c r="Q1196" s="726"/>
      <c r="R1196" s="726"/>
      <c r="S1196" s="726"/>
      <c r="T1196" s="726"/>
      <c r="U1196" s="726"/>
      <c r="V1196" s="726"/>
      <c r="W1196" s="726"/>
      <c r="X1196" s="726"/>
      <c r="Y1196" s="726"/>
      <c r="Z1196" s="726"/>
      <c r="AA1196" s="732"/>
      <c r="AB1196" s="732"/>
      <c r="AC1196" s="732"/>
      <c r="AD1196" s="732"/>
      <c r="AE1196" s="733"/>
      <c r="AF1196" s="734" t="str">
        <f t="shared" si="56"/>
        <v/>
      </c>
      <c r="AG1196" s="773"/>
    </row>
    <row r="1197" spans="1:64" ht="18.75" x14ac:dyDescent="0.25">
      <c r="A1197" s="758"/>
      <c r="B1197" s="737"/>
      <c r="C1197" s="730"/>
      <c r="D1197" s="739"/>
      <c r="E1197" s="765"/>
      <c r="F1197" s="765"/>
      <c r="G1197" s="765"/>
      <c r="H1197" s="765"/>
      <c r="I1197" s="746" t="str">
        <f t="shared" si="55"/>
        <v/>
      </c>
      <c r="J1197" s="731"/>
      <c r="K1197" s="731" t="str">
        <f t="shared" si="54"/>
        <v/>
      </c>
      <c r="L1197" s="726"/>
      <c r="M1197" s="726"/>
      <c r="N1197" s="726"/>
      <c r="O1197" s="726"/>
      <c r="P1197" s="726"/>
      <c r="Q1197" s="726"/>
      <c r="R1197" s="726"/>
      <c r="S1197" s="726"/>
      <c r="T1197" s="726"/>
      <c r="U1197" s="726"/>
      <c r="V1197" s="726"/>
      <c r="W1197" s="726"/>
      <c r="X1197" s="726"/>
      <c r="Y1197" s="726"/>
      <c r="Z1197" s="726"/>
      <c r="AA1197" s="732"/>
      <c r="AB1197" s="732"/>
      <c r="AC1197" s="732"/>
      <c r="AD1197" s="732"/>
      <c r="AE1197" s="733"/>
      <c r="AF1197" s="734" t="str">
        <f t="shared" si="56"/>
        <v/>
      </c>
      <c r="AG1197" s="774"/>
      <c r="AH1197" s="778"/>
      <c r="AI1197" s="736"/>
      <c r="AJ1197" s="736"/>
      <c r="AK1197" s="736"/>
      <c r="AL1197" s="736"/>
      <c r="AM1197" s="736"/>
      <c r="AN1197" s="736"/>
      <c r="AO1197" s="736"/>
      <c r="AP1197" s="736"/>
      <c r="AQ1197" s="736"/>
      <c r="AR1197" s="736"/>
      <c r="AS1197" s="736"/>
      <c r="AT1197" s="736"/>
      <c r="AU1197" s="736"/>
      <c r="AV1197" s="736"/>
      <c r="AW1197" s="736"/>
      <c r="AX1197" s="736"/>
      <c r="AY1197" s="736"/>
      <c r="AZ1197" s="736"/>
      <c r="BA1197" s="736"/>
      <c r="BB1197" s="736"/>
      <c r="BC1197" s="736"/>
      <c r="BD1197" s="736"/>
      <c r="BE1197" s="736"/>
      <c r="BF1197" s="736"/>
      <c r="BG1197" s="736"/>
      <c r="BH1197" s="736"/>
      <c r="BI1197" s="736"/>
      <c r="BJ1197" s="736"/>
      <c r="BK1197" s="736"/>
      <c r="BL1197" s="736"/>
    </row>
    <row r="1198" spans="1:64" ht="18.75" x14ac:dyDescent="0.25">
      <c r="A1198" s="758"/>
      <c r="B1198" s="737"/>
      <c r="C1198" s="730"/>
      <c r="D1198" s="739"/>
      <c r="E1198" s="765"/>
      <c r="F1198" s="765"/>
      <c r="G1198" s="765"/>
      <c r="H1198" s="765"/>
      <c r="I1198" s="746" t="str">
        <f t="shared" si="55"/>
        <v/>
      </c>
      <c r="J1198" s="731"/>
      <c r="K1198" s="731" t="str">
        <f t="shared" si="54"/>
        <v/>
      </c>
      <c r="L1198" s="726"/>
      <c r="M1198" s="726"/>
      <c r="N1198" s="726"/>
      <c r="O1198" s="726"/>
      <c r="P1198" s="726"/>
      <c r="Q1198" s="726"/>
      <c r="R1198" s="726"/>
      <c r="S1198" s="726"/>
      <c r="T1198" s="726"/>
      <c r="U1198" s="726"/>
      <c r="V1198" s="726"/>
      <c r="W1198" s="726"/>
      <c r="X1198" s="726"/>
      <c r="Y1198" s="726"/>
      <c r="Z1198" s="726"/>
      <c r="AA1198" s="732"/>
      <c r="AB1198" s="732"/>
      <c r="AC1198" s="732"/>
      <c r="AD1198" s="732"/>
      <c r="AE1198" s="733"/>
      <c r="AF1198" s="734" t="str">
        <f t="shared" si="56"/>
        <v/>
      </c>
      <c r="AG1198" s="773"/>
    </row>
    <row r="1199" spans="1:64" ht="18.75" x14ac:dyDescent="0.25">
      <c r="A1199" s="758"/>
      <c r="B1199" s="737"/>
      <c r="C1199" s="730"/>
      <c r="D1199" s="739"/>
      <c r="E1199" s="765"/>
      <c r="F1199" s="765"/>
      <c r="G1199" s="765"/>
      <c r="H1199" s="765"/>
      <c r="I1199" s="746" t="str">
        <f t="shared" si="55"/>
        <v/>
      </c>
      <c r="J1199" s="731"/>
      <c r="K1199" s="731" t="str">
        <f t="shared" si="54"/>
        <v/>
      </c>
      <c r="L1199" s="726"/>
      <c r="M1199" s="726"/>
      <c r="N1199" s="726"/>
      <c r="O1199" s="726"/>
      <c r="P1199" s="726"/>
      <c r="Q1199" s="726"/>
      <c r="R1199" s="726"/>
      <c r="S1199" s="726"/>
      <c r="T1199" s="726"/>
      <c r="U1199" s="726"/>
      <c r="V1199" s="726"/>
      <c r="W1199" s="726"/>
      <c r="X1199" s="726"/>
      <c r="Y1199" s="726"/>
      <c r="Z1199" s="726"/>
      <c r="AA1199" s="732"/>
      <c r="AB1199" s="732"/>
      <c r="AC1199" s="732"/>
      <c r="AD1199" s="732"/>
      <c r="AE1199" s="733"/>
      <c r="AF1199" s="734" t="str">
        <f t="shared" si="56"/>
        <v/>
      </c>
      <c r="AG1199" s="773"/>
    </row>
    <row r="1200" spans="1:64" ht="18.75" x14ac:dyDescent="0.25">
      <c r="A1200" s="758"/>
      <c r="B1200" s="737"/>
      <c r="C1200" s="730"/>
      <c r="D1200" s="739"/>
      <c r="E1200" s="765"/>
      <c r="F1200" s="765"/>
      <c r="G1200" s="765"/>
      <c r="H1200" s="765"/>
      <c r="I1200" s="746" t="str">
        <f t="shared" si="55"/>
        <v/>
      </c>
      <c r="J1200" s="731"/>
      <c r="K1200" s="731" t="str">
        <f t="shared" si="54"/>
        <v/>
      </c>
      <c r="L1200" s="726"/>
      <c r="M1200" s="726"/>
      <c r="N1200" s="726"/>
      <c r="O1200" s="726"/>
      <c r="P1200" s="726"/>
      <c r="Q1200" s="726"/>
      <c r="R1200" s="726"/>
      <c r="S1200" s="726"/>
      <c r="T1200" s="726"/>
      <c r="U1200" s="726"/>
      <c r="V1200" s="726"/>
      <c r="W1200" s="726"/>
      <c r="X1200" s="726"/>
      <c r="Y1200" s="726"/>
      <c r="Z1200" s="726"/>
      <c r="AA1200" s="732"/>
      <c r="AB1200" s="732"/>
      <c r="AC1200" s="732"/>
      <c r="AD1200" s="732"/>
      <c r="AE1200" s="733"/>
      <c r="AF1200" s="734" t="str">
        <f t="shared" si="56"/>
        <v/>
      </c>
      <c r="AG1200" s="774"/>
      <c r="AH1200" s="778"/>
      <c r="AI1200" s="736"/>
      <c r="AJ1200" s="736"/>
      <c r="AK1200" s="736"/>
      <c r="AL1200" s="736"/>
      <c r="AM1200" s="736"/>
      <c r="AN1200" s="736"/>
      <c r="AO1200" s="736"/>
      <c r="AP1200" s="736"/>
      <c r="AQ1200" s="736"/>
      <c r="AR1200" s="736"/>
      <c r="AS1200" s="736"/>
      <c r="AT1200" s="736"/>
      <c r="AU1200" s="736"/>
      <c r="AV1200" s="736"/>
      <c r="AW1200" s="736"/>
      <c r="AX1200" s="736"/>
      <c r="AY1200" s="736"/>
      <c r="AZ1200" s="736"/>
      <c r="BA1200" s="736"/>
      <c r="BB1200" s="736"/>
      <c r="BC1200" s="736"/>
      <c r="BD1200" s="736"/>
      <c r="BE1200" s="736"/>
      <c r="BF1200" s="736"/>
      <c r="BG1200" s="736"/>
      <c r="BH1200" s="736"/>
      <c r="BI1200" s="736"/>
      <c r="BJ1200" s="736"/>
      <c r="BK1200" s="736"/>
      <c r="BL1200" s="736"/>
    </row>
    <row r="1201" spans="1:64" ht="18.75" x14ac:dyDescent="0.25">
      <c r="A1201" s="758"/>
      <c r="B1201" s="737"/>
      <c r="C1201" s="730"/>
      <c r="D1201" s="739"/>
      <c r="E1201" s="765"/>
      <c r="F1201" s="765"/>
      <c r="G1201" s="765"/>
      <c r="H1201" s="765"/>
      <c r="I1201" s="746" t="str">
        <f t="shared" si="55"/>
        <v/>
      </c>
      <c r="J1201" s="731"/>
      <c r="K1201" s="731" t="str">
        <f t="shared" si="54"/>
        <v/>
      </c>
      <c r="L1201" s="726"/>
      <c r="M1201" s="726"/>
      <c r="N1201" s="726"/>
      <c r="O1201" s="726"/>
      <c r="P1201" s="726"/>
      <c r="Q1201" s="726"/>
      <c r="R1201" s="726"/>
      <c r="S1201" s="726"/>
      <c r="T1201" s="726"/>
      <c r="U1201" s="726"/>
      <c r="V1201" s="726"/>
      <c r="W1201" s="726"/>
      <c r="X1201" s="726"/>
      <c r="Y1201" s="726"/>
      <c r="Z1201" s="726"/>
      <c r="AA1201" s="732"/>
      <c r="AB1201" s="732"/>
      <c r="AC1201" s="732"/>
      <c r="AD1201" s="732"/>
      <c r="AE1201" s="733"/>
      <c r="AF1201" s="734" t="str">
        <f t="shared" si="56"/>
        <v/>
      </c>
      <c r="AG1201" s="773"/>
    </row>
    <row r="1202" spans="1:64" ht="18.75" x14ac:dyDescent="0.25">
      <c r="A1202" s="758"/>
      <c r="B1202" s="737"/>
      <c r="C1202" s="730"/>
      <c r="D1202" s="739"/>
      <c r="E1202" s="765"/>
      <c r="F1202" s="765"/>
      <c r="G1202" s="765"/>
      <c r="H1202" s="765"/>
      <c r="I1202" s="746" t="str">
        <f t="shared" si="55"/>
        <v/>
      </c>
      <c r="J1202" s="731"/>
      <c r="K1202" s="731" t="str">
        <f t="shared" si="54"/>
        <v/>
      </c>
      <c r="L1202" s="726"/>
      <c r="M1202" s="726"/>
      <c r="N1202" s="726"/>
      <c r="O1202" s="726"/>
      <c r="P1202" s="726"/>
      <c r="Q1202" s="726"/>
      <c r="R1202" s="726"/>
      <c r="S1202" s="726"/>
      <c r="T1202" s="726"/>
      <c r="U1202" s="726"/>
      <c r="V1202" s="726"/>
      <c r="W1202" s="726"/>
      <c r="X1202" s="726"/>
      <c r="Y1202" s="726"/>
      <c r="Z1202" s="726"/>
      <c r="AA1202" s="732"/>
      <c r="AB1202" s="732"/>
      <c r="AC1202" s="732"/>
      <c r="AD1202" s="732"/>
      <c r="AE1202" s="733"/>
      <c r="AF1202" s="734" t="str">
        <f t="shared" si="56"/>
        <v/>
      </c>
      <c r="AG1202" s="774"/>
      <c r="AH1202" s="778"/>
      <c r="AI1202" s="736"/>
      <c r="AJ1202" s="736"/>
      <c r="AK1202" s="736"/>
      <c r="AL1202" s="736"/>
      <c r="AM1202" s="736"/>
      <c r="AN1202" s="736"/>
      <c r="AO1202" s="736"/>
      <c r="AP1202" s="736"/>
      <c r="AQ1202" s="736"/>
      <c r="AR1202" s="736"/>
      <c r="AS1202" s="736"/>
      <c r="AT1202" s="736"/>
      <c r="AU1202" s="736"/>
      <c r="AV1202" s="736"/>
      <c r="AW1202" s="736"/>
      <c r="AX1202" s="736"/>
      <c r="AY1202" s="736"/>
      <c r="AZ1202" s="736"/>
      <c r="BA1202" s="736"/>
      <c r="BB1202" s="736"/>
      <c r="BC1202" s="736"/>
      <c r="BD1202" s="736"/>
      <c r="BE1202" s="736"/>
      <c r="BF1202" s="736"/>
      <c r="BG1202" s="736"/>
      <c r="BH1202" s="736"/>
      <c r="BI1202" s="736"/>
      <c r="BJ1202" s="736"/>
      <c r="BK1202" s="736"/>
      <c r="BL1202" s="736"/>
    </row>
    <row r="1203" spans="1:64" ht="18.75" x14ac:dyDescent="0.25">
      <c r="A1203" s="758"/>
      <c r="B1203" s="737"/>
      <c r="C1203" s="730"/>
      <c r="D1203" s="739"/>
      <c r="E1203" s="765"/>
      <c r="F1203" s="765"/>
      <c r="G1203" s="765"/>
      <c r="H1203" s="765"/>
      <c r="I1203" s="746" t="str">
        <f t="shared" si="55"/>
        <v/>
      </c>
      <c r="J1203" s="731"/>
      <c r="K1203" s="731" t="str">
        <f t="shared" si="54"/>
        <v/>
      </c>
      <c r="L1203" s="726"/>
      <c r="M1203" s="726"/>
      <c r="N1203" s="726"/>
      <c r="O1203" s="726"/>
      <c r="P1203" s="726"/>
      <c r="Q1203" s="726"/>
      <c r="R1203" s="726"/>
      <c r="S1203" s="726"/>
      <c r="T1203" s="726"/>
      <c r="U1203" s="726"/>
      <c r="V1203" s="726"/>
      <c r="W1203" s="726"/>
      <c r="X1203" s="726"/>
      <c r="Y1203" s="726"/>
      <c r="Z1203" s="726"/>
      <c r="AA1203" s="732"/>
      <c r="AB1203" s="732"/>
      <c r="AC1203" s="732"/>
      <c r="AD1203" s="732"/>
      <c r="AE1203" s="733"/>
      <c r="AF1203" s="734" t="str">
        <f t="shared" si="56"/>
        <v/>
      </c>
      <c r="AG1203" s="774"/>
      <c r="AH1203" s="778"/>
      <c r="AI1203" s="736"/>
      <c r="AJ1203" s="736"/>
      <c r="AK1203" s="736"/>
      <c r="AL1203" s="736"/>
      <c r="AM1203" s="736"/>
      <c r="AN1203" s="736"/>
      <c r="AO1203" s="736"/>
      <c r="AP1203" s="736"/>
      <c r="AQ1203" s="736"/>
      <c r="AR1203" s="736"/>
      <c r="AS1203" s="736"/>
      <c r="AT1203" s="736"/>
      <c r="AU1203" s="736"/>
      <c r="AV1203" s="736"/>
      <c r="AW1203" s="736"/>
      <c r="AX1203" s="736"/>
      <c r="AY1203" s="736"/>
      <c r="AZ1203" s="736"/>
      <c r="BA1203" s="736"/>
      <c r="BB1203" s="736"/>
      <c r="BC1203" s="736"/>
      <c r="BD1203" s="736"/>
      <c r="BE1203" s="736"/>
      <c r="BF1203" s="736"/>
      <c r="BG1203" s="736"/>
      <c r="BH1203" s="736"/>
      <c r="BI1203" s="736"/>
      <c r="BJ1203" s="736"/>
      <c r="BK1203" s="736"/>
      <c r="BL1203" s="736"/>
    </row>
    <row r="1204" spans="1:64" ht="18.75" x14ac:dyDescent="0.25">
      <c r="A1204" s="758"/>
      <c r="B1204" s="737"/>
      <c r="C1204" s="730"/>
      <c r="D1204" s="739"/>
      <c r="E1204" s="765"/>
      <c r="F1204" s="765"/>
      <c r="G1204" s="765"/>
      <c r="H1204" s="765"/>
      <c r="I1204" s="746" t="str">
        <f t="shared" si="55"/>
        <v/>
      </c>
      <c r="J1204" s="731"/>
      <c r="K1204" s="731" t="str">
        <f t="shared" si="54"/>
        <v/>
      </c>
      <c r="L1204" s="726"/>
      <c r="M1204" s="726"/>
      <c r="N1204" s="726"/>
      <c r="O1204" s="726"/>
      <c r="P1204" s="726"/>
      <c r="Q1204" s="726"/>
      <c r="R1204" s="726"/>
      <c r="S1204" s="726"/>
      <c r="T1204" s="726"/>
      <c r="U1204" s="726"/>
      <c r="V1204" s="726"/>
      <c r="W1204" s="726"/>
      <c r="X1204" s="726"/>
      <c r="Y1204" s="726"/>
      <c r="Z1204" s="726"/>
      <c r="AA1204" s="732"/>
      <c r="AB1204" s="732"/>
      <c r="AC1204" s="732"/>
      <c r="AD1204" s="732"/>
      <c r="AE1204" s="733"/>
      <c r="AF1204" s="734" t="str">
        <f t="shared" si="56"/>
        <v/>
      </c>
      <c r="AG1204" s="773"/>
    </row>
    <row r="1205" spans="1:64" ht="18.75" x14ac:dyDescent="0.25">
      <c r="A1205" s="758"/>
      <c r="B1205" s="737"/>
      <c r="C1205" s="730"/>
      <c r="D1205" s="739"/>
      <c r="E1205" s="765"/>
      <c r="F1205" s="765"/>
      <c r="G1205" s="765"/>
      <c r="H1205" s="765"/>
      <c r="I1205" s="746" t="str">
        <f t="shared" si="55"/>
        <v/>
      </c>
      <c r="J1205" s="731"/>
      <c r="K1205" s="731" t="str">
        <f t="shared" si="54"/>
        <v/>
      </c>
      <c r="L1205" s="726"/>
      <c r="M1205" s="726"/>
      <c r="N1205" s="726"/>
      <c r="O1205" s="726"/>
      <c r="P1205" s="726"/>
      <c r="Q1205" s="726"/>
      <c r="R1205" s="726"/>
      <c r="S1205" s="726"/>
      <c r="T1205" s="726"/>
      <c r="U1205" s="726"/>
      <c r="V1205" s="726"/>
      <c r="W1205" s="726"/>
      <c r="X1205" s="726"/>
      <c r="Y1205" s="726"/>
      <c r="Z1205" s="726"/>
      <c r="AA1205" s="732"/>
      <c r="AB1205" s="732"/>
      <c r="AC1205" s="732"/>
      <c r="AD1205" s="732"/>
      <c r="AE1205" s="733"/>
      <c r="AF1205" s="734" t="str">
        <f t="shared" si="56"/>
        <v/>
      </c>
      <c r="AG1205" s="774"/>
      <c r="AH1205" s="778"/>
      <c r="AI1205" s="736"/>
      <c r="AJ1205" s="736"/>
      <c r="AK1205" s="736"/>
      <c r="AL1205" s="736"/>
      <c r="AM1205" s="736"/>
      <c r="AN1205" s="736"/>
      <c r="AO1205" s="736"/>
      <c r="AP1205" s="736"/>
      <c r="AQ1205" s="736"/>
      <c r="AR1205" s="736"/>
      <c r="AS1205" s="736"/>
      <c r="AT1205" s="736"/>
      <c r="AU1205" s="736"/>
      <c r="AV1205" s="736"/>
      <c r="AW1205" s="736"/>
      <c r="AX1205" s="736"/>
      <c r="AY1205" s="736"/>
      <c r="AZ1205" s="736"/>
      <c r="BA1205" s="736"/>
      <c r="BB1205" s="736"/>
      <c r="BC1205" s="736"/>
      <c r="BD1205" s="736"/>
      <c r="BE1205" s="736"/>
      <c r="BF1205" s="736"/>
      <c r="BG1205" s="736"/>
      <c r="BH1205" s="736"/>
      <c r="BI1205" s="736"/>
      <c r="BJ1205" s="736"/>
      <c r="BK1205" s="736"/>
      <c r="BL1205" s="736"/>
    </row>
    <row r="1206" spans="1:64" ht="18.75" x14ac:dyDescent="0.25">
      <c r="A1206" s="758"/>
      <c r="B1206" s="737"/>
      <c r="C1206" s="730"/>
      <c r="D1206" s="739"/>
      <c r="E1206" s="765"/>
      <c r="F1206" s="765"/>
      <c r="G1206" s="765"/>
      <c r="H1206" s="765"/>
      <c r="I1206" s="746" t="str">
        <f t="shared" si="55"/>
        <v/>
      </c>
      <c r="J1206" s="731"/>
      <c r="K1206" s="731" t="str">
        <f t="shared" si="54"/>
        <v/>
      </c>
      <c r="L1206" s="726"/>
      <c r="M1206" s="726"/>
      <c r="N1206" s="726"/>
      <c r="O1206" s="726"/>
      <c r="P1206" s="726"/>
      <c r="Q1206" s="726"/>
      <c r="R1206" s="726"/>
      <c r="S1206" s="726"/>
      <c r="T1206" s="726"/>
      <c r="U1206" s="726"/>
      <c r="V1206" s="726"/>
      <c r="W1206" s="726"/>
      <c r="X1206" s="726"/>
      <c r="Y1206" s="726"/>
      <c r="Z1206" s="726"/>
      <c r="AA1206" s="732"/>
      <c r="AB1206" s="732"/>
      <c r="AC1206" s="732"/>
      <c r="AD1206" s="732"/>
      <c r="AE1206" s="733"/>
      <c r="AF1206" s="734" t="str">
        <f t="shared" si="56"/>
        <v/>
      </c>
      <c r="AG1206" s="773"/>
    </row>
    <row r="1207" spans="1:64" ht="18.75" x14ac:dyDescent="0.25">
      <c r="A1207" s="758"/>
      <c r="B1207" s="737"/>
      <c r="C1207" s="730"/>
      <c r="D1207" s="739"/>
      <c r="E1207" s="765"/>
      <c r="F1207" s="765"/>
      <c r="G1207" s="765"/>
      <c r="H1207" s="765"/>
      <c r="I1207" s="746" t="str">
        <f t="shared" si="55"/>
        <v/>
      </c>
      <c r="J1207" s="731"/>
      <c r="K1207" s="731" t="str">
        <f t="shared" si="54"/>
        <v/>
      </c>
      <c r="L1207" s="726"/>
      <c r="M1207" s="726"/>
      <c r="N1207" s="726"/>
      <c r="O1207" s="726"/>
      <c r="P1207" s="726"/>
      <c r="Q1207" s="726"/>
      <c r="R1207" s="726"/>
      <c r="S1207" s="726"/>
      <c r="T1207" s="726"/>
      <c r="U1207" s="726"/>
      <c r="V1207" s="726"/>
      <c r="W1207" s="726"/>
      <c r="X1207" s="726"/>
      <c r="Y1207" s="726"/>
      <c r="Z1207" s="726"/>
      <c r="AA1207" s="732"/>
      <c r="AB1207" s="732"/>
      <c r="AC1207" s="732"/>
      <c r="AD1207" s="732"/>
      <c r="AE1207" s="733"/>
      <c r="AF1207" s="734" t="str">
        <f t="shared" si="56"/>
        <v/>
      </c>
      <c r="AG1207" s="774"/>
      <c r="AH1207" s="778"/>
      <c r="AI1207" s="736"/>
      <c r="AJ1207" s="736"/>
      <c r="AK1207" s="736"/>
      <c r="AL1207" s="736"/>
      <c r="AM1207" s="736"/>
      <c r="AN1207" s="736"/>
      <c r="AO1207" s="736"/>
      <c r="AP1207" s="736"/>
      <c r="AQ1207" s="736"/>
      <c r="AR1207" s="736"/>
      <c r="AS1207" s="736"/>
      <c r="AT1207" s="736"/>
      <c r="AU1207" s="736"/>
      <c r="AV1207" s="736"/>
      <c r="AW1207" s="736"/>
      <c r="AX1207" s="736"/>
      <c r="AY1207" s="736"/>
      <c r="AZ1207" s="736"/>
      <c r="BA1207" s="736"/>
      <c r="BB1207" s="736"/>
      <c r="BC1207" s="736"/>
      <c r="BD1207" s="736"/>
      <c r="BE1207" s="736"/>
      <c r="BF1207" s="736"/>
      <c r="BG1207" s="736"/>
      <c r="BH1207" s="736"/>
      <c r="BI1207" s="736"/>
      <c r="BJ1207" s="736"/>
      <c r="BK1207" s="736"/>
      <c r="BL1207" s="736"/>
    </row>
    <row r="1208" spans="1:64" ht="18.75" x14ac:dyDescent="0.25">
      <c r="A1208" s="758"/>
      <c r="B1208" s="737"/>
      <c r="C1208" s="730"/>
      <c r="D1208" s="739"/>
      <c r="E1208" s="765"/>
      <c r="F1208" s="765"/>
      <c r="G1208" s="765"/>
      <c r="H1208" s="765"/>
      <c r="I1208" s="746" t="str">
        <f t="shared" si="55"/>
        <v/>
      </c>
      <c r="J1208" s="731"/>
      <c r="K1208" s="731" t="str">
        <f t="shared" si="54"/>
        <v/>
      </c>
      <c r="L1208" s="726"/>
      <c r="M1208" s="726"/>
      <c r="N1208" s="726"/>
      <c r="O1208" s="726"/>
      <c r="P1208" s="726"/>
      <c r="Q1208" s="726"/>
      <c r="R1208" s="726"/>
      <c r="S1208" s="726"/>
      <c r="T1208" s="726"/>
      <c r="U1208" s="726"/>
      <c r="V1208" s="726"/>
      <c r="W1208" s="726"/>
      <c r="X1208" s="726"/>
      <c r="Y1208" s="726"/>
      <c r="Z1208" s="726"/>
      <c r="AA1208" s="732"/>
      <c r="AB1208" s="732"/>
      <c r="AC1208" s="732"/>
      <c r="AD1208" s="732"/>
      <c r="AE1208" s="733"/>
      <c r="AF1208" s="734" t="str">
        <f t="shared" si="56"/>
        <v/>
      </c>
      <c r="AG1208" s="774"/>
      <c r="AH1208" s="778"/>
      <c r="AI1208" s="736"/>
      <c r="AJ1208" s="736"/>
      <c r="AK1208" s="736"/>
      <c r="AL1208" s="736"/>
      <c r="AM1208" s="736"/>
      <c r="AN1208" s="736"/>
      <c r="AO1208" s="736"/>
      <c r="AP1208" s="736"/>
      <c r="AQ1208" s="736"/>
      <c r="AR1208" s="736"/>
      <c r="AS1208" s="736"/>
      <c r="AT1208" s="736"/>
      <c r="AU1208" s="736"/>
      <c r="AV1208" s="736"/>
      <c r="AW1208" s="736"/>
      <c r="AX1208" s="736"/>
      <c r="AY1208" s="736"/>
      <c r="AZ1208" s="736"/>
      <c r="BA1208" s="736"/>
      <c r="BB1208" s="736"/>
      <c r="BC1208" s="736"/>
      <c r="BD1208" s="736"/>
      <c r="BE1208" s="736"/>
      <c r="BF1208" s="736"/>
      <c r="BG1208" s="736"/>
      <c r="BH1208" s="736"/>
      <c r="BI1208" s="736"/>
      <c r="BJ1208" s="736"/>
      <c r="BK1208" s="736"/>
      <c r="BL1208" s="736"/>
    </row>
    <row r="1209" spans="1:64" ht="18.75" x14ac:dyDescent="0.25">
      <c r="A1209" s="758"/>
      <c r="B1209" s="737"/>
      <c r="C1209" s="730"/>
      <c r="D1209" s="739"/>
      <c r="E1209" s="765"/>
      <c r="F1209" s="765"/>
      <c r="G1209" s="765"/>
      <c r="H1209" s="765"/>
      <c r="I1209" s="746" t="str">
        <f t="shared" si="55"/>
        <v/>
      </c>
      <c r="J1209" s="731"/>
      <c r="K1209" s="731" t="str">
        <f t="shared" si="54"/>
        <v/>
      </c>
      <c r="L1209" s="726"/>
      <c r="M1209" s="726"/>
      <c r="N1209" s="726"/>
      <c r="O1209" s="726"/>
      <c r="P1209" s="726"/>
      <c r="Q1209" s="726"/>
      <c r="R1209" s="726"/>
      <c r="S1209" s="726"/>
      <c r="T1209" s="726"/>
      <c r="U1209" s="726"/>
      <c r="V1209" s="726"/>
      <c r="W1209" s="726"/>
      <c r="X1209" s="726"/>
      <c r="Y1209" s="726"/>
      <c r="Z1209" s="726"/>
      <c r="AA1209" s="732"/>
      <c r="AB1209" s="732"/>
      <c r="AC1209" s="732"/>
      <c r="AD1209" s="732"/>
      <c r="AE1209" s="733"/>
      <c r="AF1209" s="734" t="str">
        <f t="shared" si="56"/>
        <v/>
      </c>
      <c r="AG1209" s="774"/>
      <c r="AH1209" s="778"/>
      <c r="AI1209" s="736"/>
      <c r="AJ1209" s="736"/>
      <c r="AK1209" s="736"/>
      <c r="AL1209" s="736"/>
      <c r="AM1209" s="736"/>
      <c r="AN1209" s="736"/>
      <c r="AO1209" s="736"/>
      <c r="AP1209" s="736"/>
      <c r="AQ1209" s="736"/>
      <c r="AR1209" s="736"/>
      <c r="AS1209" s="736"/>
      <c r="AT1209" s="736"/>
      <c r="AU1209" s="736"/>
      <c r="AV1209" s="736"/>
      <c r="AW1209" s="736"/>
      <c r="AX1209" s="736"/>
      <c r="AY1209" s="736"/>
      <c r="AZ1209" s="736"/>
      <c r="BA1209" s="736"/>
      <c r="BB1209" s="736"/>
      <c r="BC1209" s="736"/>
      <c r="BD1209" s="736"/>
      <c r="BE1209" s="736"/>
      <c r="BF1209" s="736"/>
      <c r="BG1209" s="736"/>
      <c r="BH1209" s="736"/>
      <c r="BI1209" s="736"/>
      <c r="BJ1209" s="736"/>
      <c r="BK1209" s="736"/>
      <c r="BL1209" s="736"/>
    </row>
    <row r="1210" spans="1:64" ht="18.75" x14ac:dyDescent="0.25">
      <c r="A1210" s="758"/>
      <c r="B1210" s="737"/>
      <c r="C1210" s="730"/>
      <c r="D1210" s="739"/>
      <c r="E1210" s="765"/>
      <c r="F1210" s="765"/>
      <c r="G1210" s="765"/>
      <c r="H1210" s="765"/>
      <c r="I1210" s="746" t="str">
        <f t="shared" si="55"/>
        <v/>
      </c>
      <c r="J1210" s="731"/>
      <c r="K1210" s="731" t="str">
        <f t="shared" si="54"/>
        <v/>
      </c>
      <c r="L1210" s="726"/>
      <c r="M1210" s="726"/>
      <c r="N1210" s="726"/>
      <c r="O1210" s="726"/>
      <c r="P1210" s="726"/>
      <c r="Q1210" s="726"/>
      <c r="R1210" s="726"/>
      <c r="S1210" s="726"/>
      <c r="T1210" s="726"/>
      <c r="U1210" s="726"/>
      <c r="V1210" s="726"/>
      <c r="W1210" s="726"/>
      <c r="X1210" s="726"/>
      <c r="Y1210" s="726"/>
      <c r="Z1210" s="726"/>
      <c r="AA1210" s="732"/>
      <c r="AB1210" s="732"/>
      <c r="AC1210" s="732"/>
      <c r="AD1210" s="732"/>
      <c r="AE1210" s="733"/>
      <c r="AF1210" s="734" t="str">
        <f t="shared" si="56"/>
        <v/>
      </c>
      <c r="AG1210" s="774"/>
      <c r="AH1210" s="778"/>
      <c r="AI1210" s="736"/>
      <c r="AJ1210" s="736"/>
      <c r="AK1210" s="736"/>
      <c r="AL1210" s="736"/>
      <c r="AM1210" s="736"/>
      <c r="AN1210" s="736"/>
      <c r="AO1210" s="736"/>
      <c r="AP1210" s="736"/>
      <c r="AQ1210" s="736"/>
      <c r="AR1210" s="736"/>
      <c r="AS1210" s="736"/>
      <c r="AT1210" s="736"/>
      <c r="AU1210" s="736"/>
      <c r="AV1210" s="736"/>
      <c r="AW1210" s="736"/>
      <c r="AX1210" s="736"/>
      <c r="AY1210" s="736"/>
      <c r="AZ1210" s="736"/>
      <c r="BA1210" s="736"/>
      <c r="BB1210" s="736"/>
      <c r="BC1210" s="736"/>
      <c r="BD1210" s="736"/>
      <c r="BE1210" s="736"/>
      <c r="BF1210" s="736"/>
      <c r="BG1210" s="736"/>
      <c r="BH1210" s="736"/>
      <c r="BI1210" s="736"/>
      <c r="BJ1210" s="736"/>
      <c r="BK1210" s="736"/>
      <c r="BL1210" s="736"/>
    </row>
    <row r="1211" spans="1:64" ht="18.75" x14ac:dyDescent="0.25">
      <c r="A1211" s="758"/>
      <c r="B1211" s="737"/>
      <c r="C1211" s="730"/>
      <c r="D1211" s="739"/>
      <c r="E1211" s="765"/>
      <c r="F1211" s="765"/>
      <c r="G1211" s="765"/>
      <c r="H1211" s="765"/>
      <c r="I1211" s="746" t="str">
        <f t="shared" si="55"/>
        <v/>
      </c>
      <c r="J1211" s="731"/>
      <c r="K1211" s="731" t="str">
        <f t="shared" si="54"/>
        <v/>
      </c>
      <c r="L1211" s="726"/>
      <c r="M1211" s="726"/>
      <c r="N1211" s="726"/>
      <c r="O1211" s="726"/>
      <c r="P1211" s="726"/>
      <c r="Q1211" s="726"/>
      <c r="R1211" s="726"/>
      <c r="S1211" s="726"/>
      <c r="T1211" s="726"/>
      <c r="U1211" s="726"/>
      <c r="V1211" s="726"/>
      <c r="W1211" s="726"/>
      <c r="X1211" s="726"/>
      <c r="Y1211" s="726"/>
      <c r="Z1211" s="726"/>
      <c r="AA1211" s="732"/>
      <c r="AB1211" s="732"/>
      <c r="AC1211" s="732"/>
      <c r="AD1211" s="732"/>
      <c r="AE1211" s="733"/>
      <c r="AF1211" s="734" t="str">
        <f t="shared" si="56"/>
        <v/>
      </c>
      <c r="AG1211" s="774"/>
      <c r="AH1211" s="778"/>
      <c r="AI1211" s="736"/>
      <c r="AJ1211" s="736"/>
      <c r="AK1211" s="736"/>
      <c r="AL1211" s="736"/>
      <c r="AM1211" s="736"/>
      <c r="AN1211" s="736"/>
      <c r="AO1211" s="736"/>
      <c r="AP1211" s="736"/>
      <c r="AQ1211" s="736"/>
      <c r="AR1211" s="736"/>
      <c r="AS1211" s="736"/>
      <c r="AT1211" s="736"/>
      <c r="AU1211" s="736"/>
      <c r="AV1211" s="736"/>
      <c r="AW1211" s="736"/>
      <c r="AX1211" s="736"/>
      <c r="AY1211" s="736"/>
      <c r="AZ1211" s="736"/>
      <c r="BA1211" s="736"/>
      <c r="BB1211" s="736"/>
      <c r="BC1211" s="736"/>
      <c r="BD1211" s="736"/>
      <c r="BE1211" s="736"/>
      <c r="BF1211" s="736"/>
      <c r="BG1211" s="736"/>
      <c r="BH1211" s="736"/>
      <c r="BI1211" s="736"/>
      <c r="BJ1211" s="736"/>
      <c r="BK1211" s="736"/>
      <c r="BL1211" s="736"/>
    </row>
    <row r="1212" spans="1:64" ht="18.75" x14ac:dyDescent="0.25">
      <c r="A1212" s="758"/>
      <c r="B1212" s="737"/>
      <c r="C1212" s="730"/>
      <c r="D1212" s="739"/>
      <c r="E1212" s="765"/>
      <c r="F1212" s="765"/>
      <c r="G1212" s="765"/>
      <c r="H1212" s="765"/>
      <c r="I1212" s="746" t="str">
        <f t="shared" si="55"/>
        <v/>
      </c>
      <c r="J1212" s="731"/>
      <c r="K1212" s="731" t="str">
        <f t="shared" si="54"/>
        <v/>
      </c>
      <c r="L1212" s="726"/>
      <c r="M1212" s="726"/>
      <c r="N1212" s="726"/>
      <c r="O1212" s="726"/>
      <c r="P1212" s="726"/>
      <c r="Q1212" s="726"/>
      <c r="R1212" s="726"/>
      <c r="S1212" s="726"/>
      <c r="T1212" s="726"/>
      <c r="U1212" s="726"/>
      <c r="V1212" s="726"/>
      <c r="W1212" s="726"/>
      <c r="X1212" s="726"/>
      <c r="Y1212" s="726"/>
      <c r="Z1212" s="726"/>
      <c r="AA1212" s="732"/>
      <c r="AB1212" s="732"/>
      <c r="AC1212" s="732"/>
      <c r="AD1212" s="732"/>
      <c r="AE1212" s="733"/>
      <c r="AF1212" s="734" t="str">
        <f t="shared" si="56"/>
        <v/>
      </c>
      <c r="AG1212" s="774"/>
      <c r="AH1212" s="778"/>
      <c r="AI1212" s="736"/>
      <c r="AJ1212" s="736"/>
      <c r="AK1212" s="736"/>
      <c r="AL1212" s="736"/>
      <c r="AM1212" s="736"/>
      <c r="AN1212" s="736"/>
      <c r="AO1212" s="736"/>
      <c r="AP1212" s="736"/>
      <c r="AQ1212" s="736"/>
      <c r="AR1212" s="736"/>
      <c r="AS1212" s="736"/>
      <c r="AT1212" s="736"/>
      <c r="AU1212" s="736"/>
      <c r="AV1212" s="736"/>
      <c r="AW1212" s="736"/>
      <c r="AX1212" s="736"/>
      <c r="AY1212" s="736"/>
      <c r="AZ1212" s="736"/>
      <c r="BA1212" s="736"/>
      <c r="BB1212" s="736"/>
      <c r="BC1212" s="736"/>
      <c r="BD1212" s="736"/>
      <c r="BE1212" s="736"/>
      <c r="BF1212" s="736"/>
      <c r="BG1212" s="736"/>
      <c r="BH1212" s="736"/>
      <c r="BI1212" s="736"/>
      <c r="BJ1212" s="736"/>
      <c r="BK1212" s="736"/>
      <c r="BL1212" s="736"/>
    </row>
    <row r="1213" spans="1:64" ht="18.75" x14ac:dyDescent="0.25">
      <c r="A1213" s="758"/>
      <c r="B1213" s="737"/>
      <c r="C1213" s="730"/>
      <c r="D1213" s="739"/>
      <c r="E1213" s="765"/>
      <c r="F1213" s="765"/>
      <c r="G1213" s="765"/>
      <c r="H1213" s="765"/>
      <c r="I1213" s="746" t="str">
        <f t="shared" si="55"/>
        <v/>
      </c>
      <c r="J1213" s="731"/>
      <c r="K1213" s="731" t="str">
        <f t="shared" si="54"/>
        <v/>
      </c>
      <c r="L1213" s="726"/>
      <c r="M1213" s="726"/>
      <c r="N1213" s="726"/>
      <c r="O1213" s="726"/>
      <c r="P1213" s="726"/>
      <c r="Q1213" s="726"/>
      <c r="R1213" s="726"/>
      <c r="S1213" s="726"/>
      <c r="T1213" s="726"/>
      <c r="U1213" s="726"/>
      <c r="V1213" s="726"/>
      <c r="W1213" s="726"/>
      <c r="X1213" s="726"/>
      <c r="Y1213" s="726"/>
      <c r="Z1213" s="726"/>
      <c r="AA1213" s="732"/>
      <c r="AB1213" s="732"/>
      <c r="AC1213" s="732"/>
      <c r="AD1213" s="732"/>
      <c r="AE1213" s="733"/>
      <c r="AF1213" s="734" t="str">
        <f t="shared" si="56"/>
        <v/>
      </c>
      <c r="AG1213" s="774"/>
      <c r="AH1213" s="778"/>
      <c r="AI1213" s="736"/>
      <c r="AJ1213" s="736"/>
      <c r="AK1213" s="736"/>
      <c r="AL1213" s="736"/>
      <c r="AM1213" s="736"/>
      <c r="AN1213" s="736"/>
      <c r="AO1213" s="736"/>
      <c r="AP1213" s="736"/>
      <c r="AQ1213" s="736"/>
      <c r="AR1213" s="736"/>
      <c r="AS1213" s="736"/>
      <c r="AT1213" s="736"/>
      <c r="AU1213" s="736"/>
      <c r="AV1213" s="736"/>
      <c r="AW1213" s="736"/>
      <c r="AX1213" s="736"/>
      <c r="AY1213" s="736"/>
      <c r="AZ1213" s="736"/>
      <c r="BA1213" s="736"/>
      <c r="BB1213" s="736"/>
      <c r="BC1213" s="736"/>
      <c r="BD1213" s="736"/>
      <c r="BE1213" s="736"/>
      <c r="BF1213" s="736"/>
      <c r="BG1213" s="736"/>
      <c r="BH1213" s="736"/>
      <c r="BI1213" s="736"/>
      <c r="BJ1213" s="736"/>
      <c r="BK1213" s="736"/>
      <c r="BL1213" s="736"/>
    </row>
    <row r="1214" spans="1:64" ht="18.75" x14ac:dyDescent="0.25">
      <c r="A1214" s="758"/>
      <c r="B1214" s="737"/>
      <c r="C1214" s="730"/>
      <c r="D1214" s="739"/>
      <c r="E1214" s="765"/>
      <c r="F1214" s="765"/>
      <c r="G1214" s="765"/>
      <c r="H1214" s="765"/>
      <c r="I1214" s="746" t="str">
        <f t="shared" si="55"/>
        <v/>
      </c>
      <c r="J1214" s="731"/>
      <c r="K1214" s="731" t="str">
        <f t="shared" si="54"/>
        <v/>
      </c>
      <c r="L1214" s="726"/>
      <c r="M1214" s="726"/>
      <c r="N1214" s="726"/>
      <c r="O1214" s="726"/>
      <c r="P1214" s="726"/>
      <c r="Q1214" s="726"/>
      <c r="R1214" s="726"/>
      <c r="S1214" s="726"/>
      <c r="T1214" s="726"/>
      <c r="U1214" s="726"/>
      <c r="V1214" s="726"/>
      <c r="W1214" s="726"/>
      <c r="X1214" s="726"/>
      <c r="Y1214" s="726"/>
      <c r="Z1214" s="726"/>
      <c r="AA1214" s="732"/>
      <c r="AB1214" s="732"/>
      <c r="AC1214" s="732"/>
      <c r="AD1214" s="732"/>
      <c r="AE1214" s="733"/>
      <c r="AF1214" s="734" t="str">
        <f t="shared" si="56"/>
        <v/>
      </c>
      <c r="AG1214" s="773"/>
    </row>
    <row r="1215" spans="1:64" ht="18.75" x14ac:dyDescent="0.25">
      <c r="A1215" s="758"/>
      <c r="B1215" s="737"/>
      <c r="C1215" s="730"/>
      <c r="D1215" s="739"/>
      <c r="E1215" s="765"/>
      <c r="F1215" s="765"/>
      <c r="G1215" s="765"/>
      <c r="H1215" s="765"/>
      <c r="I1215" s="746" t="str">
        <f t="shared" si="55"/>
        <v/>
      </c>
      <c r="J1215" s="731"/>
      <c r="K1215" s="731" t="str">
        <f t="shared" si="54"/>
        <v/>
      </c>
      <c r="L1215" s="726"/>
      <c r="M1215" s="726"/>
      <c r="N1215" s="726"/>
      <c r="O1215" s="726"/>
      <c r="P1215" s="726"/>
      <c r="Q1215" s="726"/>
      <c r="R1215" s="726"/>
      <c r="S1215" s="726"/>
      <c r="T1215" s="726"/>
      <c r="U1215" s="726"/>
      <c r="V1215" s="726"/>
      <c r="W1215" s="726"/>
      <c r="X1215" s="726"/>
      <c r="Y1215" s="726"/>
      <c r="Z1215" s="726"/>
      <c r="AA1215" s="732"/>
      <c r="AB1215" s="732"/>
      <c r="AC1215" s="732"/>
      <c r="AD1215" s="732"/>
      <c r="AE1215" s="733"/>
      <c r="AF1215" s="734" t="str">
        <f t="shared" si="56"/>
        <v/>
      </c>
      <c r="AG1215" s="774"/>
      <c r="AH1215" s="778"/>
      <c r="AI1215" s="736"/>
      <c r="AJ1215" s="736"/>
      <c r="AK1215" s="736"/>
      <c r="AL1215" s="736"/>
      <c r="AM1215" s="736"/>
      <c r="AN1215" s="736"/>
      <c r="AO1215" s="736"/>
      <c r="AP1215" s="736"/>
      <c r="AQ1215" s="736"/>
      <c r="AR1215" s="736"/>
      <c r="AS1215" s="736"/>
      <c r="AT1215" s="736"/>
      <c r="AU1215" s="736"/>
      <c r="AV1215" s="736"/>
      <c r="AW1215" s="736"/>
      <c r="AX1215" s="736"/>
      <c r="AY1215" s="736"/>
      <c r="AZ1215" s="736"/>
      <c r="BA1215" s="736"/>
      <c r="BB1215" s="736"/>
      <c r="BC1215" s="736"/>
      <c r="BD1215" s="736"/>
      <c r="BE1215" s="736"/>
      <c r="BF1215" s="736"/>
      <c r="BG1215" s="736"/>
      <c r="BH1215" s="736"/>
      <c r="BI1215" s="736"/>
      <c r="BJ1215" s="736"/>
      <c r="BK1215" s="736"/>
      <c r="BL1215" s="736"/>
    </row>
    <row r="1216" spans="1:64" ht="18.75" x14ac:dyDescent="0.25">
      <c r="A1216" s="758"/>
      <c r="B1216" s="737"/>
      <c r="C1216" s="730"/>
      <c r="D1216" s="739"/>
      <c r="E1216" s="765"/>
      <c r="F1216" s="765"/>
      <c r="G1216" s="765"/>
      <c r="H1216" s="765"/>
      <c r="I1216" s="746" t="str">
        <f t="shared" si="55"/>
        <v/>
      </c>
      <c r="J1216" s="731"/>
      <c r="K1216" s="731" t="str">
        <f t="shared" si="54"/>
        <v/>
      </c>
      <c r="L1216" s="726"/>
      <c r="M1216" s="726"/>
      <c r="N1216" s="726"/>
      <c r="O1216" s="726"/>
      <c r="P1216" s="726"/>
      <c r="Q1216" s="726"/>
      <c r="R1216" s="726"/>
      <c r="S1216" s="726"/>
      <c r="T1216" s="726"/>
      <c r="U1216" s="726"/>
      <c r="V1216" s="726"/>
      <c r="W1216" s="726"/>
      <c r="X1216" s="726"/>
      <c r="Y1216" s="726"/>
      <c r="Z1216" s="726"/>
      <c r="AA1216" s="732"/>
      <c r="AB1216" s="732"/>
      <c r="AC1216" s="732"/>
      <c r="AD1216" s="732"/>
      <c r="AE1216" s="733"/>
      <c r="AF1216" s="734" t="str">
        <f t="shared" si="56"/>
        <v/>
      </c>
      <c r="AG1216" s="774"/>
      <c r="AH1216" s="778"/>
      <c r="AI1216" s="736"/>
      <c r="AJ1216" s="736"/>
      <c r="AK1216" s="736"/>
      <c r="AL1216" s="736"/>
      <c r="AM1216" s="736"/>
      <c r="AN1216" s="736"/>
      <c r="AO1216" s="736"/>
      <c r="AP1216" s="736"/>
      <c r="AQ1216" s="736"/>
      <c r="AR1216" s="736"/>
      <c r="AS1216" s="736"/>
      <c r="AT1216" s="736"/>
      <c r="AU1216" s="736"/>
      <c r="AV1216" s="736"/>
      <c r="AW1216" s="736"/>
      <c r="AX1216" s="736"/>
      <c r="AY1216" s="736"/>
      <c r="AZ1216" s="736"/>
      <c r="BA1216" s="736"/>
      <c r="BB1216" s="736"/>
      <c r="BC1216" s="736"/>
      <c r="BD1216" s="736"/>
      <c r="BE1216" s="736"/>
      <c r="BF1216" s="736"/>
      <c r="BG1216" s="736"/>
      <c r="BH1216" s="736"/>
      <c r="BI1216" s="736"/>
      <c r="BJ1216" s="736"/>
      <c r="BK1216" s="736"/>
      <c r="BL1216" s="736"/>
    </row>
    <row r="1217" spans="1:64" ht="18.75" x14ac:dyDescent="0.25">
      <c r="A1217" s="758"/>
      <c r="B1217" s="737"/>
      <c r="C1217" s="730"/>
      <c r="D1217" s="739"/>
      <c r="E1217" s="765"/>
      <c r="F1217" s="765"/>
      <c r="G1217" s="765"/>
      <c r="H1217" s="765"/>
      <c r="I1217" s="746" t="str">
        <f t="shared" si="55"/>
        <v/>
      </c>
      <c r="J1217" s="731"/>
      <c r="K1217" s="731" t="str">
        <f t="shared" si="54"/>
        <v/>
      </c>
      <c r="L1217" s="726"/>
      <c r="M1217" s="726"/>
      <c r="N1217" s="726"/>
      <c r="O1217" s="726"/>
      <c r="P1217" s="726"/>
      <c r="Q1217" s="726"/>
      <c r="R1217" s="726"/>
      <c r="S1217" s="726"/>
      <c r="T1217" s="726"/>
      <c r="U1217" s="726"/>
      <c r="V1217" s="726"/>
      <c r="W1217" s="726"/>
      <c r="X1217" s="726"/>
      <c r="Y1217" s="726"/>
      <c r="Z1217" s="726"/>
      <c r="AA1217" s="732"/>
      <c r="AB1217" s="732"/>
      <c r="AC1217" s="732"/>
      <c r="AD1217" s="732"/>
      <c r="AE1217" s="733"/>
      <c r="AF1217" s="734" t="str">
        <f t="shared" si="56"/>
        <v/>
      </c>
      <c r="AG1217" s="774"/>
      <c r="AH1217" s="778"/>
      <c r="AI1217" s="736"/>
      <c r="AJ1217" s="736"/>
      <c r="AK1217" s="736"/>
      <c r="AL1217" s="736"/>
      <c r="AM1217" s="736"/>
      <c r="AN1217" s="736"/>
      <c r="AO1217" s="736"/>
      <c r="AP1217" s="736"/>
      <c r="AQ1217" s="736"/>
      <c r="AR1217" s="736"/>
      <c r="AS1217" s="736"/>
      <c r="AT1217" s="736"/>
      <c r="AU1217" s="736"/>
      <c r="AV1217" s="736"/>
      <c r="AW1217" s="736"/>
      <c r="AX1217" s="736"/>
      <c r="AY1217" s="736"/>
      <c r="AZ1217" s="736"/>
      <c r="BA1217" s="736"/>
      <c r="BB1217" s="736"/>
      <c r="BC1217" s="736"/>
      <c r="BD1217" s="736"/>
      <c r="BE1217" s="736"/>
      <c r="BF1217" s="736"/>
      <c r="BG1217" s="736"/>
      <c r="BH1217" s="736"/>
      <c r="BI1217" s="736"/>
      <c r="BJ1217" s="736"/>
      <c r="BK1217" s="736"/>
      <c r="BL1217" s="736"/>
    </row>
    <row r="1218" spans="1:64" ht="18.75" x14ac:dyDescent="0.25">
      <c r="A1218" s="758"/>
      <c r="B1218" s="737"/>
      <c r="C1218" s="730"/>
      <c r="D1218" s="739"/>
      <c r="E1218" s="765"/>
      <c r="F1218" s="765"/>
      <c r="G1218" s="765"/>
      <c r="H1218" s="765"/>
      <c r="I1218" s="746" t="str">
        <f t="shared" si="55"/>
        <v/>
      </c>
      <c r="J1218" s="731"/>
      <c r="K1218" s="731" t="str">
        <f t="shared" si="54"/>
        <v/>
      </c>
      <c r="L1218" s="726"/>
      <c r="M1218" s="726"/>
      <c r="N1218" s="726"/>
      <c r="O1218" s="726"/>
      <c r="P1218" s="726"/>
      <c r="Q1218" s="726"/>
      <c r="R1218" s="726"/>
      <c r="S1218" s="726"/>
      <c r="T1218" s="726"/>
      <c r="U1218" s="726"/>
      <c r="V1218" s="726"/>
      <c r="W1218" s="726"/>
      <c r="X1218" s="726"/>
      <c r="Y1218" s="726"/>
      <c r="Z1218" s="726"/>
      <c r="AA1218" s="732"/>
      <c r="AB1218" s="732"/>
      <c r="AC1218" s="732"/>
      <c r="AD1218" s="732"/>
      <c r="AE1218" s="733"/>
      <c r="AF1218" s="734" t="str">
        <f t="shared" si="56"/>
        <v/>
      </c>
      <c r="AG1218" s="774"/>
      <c r="AH1218" s="778"/>
      <c r="AI1218" s="736"/>
      <c r="AJ1218" s="736"/>
      <c r="AK1218" s="736"/>
      <c r="AL1218" s="736"/>
      <c r="AM1218" s="736"/>
      <c r="AN1218" s="736"/>
      <c r="AO1218" s="736"/>
      <c r="AP1218" s="736"/>
      <c r="AQ1218" s="736"/>
      <c r="AR1218" s="736"/>
      <c r="AS1218" s="736"/>
      <c r="AT1218" s="736"/>
      <c r="AU1218" s="736"/>
      <c r="AV1218" s="736"/>
      <c r="AW1218" s="736"/>
      <c r="AX1218" s="736"/>
      <c r="AY1218" s="736"/>
      <c r="AZ1218" s="736"/>
      <c r="BA1218" s="736"/>
      <c r="BB1218" s="736"/>
      <c r="BC1218" s="736"/>
      <c r="BD1218" s="736"/>
      <c r="BE1218" s="736"/>
      <c r="BF1218" s="736"/>
      <c r="BG1218" s="736"/>
      <c r="BH1218" s="736"/>
      <c r="BI1218" s="736"/>
      <c r="BJ1218" s="736"/>
      <c r="BK1218" s="736"/>
      <c r="BL1218" s="736"/>
    </row>
    <row r="1219" spans="1:64" ht="18.75" x14ac:dyDescent="0.25">
      <c r="A1219" s="758"/>
      <c r="B1219" s="737"/>
      <c r="C1219" s="730"/>
      <c r="D1219" s="739"/>
      <c r="E1219" s="765"/>
      <c r="F1219" s="765"/>
      <c r="G1219" s="765"/>
      <c r="H1219" s="765"/>
      <c r="I1219" s="746" t="str">
        <f t="shared" si="55"/>
        <v/>
      </c>
      <c r="J1219" s="731"/>
      <c r="K1219" s="731" t="str">
        <f t="shared" si="54"/>
        <v/>
      </c>
      <c r="L1219" s="726"/>
      <c r="M1219" s="726"/>
      <c r="N1219" s="726"/>
      <c r="O1219" s="726"/>
      <c r="P1219" s="726"/>
      <c r="Q1219" s="726"/>
      <c r="R1219" s="726"/>
      <c r="S1219" s="726"/>
      <c r="T1219" s="726"/>
      <c r="U1219" s="726"/>
      <c r="V1219" s="726"/>
      <c r="W1219" s="726"/>
      <c r="X1219" s="726"/>
      <c r="Y1219" s="726"/>
      <c r="Z1219" s="726"/>
      <c r="AA1219" s="732"/>
      <c r="AB1219" s="732"/>
      <c r="AC1219" s="732"/>
      <c r="AD1219" s="732"/>
      <c r="AE1219" s="733"/>
      <c r="AF1219" s="734" t="str">
        <f t="shared" si="56"/>
        <v/>
      </c>
      <c r="AG1219" s="774"/>
      <c r="AH1219" s="778"/>
      <c r="AI1219" s="736"/>
      <c r="AJ1219" s="736"/>
      <c r="AK1219" s="736"/>
      <c r="AL1219" s="736"/>
      <c r="AM1219" s="736"/>
      <c r="AN1219" s="736"/>
      <c r="AO1219" s="736"/>
      <c r="AP1219" s="736"/>
      <c r="AQ1219" s="736"/>
      <c r="AR1219" s="736"/>
      <c r="AS1219" s="736"/>
      <c r="AT1219" s="736"/>
      <c r="AU1219" s="736"/>
      <c r="AV1219" s="736"/>
      <c r="AW1219" s="736"/>
      <c r="AX1219" s="736"/>
      <c r="AY1219" s="736"/>
      <c r="AZ1219" s="736"/>
      <c r="BA1219" s="736"/>
      <c r="BB1219" s="736"/>
      <c r="BC1219" s="736"/>
      <c r="BD1219" s="736"/>
      <c r="BE1219" s="736"/>
      <c r="BF1219" s="736"/>
      <c r="BG1219" s="736"/>
      <c r="BH1219" s="736"/>
      <c r="BI1219" s="736"/>
      <c r="BJ1219" s="736"/>
      <c r="BK1219" s="736"/>
      <c r="BL1219" s="736"/>
    </row>
    <row r="1220" spans="1:64" ht="18.75" x14ac:dyDescent="0.25">
      <c r="A1220" s="758"/>
      <c r="B1220" s="737"/>
      <c r="C1220" s="730"/>
      <c r="D1220" s="739"/>
      <c r="E1220" s="765"/>
      <c r="F1220" s="765"/>
      <c r="G1220" s="765"/>
      <c r="H1220" s="765"/>
      <c r="I1220" s="746" t="str">
        <f t="shared" si="55"/>
        <v/>
      </c>
      <c r="J1220" s="731"/>
      <c r="K1220" s="731" t="str">
        <f t="shared" ref="K1220:K1283" si="57">IF(AA1220-AE1220 = 0,"",AA1220-AE1220)</f>
        <v/>
      </c>
      <c r="L1220" s="726"/>
      <c r="M1220" s="726"/>
      <c r="N1220" s="726"/>
      <c r="O1220" s="726"/>
      <c r="P1220" s="726"/>
      <c r="Q1220" s="726"/>
      <c r="R1220" s="726"/>
      <c r="S1220" s="726"/>
      <c r="T1220" s="726"/>
      <c r="U1220" s="726"/>
      <c r="V1220" s="726"/>
      <c r="W1220" s="726"/>
      <c r="X1220" s="726"/>
      <c r="Y1220" s="726"/>
      <c r="Z1220" s="726"/>
      <c r="AA1220" s="732"/>
      <c r="AB1220" s="732"/>
      <c r="AC1220" s="732"/>
      <c r="AD1220" s="732"/>
      <c r="AE1220" s="733"/>
      <c r="AF1220" s="734" t="str">
        <f t="shared" si="56"/>
        <v/>
      </c>
      <c r="AG1220" s="774"/>
      <c r="AH1220" s="778"/>
      <c r="AI1220" s="736"/>
      <c r="AJ1220" s="736"/>
      <c r="AK1220" s="736"/>
      <c r="AL1220" s="736"/>
      <c r="AM1220" s="736"/>
      <c r="AN1220" s="736"/>
      <c r="AO1220" s="736"/>
      <c r="AP1220" s="736"/>
      <c r="AQ1220" s="736"/>
      <c r="AR1220" s="736"/>
      <c r="AS1220" s="736"/>
      <c r="AT1220" s="736"/>
      <c r="AU1220" s="736"/>
      <c r="AV1220" s="736"/>
      <c r="AW1220" s="736"/>
      <c r="AX1220" s="736"/>
      <c r="AY1220" s="736"/>
      <c r="AZ1220" s="736"/>
      <c r="BA1220" s="736"/>
      <c r="BB1220" s="736"/>
      <c r="BC1220" s="736"/>
      <c r="BD1220" s="736"/>
      <c r="BE1220" s="736"/>
      <c r="BF1220" s="736"/>
      <c r="BG1220" s="736"/>
      <c r="BH1220" s="736"/>
      <c r="BI1220" s="736"/>
      <c r="BJ1220" s="736"/>
      <c r="BK1220" s="736"/>
      <c r="BL1220" s="736"/>
    </row>
    <row r="1221" spans="1:64" ht="18.75" x14ac:dyDescent="0.25">
      <c r="A1221" s="758"/>
      <c r="B1221" s="737"/>
      <c r="C1221" s="730"/>
      <c r="D1221" s="739"/>
      <c r="E1221" s="765"/>
      <c r="F1221" s="765"/>
      <c r="G1221" s="765"/>
      <c r="H1221" s="765"/>
      <c r="I1221" s="746" t="str">
        <f t="shared" ref="I1221:I1284" si="58">AF1221</f>
        <v/>
      </c>
      <c r="J1221" s="731"/>
      <c r="K1221" s="731" t="str">
        <f t="shared" si="57"/>
        <v/>
      </c>
      <c r="L1221" s="726"/>
      <c r="M1221" s="726"/>
      <c r="N1221" s="726"/>
      <c r="O1221" s="726"/>
      <c r="P1221" s="726"/>
      <c r="Q1221" s="726"/>
      <c r="R1221" s="726"/>
      <c r="S1221" s="726"/>
      <c r="T1221" s="726"/>
      <c r="U1221" s="726"/>
      <c r="V1221" s="726"/>
      <c r="W1221" s="726"/>
      <c r="X1221" s="726"/>
      <c r="Y1221" s="726"/>
      <c r="Z1221" s="726"/>
      <c r="AA1221" s="732"/>
      <c r="AB1221" s="732"/>
      <c r="AC1221" s="732"/>
      <c r="AD1221" s="732"/>
      <c r="AE1221" s="733"/>
      <c r="AF1221" s="734" t="str">
        <f t="shared" ref="AF1221:AF1284" si="59">IF(AE1221 &lt;&gt;"", AE1221/AA1221,"")</f>
        <v/>
      </c>
      <c r="AG1221" s="773"/>
    </row>
    <row r="1222" spans="1:64" ht="18.75" x14ac:dyDescent="0.25">
      <c r="A1222" s="758"/>
      <c r="B1222" s="737"/>
      <c r="C1222" s="730"/>
      <c r="D1222" s="739"/>
      <c r="E1222" s="765"/>
      <c r="F1222" s="765"/>
      <c r="G1222" s="765"/>
      <c r="H1222" s="765"/>
      <c r="I1222" s="746" t="str">
        <f t="shared" si="58"/>
        <v/>
      </c>
      <c r="J1222" s="731"/>
      <c r="K1222" s="731" t="str">
        <f t="shared" si="57"/>
        <v/>
      </c>
      <c r="L1222" s="726"/>
      <c r="M1222" s="726"/>
      <c r="N1222" s="726"/>
      <c r="O1222" s="726"/>
      <c r="P1222" s="726"/>
      <c r="Q1222" s="726"/>
      <c r="R1222" s="726"/>
      <c r="S1222" s="726"/>
      <c r="T1222" s="726"/>
      <c r="U1222" s="726"/>
      <c r="V1222" s="726"/>
      <c r="W1222" s="726"/>
      <c r="X1222" s="726"/>
      <c r="Y1222" s="726"/>
      <c r="Z1222" s="726"/>
      <c r="AA1222" s="732"/>
      <c r="AB1222" s="732"/>
      <c r="AC1222" s="732"/>
      <c r="AD1222" s="732"/>
      <c r="AE1222" s="733"/>
      <c r="AF1222" s="734" t="str">
        <f t="shared" si="59"/>
        <v/>
      </c>
      <c r="AG1222" s="774"/>
      <c r="AH1222" s="778"/>
      <c r="AI1222" s="736"/>
      <c r="AJ1222" s="736"/>
      <c r="AK1222" s="736"/>
      <c r="AL1222" s="736"/>
      <c r="AM1222" s="736"/>
      <c r="AN1222" s="736"/>
      <c r="AO1222" s="736"/>
      <c r="AP1222" s="736"/>
      <c r="AQ1222" s="736"/>
      <c r="AR1222" s="736"/>
      <c r="AS1222" s="736"/>
      <c r="AT1222" s="736"/>
      <c r="AU1222" s="736"/>
      <c r="AV1222" s="736"/>
      <c r="AW1222" s="736"/>
      <c r="AX1222" s="736"/>
      <c r="AY1222" s="736"/>
      <c r="AZ1222" s="736"/>
      <c r="BA1222" s="736"/>
      <c r="BB1222" s="736"/>
      <c r="BC1222" s="736"/>
      <c r="BD1222" s="736"/>
      <c r="BE1222" s="736"/>
      <c r="BF1222" s="736"/>
      <c r="BG1222" s="736"/>
      <c r="BH1222" s="736"/>
      <c r="BI1222" s="736"/>
      <c r="BJ1222" s="736"/>
      <c r="BK1222" s="736"/>
      <c r="BL1222" s="736"/>
    </row>
    <row r="1223" spans="1:64" ht="18.75" x14ac:dyDescent="0.25">
      <c r="A1223" s="758"/>
      <c r="B1223" s="737"/>
      <c r="C1223" s="730"/>
      <c r="D1223" s="739"/>
      <c r="E1223" s="765"/>
      <c r="F1223" s="765"/>
      <c r="G1223" s="765"/>
      <c r="H1223" s="765"/>
      <c r="I1223" s="746" t="str">
        <f t="shared" si="58"/>
        <v/>
      </c>
      <c r="J1223" s="731"/>
      <c r="K1223" s="731" t="str">
        <f t="shared" si="57"/>
        <v/>
      </c>
      <c r="L1223" s="726"/>
      <c r="M1223" s="726"/>
      <c r="N1223" s="726"/>
      <c r="O1223" s="726"/>
      <c r="P1223" s="726"/>
      <c r="Q1223" s="726"/>
      <c r="R1223" s="726"/>
      <c r="S1223" s="726"/>
      <c r="T1223" s="726"/>
      <c r="U1223" s="726"/>
      <c r="V1223" s="726"/>
      <c r="W1223" s="726"/>
      <c r="X1223" s="726"/>
      <c r="Y1223" s="726"/>
      <c r="Z1223" s="726"/>
      <c r="AA1223" s="732"/>
      <c r="AB1223" s="732"/>
      <c r="AC1223" s="732"/>
      <c r="AD1223" s="732"/>
      <c r="AE1223" s="733"/>
      <c r="AF1223" s="734" t="str">
        <f t="shared" si="59"/>
        <v/>
      </c>
      <c r="AG1223" s="773"/>
    </row>
    <row r="1224" spans="1:64" ht="18.75" x14ac:dyDescent="0.25">
      <c r="A1224" s="758"/>
      <c r="B1224" s="737"/>
      <c r="C1224" s="730"/>
      <c r="D1224" s="739"/>
      <c r="E1224" s="765"/>
      <c r="F1224" s="765"/>
      <c r="G1224" s="765"/>
      <c r="H1224" s="765"/>
      <c r="I1224" s="746" t="str">
        <f t="shared" si="58"/>
        <v/>
      </c>
      <c r="J1224" s="731"/>
      <c r="K1224" s="731" t="str">
        <f t="shared" si="57"/>
        <v/>
      </c>
      <c r="L1224" s="726"/>
      <c r="M1224" s="726"/>
      <c r="N1224" s="726"/>
      <c r="O1224" s="726"/>
      <c r="P1224" s="726"/>
      <c r="Q1224" s="726"/>
      <c r="R1224" s="726"/>
      <c r="S1224" s="726"/>
      <c r="T1224" s="726"/>
      <c r="U1224" s="726"/>
      <c r="V1224" s="726"/>
      <c r="W1224" s="726"/>
      <c r="X1224" s="726"/>
      <c r="Y1224" s="726"/>
      <c r="Z1224" s="726"/>
      <c r="AA1224" s="732"/>
      <c r="AB1224" s="732"/>
      <c r="AC1224" s="732"/>
      <c r="AD1224" s="732"/>
      <c r="AE1224" s="733"/>
      <c r="AF1224" s="734" t="str">
        <f t="shared" si="59"/>
        <v/>
      </c>
      <c r="AG1224" s="773"/>
    </row>
    <row r="1225" spans="1:64" ht="18.75" x14ac:dyDescent="0.25">
      <c r="A1225" s="758"/>
      <c r="B1225" s="737"/>
      <c r="C1225" s="730"/>
      <c r="D1225" s="739"/>
      <c r="E1225" s="765"/>
      <c r="F1225" s="765"/>
      <c r="G1225" s="765"/>
      <c r="H1225" s="765"/>
      <c r="I1225" s="746" t="str">
        <f t="shared" si="58"/>
        <v/>
      </c>
      <c r="J1225" s="731"/>
      <c r="K1225" s="731" t="str">
        <f t="shared" si="57"/>
        <v/>
      </c>
      <c r="L1225" s="726"/>
      <c r="M1225" s="726"/>
      <c r="N1225" s="726"/>
      <c r="O1225" s="726"/>
      <c r="P1225" s="726"/>
      <c r="Q1225" s="726"/>
      <c r="R1225" s="726"/>
      <c r="S1225" s="726"/>
      <c r="T1225" s="726"/>
      <c r="U1225" s="726"/>
      <c r="V1225" s="726"/>
      <c r="W1225" s="726"/>
      <c r="X1225" s="726"/>
      <c r="Y1225" s="726"/>
      <c r="Z1225" s="726"/>
      <c r="AA1225" s="732"/>
      <c r="AB1225" s="732"/>
      <c r="AC1225" s="732"/>
      <c r="AD1225" s="732"/>
      <c r="AE1225" s="733"/>
      <c r="AF1225" s="734" t="str">
        <f t="shared" si="59"/>
        <v/>
      </c>
      <c r="AG1225" s="774"/>
      <c r="AH1225" s="778"/>
      <c r="AI1225" s="736"/>
      <c r="AJ1225" s="736"/>
      <c r="AK1225" s="736"/>
      <c r="AL1225" s="736"/>
      <c r="AM1225" s="736"/>
      <c r="AN1225" s="736"/>
      <c r="AO1225" s="736"/>
      <c r="AP1225" s="736"/>
      <c r="AQ1225" s="736"/>
      <c r="AR1225" s="736"/>
      <c r="AS1225" s="736"/>
      <c r="AT1225" s="736"/>
      <c r="AU1225" s="736"/>
      <c r="AV1225" s="736"/>
      <c r="AW1225" s="736"/>
      <c r="AX1225" s="736"/>
      <c r="AY1225" s="736"/>
      <c r="AZ1225" s="736"/>
      <c r="BA1225" s="736"/>
      <c r="BB1225" s="736"/>
      <c r="BC1225" s="736"/>
      <c r="BD1225" s="736"/>
      <c r="BE1225" s="736"/>
      <c r="BF1225" s="736"/>
      <c r="BG1225" s="736"/>
      <c r="BH1225" s="736"/>
      <c r="BI1225" s="736"/>
      <c r="BJ1225" s="736"/>
      <c r="BK1225" s="736"/>
      <c r="BL1225" s="736"/>
    </row>
    <row r="1226" spans="1:64" ht="18.75" x14ac:dyDescent="0.25">
      <c r="A1226" s="758"/>
      <c r="B1226" s="737"/>
      <c r="C1226" s="730"/>
      <c r="D1226" s="739"/>
      <c r="E1226" s="765"/>
      <c r="F1226" s="765"/>
      <c r="G1226" s="765"/>
      <c r="H1226" s="765"/>
      <c r="I1226" s="746" t="str">
        <f t="shared" si="58"/>
        <v/>
      </c>
      <c r="J1226" s="731"/>
      <c r="K1226" s="731" t="str">
        <f t="shared" si="57"/>
        <v/>
      </c>
      <c r="L1226" s="726"/>
      <c r="M1226" s="726"/>
      <c r="N1226" s="726"/>
      <c r="O1226" s="726"/>
      <c r="P1226" s="726"/>
      <c r="Q1226" s="726"/>
      <c r="R1226" s="726"/>
      <c r="S1226" s="726"/>
      <c r="T1226" s="726"/>
      <c r="U1226" s="726"/>
      <c r="V1226" s="726"/>
      <c r="W1226" s="726"/>
      <c r="X1226" s="726"/>
      <c r="Y1226" s="726"/>
      <c r="Z1226" s="726"/>
      <c r="AA1226" s="732"/>
      <c r="AB1226" s="732"/>
      <c r="AC1226" s="732"/>
      <c r="AD1226" s="732"/>
      <c r="AE1226" s="733"/>
      <c r="AF1226" s="734" t="str">
        <f t="shared" si="59"/>
        <v/>
      </c>
      <c r="AG1226" s="774"/>
      <c r="AH1226" s="778"/>
      <c r="AI1226" s="736"/>
      <c r="AJ1226" s="736"/>
      <c r="AK1226" s="736"/>
      <c r="AL1226" s="736"/>
      <c r="AM1226" s="736"/>
      <c r="AN1226" s="736"/>
      <c r="AO1226" s="736"/>
      <c r="AP1226" s="736"/>
      <c r="AQ1226" s="736"/>
      <c r="AR1226" s="736"/>
      <c r="AS1226" s="736"/>
      <c r="AT1226" s="736"/>
      <c r="AU1226" s="736"/>
      <c r="AV1226" s="736"/>
      <c r="AW1226" s="736"/>
      <c r="AX1226" s="736"/>
      <c r="AY1226" s="736"/>
      <c r="AZ1226" s="736"/>
      <c r="BA1226" s="736"/>
      <c r="BB1226" s="736"/>
      <c r="BC1226" s="736"/>
      <c r="BD1226" s="736"/>
      <c r="BE1226" s="736"/>
      <c r="BF1226" s="736"/>
      <c r="BG1226" s="736"/>
      <c r="BH1226" s="736"/>
      <c r="BI1226" s="736"/>
      <c r="BJ1226" s="736"/>
      <c r="BK1226" s="736"/>
      <c r="BL1226" s="736"/>
    </row>
    <row r="1227" spans="1:64" ht="18.75" x14ac:dyDescent="0.25">
      <c r="A1227" s="758"/>
      <c r="B1227" s="737"/>
      <c r="C1227" s="730"/>
      <c r="D1227" s="739"/>
      <c r="E1227" s="765"/>
      <c r="F1227" s="765"/>
      <c r="G1227" s="765"/>
      <c r="H1227" s="765"/>
      <c r="I1227" s="746" t="str">
        <f t="shared" si="58"/>
        <v/>
      </c>
      <c r="J1227" s="731"/>
      <c r="K1227" s="731" t="str">
        <f t="shared" si="57"/>
        <v/>
      </c>
      <c r="L1227" s="726"/>
      <c r="M1227" s="726"/>
      <c r="N1227" s="726"/>
      <c r="O1227" s="726"/>
      <c r="P1227" s="726"/>
      <c r="Q1227" s="726"/>
      <c r="R1227" s="726"/>
      <c r="S1227" s="726"/>
      <c r="T1227" s="726"/>
      <c r="U1227" s="726"/>
      <c r="V1227" s="726"/>
      <c r="W1227" s="726"/>
      <c r="X1227" s="726"/>
      <c r="Y1227" s="726"/>
      <c r="Z1227" s="726"/>
      <c r="AA1227" s="732"/>
      <c r="AB1227" s="732"/>
      <c r="AC1227" s="732"/>
      <c r="AD1227" s="732"/>
      <c r="AE1227" s="733"/>
      <c r="AF1227" s="734" t="str">
        <f t="shared" si="59"/>
        <v/>
      </c>
      <c r="AG1227" s="774"/>
      <c r="AH1227" s="778"/>
      <c r="AI1227" s="736"/>
      <c r="AJ1227" s="736"/>
      <c r="AK1227" s="736"/>
      <c r="AL1227" s="736"/>
      <c r="AM1227" s="736"/>
      <c r="AN1227" s="736"/>
      <c r="AO1227" s="736"/>
      <c r="AP1227" s="736"/>
      <c r="AQ1227" s="736"/>
      <c r="AR1227" s="736"/>
      <c r="AS1227" s="736"/>
      <c r="AT1227" s="736"/>
      <c r="AU1227" s="736"/>
      <c r="AV1227" s="736"/>
      <c r="AW1227" s="736"/>
      <c r="AX1227" s="736"/>
      <c r="AY1227" s="736"/>
      <c r="AZ1227" s="736"/>
      <c r="BA1227" s="736"/>
      <c r="BB1227" s="736"/>
      <c r="BC1227" s="736"/>
      <c r="BD1227" s="736"/>
      <c r="BE1227" s="736"/>
      <c r="BF1227" s="736"/>
      <c r="BG1227" s="736"/>
      <c r="BH1227" s="736"/>
      <c r="BI1227" s="736"/>
      <c r="BJ1227" s="736"/>
      <c r="BK1227" s="736"/>
      <c r="BL1227" s="736"/>
    </row>
    <row r="1228" spans="1:64" ht="18.75" x14ac:dyDescent="0.25">
      <c r="A1228" s="758"/>
      <c r="B1228" s="737"/>
      <c r="C1228" s="730"/>
      <c r="D1228" s="739"/>
      <c r="E1228" s="765"/>
      <c r="F1228" s="765"/>
      <c r="G1228" s="765"/>
      <c r="H1228" s="765"/>
      <c r="I1228" s="746" t="str">
        <f t="shared" si="58"/>
        <v/>
      </c>
      <c r="J1228" s="731"/>
      <c r="K1228" s="731" t="str">
        <f t="shared" si="57"/>
        <v/>
      </c>
      <c r="L1228" s="726"/>
      <c r="M1228" s="726"/>
      <c r="N1228" s="726"/>
      <c r="O1228" s="726"/>
      <c r="P1228" s="726"/>
      <c r="Q1228" s="726"/>
      <c r="R1228" s="726"/>
      <c r="S1228" s="726"/>
      <c r="T1228" s="726"/>
      <c r="U1228" s="726"/>
      <c r="V1228" s="726"/>
      <c r="W1228" s="726"/>
      <c r="X1228" s="726"/>
      <c r="Y1228" s="726"/>
      <c r="Z1228" s="726"/>
      <c r="AA1228" s="732"/>
      <c r="AB1228" s="732"/>
      <c r="AC1228" s="732"/>
      <c r="AD1228" s="732"/>
      <c r="AE1228" s="733"/>
      <c r="AF1228" s="734" t="str">
        <f t="shared" si="59"/>
        <v/>
      </c>
      <c r="AG1228" s="773"/>
    </row>
    <row r="1229" spans="1:64" ht="18.75" x14ac:dyDescent="0.25">
      <c r="A1229" s="758"/>
      <c r="B1229" s="737"/>
      <c r="C1229" s="730"/>
      <c r="D1229" s="739"/>
      <c r="E1229" s="765"/>
      <c r="F1229" s="765"/>
      <c r="G1229" s="765"/>
      <c r="H1229" s="765"/>
      <c r="I1229" s="746" t="str">
        <f t="shared" si="58"/>
        <v/>
      </c>
      <c r="J1229" s="731"/>
      <c r="K1229" s="731" t="str">
        <f t="shared" si="57"/>
        <v/>
      </c>
      <c r="L1229" s="726"/>
      <c r="M1229" s="726"/>
      <c r="N1229" s="726"/>
      <c r="O1229" s="726"/>
      <c r="P1229" s="726"/>
      <c r="Q1229" s="726"/>
      <c r="R1229" s="726"/>
      <c r="S1229" s="726"/>
      <c r="T1229" s="726"/>
      <c r="U1229" s="726"/>
      <c r="V1229" s="726"/>
      <c r="W1229" s="726"/>
      <c r="X1229" s="726"/>
      <c r="Y1229" s="726"/>
      <c r="Z1229" s="726"/>
      <c r="AA1229" s="732"/>
      <c r="AB1229" s="732"/>
      <c r="AC1229" s="732"/>
      <c r="AD1229" s="732"/>
      <c r="AE1229" s="733"/>
      <c r="AF1229" s="734" t="str">
        <f t="shared" si="59"/>
        <v/>
      </c>
      <c r="AG1229" s="773"/>
    </row>
    <row r="1230" spans="1:64" ht="18.75" x14ac:dyDescent="0.25">
      <c r="A1230" s="758"/>
      <c r="B1230" s="737"/>
      <c r="C1230" s="730"/>
      <c r="D1230" s="739"/>
      <c r="E1230" s="765"/>
      <c r="F1230" s="765"/>
      <c r="G1230" s="765"/>
      <c r="H1230" s="765"/>
      <c r="I1230" s="746" t="str">
        <f t="shared" si="58"/>
        <v/>
      </c>
      <c r="J1230" s="731"/>
      <c r="K1230" s="731" t="str">
        <f t="shared" si="57"/>
        <v/>
      </c>
      <c r="L1230" s="726"/>
      <c r="M1230" s="726"/>
      <c r="N1230" s="726"/>
      <c r="O1230" s="726"/>
      <c r="P1230" s="726"/>
      <c r="Q1230" s="726"/>
      <c r="R1230" s="726"/>
      <c r="S1230" s="726"/>
      <c r="T1230" s="726"/>
      <c r="U1230" s="726"/>
      <c r="V1230" s="726"/>
      <c r="W1230" s="726"/>
      <c r="X1230" s="726"/>
      <c r="Y1230" s="726"/>
      <c r="Z1230" s="726"/>
      <c r="AA1230" s="732"/>
      <c r="AB1230" s="732"/>
      <c r="AC1230" s="732"/>
      <c r="AD1230" s="732"/>
      <c r="AE1230" s="733"/>
      <c r="AF1230" s="734" t="str">
        <f t="shared" si="59"/>
        <v/>
      </c>
      <c r="AG1230" s="773"/>
    </row>
    <row r="1231" spans="1:64" ht="18.75" x14ac:dyDescent="0.25">
      <c r="A1231" s="758"/>
      <c r="B1231" s="737"/>
      <c r="C1231" s="730"/>
      <c r="D1231" s="739"/>
      <c r="E1231" s="765"/>
      <c r="F1231" s="765"/>
      <c r="G1231" s="765"/>
      <c r="H1231" s="765"/>
      <c r="I1231" s="746" t="str">
        <f t="shared" si="58"/>
        <v/>
      </c>
      <c r="J1231" s="731"/>
      <c r="K1231" s="731" t="str">
        <f t="shared" si="57"/>
        <v/>
      </c>
      <c r="L1231" s="726"/>
      <c r="M1231" s="726"/>
      <c r="N1231" s="726"/>
      <c r="O1231" s="726"/>
      <c r="P1231" s="726"/>
      <c r="Q1231" s="726"/>
      <c r="R1231" s="726"/>
      <c r="S1231" s="726"/>
      <c r="T1231" s="726"/>
      <c r="U1231" s="726"/>
      <c r="V1231" s="726"/>
      <c r="W1231" s="726"/>
      <c r="X1231" s="726"/>
      <c r="Y1231" s="726"/>
      <c r="Z1231" s="726"/>
      <c r="AA1231" s="732"/>
      <c r="AB1231" s="732"/>
      <c r="AC1231" s="732"/>
      <c r="AD1231" s="732"/>
      <c r="AE1231" s="733"/>
      <c r="AF1231" s="734" t="str">
        <f t="shared" si="59"/>
        <v/>
      </c>
      <c r="AG1231" s="774"/>
      <c r="AH1231" s="778"/>
      <c r="AI1231" s="736"/>
      <c r="AJ1231" s="736"/>
      <c r="AK1231" s="736"/>
      <c r="AL1231" s="736"/>
      <c r="AM1231" s="736"/>
      <c r="AN1231" s="736"/>
      <c r="AO1231" s="736"/>
      <c r="AP1231" s="736"/>
      <c r="AQ1231" s="736"/>
      <c r="AR1231" s="736"/>
      <c r="AS1231" s="736"/>
      <c r="AT1231" s="736"/>
      <c r="AU1231" s="736"/>
      <c r="AV1231" s="736"/>
      <c r="AW1231" s="736"/>
      <c r="AX1231" s="736"/>
      <c r="AY1231" s="736"/>
      <c r="AZ1231" s="736"/>
      <c r="BA1231" s="736"/>
      <c r="BB1231" s="736"/>
      <c r="BC1231" s="736"/>
      <c r="BD1231" s="736"/>
      <c r="BE1231" s="736"/>
      <c r="BF1231" s="736"/>
      <c r="BG1231" s="736"/>
      <c r="BH1231" s="736"/>
      <c r="BI1231" s="736"/>
      <c r="BJ1231" s="736"/>
      <c r="BK1231" s="736"/>
      <c r="BL1231" s="736"/>
    </row>
    <row r="1232" spans="1:64" ht="18.75" x14ac:dyDescent="0.25">
      <c r="A1232" s="758"/>
      <c r="B1232" s="737"/>
      <c r="C1232" s="730"/>
      <c r="D1232" s="739"/>
      <c r="E1232" s="765"/>
      <c r="F1232" s="765"/>
      <c r="G1232" s="765"/>
      <c r="H1232" s="765"/>
      <c r="I1232" s="746" t="str">
        <f t="shared" si="58"/>
        <v/>
      </c>
      <c r="J1232" s="731"/>
      <c r="K1232" s="731" t="str">
        <f t="shared" si="57"/>
        <v/>
      </c>
      <c r="L1232" s="726"/>
      <c r="M1232" s="726"/>
      <c r="N1232" s="726"/>
      <c r="O1232" s="726"/>
      <c r="P1232" s="726"/>
      <c r="Q1232" s="726"/>
      <c r="R1232" s="726"/>
      <c r="S1232" s="726"/>
      <c r="T1232" s="726"/>
      <c r="U1232" s="726"/>
      <c r="V1232" s="726"/>
      <c r="W1232" s="726"/>
      <c r="X1232" s="726"/>
      <c r="Y1232" s="726"/>
      <c r="Z1232" s="726"/>
      <c r="AA1232" s="732"/>
      <c r="AB1232" s="732"/>
      <c r="AC1232" s="732"/>
      <c r="AD1232" s="732"/>
      <c r="AE1232" s="733"/>
      <c r="AF1232" s="734" t="str">
        <f t="shared" si="59"/>
        <v/>
      </c>
      <c r="AG1232" s="773"/>
    </row>
    <row r="1233" spans="1:64" ht="18.75" x14ac:dyDescent="0.25">
      <c r="A1233" s="758"/>
      <c r="B1233" s="737"/>
      <c r="C1233" s="730"/>
      <c r="D1233" s="739"/>
      <c r="E1233" s="765"/>
      <c r="F1233" s="765"/>
      <c r="G1233" s="765"/>
      <c r="H1233" s="765"/>
      <c r="I1233" s="746" t="str">
        <f t="shared" si="58"/>
        <v/>
      </c>
      <c r="J1233" s="731"/>
      <c r="K1233" s="731" t="str">
        <f t="shared" si="57"/>
        <v/>
      </c>
      <c r="L1233" s="726"/>
      <c r="M1233" s="726"/>
      <c r="N1233" s="726"/>
      <c r="O1233" s="726"/>
      <c r="P1233" s="726"/>
      <c r="Q1233" s="726"/>
      <c r="R1233" s="726"/>
      <c r="S1233" s="726"/>
      <c r="T1233" s="726"/>
      <c r="U1233" s="726"/>
      <c r="V1233" s="726"/>
      <c r="W1233" s="726"/>
      <c r="X1233" s="726"/>
      <c r="Y1233" s="726"/>
      <c r="Z1233" s="726"/>
      <c r="AA1233" s="732"/>
      <c r="AB1233" s="732"/>
      <c r="AC1233" s="732"/>
      <c r="AD1233" s="732"/>
      <c r="AE1233" s="733"/>
      <c r="AF1233" s="734" t="str">
        <f t="shared" si="59"/>
        <v/>
      </c>
      <c r="AG1233" s="773"/>
    </row>
    <row r="1234" spans="1:64" ht="18.75" x14ac:dyDescent="0.25">
      <c r="A1234" s="758"/>
      <c r="B1234" s="737"/>
      <c r="C1234" s="730"/>
      <c r="D1234" s="739"/>
      <c r="E1234" s="765"/>
      <c r="F1234" s="765"/>
      <c r="G1234" s="765"/>
      <c r="H1234" s="765"/>
      <c r="I1234" s="746" t="str">
        <f t="shared" si="58"/>
        <v/>
      </c>
      <c r="J1234" s="731"/>
      <c r="K1234" s="731" t="str">
        <f t="shared" si="57"/>
        <v/>
      </c>
      <c r="L1234" s="726"/>
      <c r="M1234" s="726"/>
      <c r="N1234" s="726"/>
      <c r="O1234" s="726"/>
      <c r="P1234" s="726"/>
      <c r="Q1234" s="726"/>
      <c r="R1234" s="726"/>
      <c r="S1234" s="726"/>
      <c r="T1234" s="726"/>
      <c r="U1234" s="726"/>
      <c r="V1234" s="726"/>
      <c r="W1234" s="726"/>
      <c r="X1234" s="726"/>
      <c r="Y1234" s="726"/>
      <c r="Z1234" s="726"/>
      <c r="AA1234" s="732"/>
      <c r="AB1234" s="732"/>
      <c r="AC1234" s="732"/>
      <c r="AD1234" s="732"/>
      <c r="AE1234" s="733"/>
      <c r="AF1234" s="734" t="str">
        <f t="shared" si="59"/>
        <v/>
      </c>
      <c r="AG1234" s="773"/>
    </row>
    <row r="1235" spans="1:64" ht="18.75" x14ac:dyDescent="0.25">
      <c r="A1235" s="758"/>
      <c r="B1235" s="737"/>
      <c r="C1235" s="730"/>
      <c r="D1235" s="739"/>
      <c r="E1235" s="765"/>
      <c r="F1235" s="765"/>
      <c r="G1235" s="765"/>
      <c r="H1235" s="765"/>
      <c r="I1235" s="746" t="str">
        <f t="shared" si="58"/>
        <v/>
      </c>
      <c r="J1235" s="731"/>
      <c r="K1235" s="731" t="str">
        <f t="shared" si="57"/>
        <v/>
      </c>
      <c r="L1235" s="726"/>
      <c r="M1235" s="726"/>
      <c r="N1235" s="726"/>
      <c r="O1235" s="726"/>
      <c r="P1235" s="726"/>
      <c r="Q1235" s="726"/>
      <c r="R1235" s="726"/>
      <c r="S1235" s="726"/>
      <c r="T1235" s="726"/>
      <c r="U1235" s="726"/>
      <c r="V1235" s="726"/>
      <c r="W1235" s="726"/>
      <c r="X1235" s="726"/>
      <c r="Y1235" s="726"/>
      <c r="Z1235" s="726"/>
      <c r="AA1235" s="732"/>
      <c r="AB1235" s="732"/>
      <c r="AC1235" s="732"/>
      <c r="AD1235" s="732"/>
      <c r="AE1235" s="733"/>
      <c r="AF1235" s="734" t="str">
        <f t="shared" si="59"/>
        <v/>
      </c>
      <c r="AG1235" s="773"/>
    </row>
    <row r="1236" spans="1:64" ht="18.75" x14ac:dyDescent="0.25">
      <c r="A1236" s="758"/>
      <c r="B1236" s="737"/>
      <c r="C1236" s="730"/>
      <c r="D1236" s="739"/>
      <c r="E1236" s="765"/>
      <c r="F1236" s="765"/>
      <c r="G1236" s="765"/>
      <c r="H1236" s="765"/>
      <c r="I1236" s="746" t="str">
        <f t="shared" si="58"/>
        <v/>
      </c>
      <c r="J1236" s="731"/>
      <c r="K1236" s="731" t="str">
        <f t="shared" si="57"/>
        <v/>
      </c>
      <c r="L1236" s="726"/>
      <c r="M1236" s="726"/>
      <c r="N1236" s="726"/>
      <c r="O1236" s="726"/>
      <c r="P1236" s="726"/>
      <c r="Q1236" s="726"/>
      <c r="R1236" s="726"/>
      <c r="S1236" s="726"/>
      <c r="T1236" s="726"/>
      <c r="U1236" s="726"/>
      <c r="V1236" s="726"/>
      <c r="W1236" s="726"/>
      <c r="X1236" s="726"/>
      <c r="Y1236" s="726"/>
      <c r="Z1236" s="726"/>
      <c r="AA1236" s="732"/>
      <c r="AB1236" s="732"/>
      <c r="AC1236" s="732"/>
      <c r="AD1236" s="732"/>
      <c r="AE1236" s="733"/>
      <c r="AF1236" s="734" t="str">
        <f t="shared" si="59"/>
        <v/>
      </c>
      <c r="AG1236" s="773"/>
    </row>
    <row r="1237" spans="1:64" ht="18.75" x14ac:dyDescent="0.25">
      <c r="A1237" s="758"/>
      <c r="B1237" s="737"/>
      <c r="C1237" s="730"/>
      <c r="D1237" s="739"/>
      <c r="E1237" s="765"/>
      <c r="F1237" s="765"/>
      <c r="G1237" s="765"/>
      <c r="H1237" s="765"/>
      <c r="I1237" s="746" t="str">
        <f t="shared" si="58"/>
        <v/>
      </c>
      <c r="J1237" s="731"/>
      <c r="K1237" s="731" t="str">
        <f t="shared" si="57"/>
        <v/>
      </c>
      <c r="L1237" s="726"/>
      <c r="M1237" s="726"/>
      <c r="N1237" s="726"/>
      <c r="O1237" s="726"/>
      <c r="P1237" s="726"/>
      <c r="Q1237" s="726"/>
      <c r="R1237" s="726"/>
      <c r="S1237" s="726"/>
      <c r="T1237" s="726"/>
      <c r="U1237" s="726"/>
      <c r="V1237" s="726"/>
      <c r="W1237" s="726"/>
      <c r="X1237" s="726"/>
      <c r="Y1237" s="726"/>
      <c r="Z1237" s="726"/>
      <c r="AA1237" s="732"/>
      <c r="AB1237" s="732"/>
      <c r="AC1237" s="732"/>
      <c r="AD1237" s="732"/>
      <c r="AE1237" s="733"/>
      <c r="AF1237" s="734" t="str">
        <f t="shared" si="59"/>
        <v/>
      </c>
      <c r="AG1237" s="773"/>
    </row>
    <row r="1238" spans="1:64" ht="18.75" x14ac:dyDescent="0.25">
      <c r="A1238" s="758"/>
      <c r="B1238" s="737"/>
      <c r="C1238" s="730"/>
      <c r="D1238" s="739"/>
      <c r="E1238" s="765"/>
      <c r="F1238" s="765"/>
      <c r="G1238" s="765"/>
      <c r="H1238" s="765"/>
      <c r="I1238" s="746" t="str">
        <f t="shared" si="58"/>
        <v/>
      </c>
      <c r="J1238" s="731"/>
      <c r="K1238" s="731" t="str">
        <f t="shared" si="57"/>
        <v/>
      </c>
      <c r="L1238" s="726"/>
      <c r="M1238" s="726"/>
      <c r="N1238" s="726"/>
      <c r="O1238" s="726"/>
      <c r="P1238" s="726"/>
      <c r="Q1238" s="726"/>
      <c r="R1238" s="726"/>
      <c r="S1238" s="726"/>
      <c r="T1238" s="726"/>
      <c r="U1238" s="726"/>
      <c r="V1238" s="726"/>
      <c r="W1238" s="726"/>
      <c r="X1238" s="726"/>
      <c r="Y1238" s="726"/>
      <c r="Z1238" s="726"/>
      <c r="AA1238" s="732"/>
      <c r="AB1238" s="732"/>
      <c r="AC1238" s="732"/>
      <c r="AD1238" s="732"/>
      <c r="AE1238" s="733"/>
      <c r="AF1238" s="734" t="str">
        <f t="shared" si="59"/>
        <v/>
      </c>
      <c r="AG1238" s="773"/>
    </row>
    <row r="1239" spans="1:64" ht="18.75" x14ac:dyDescent="0.25">
      <c r="A1239" s="758"/>
      <c r="B1239" s="737"/>
      <c r="C1239" s="730"/>
      <c r="D1239" s="739"/>
      <c r="E1239" s="765"/>
      <c r="F1239" s="765"/>
      <c r="G1239" s="765"/>
      <c r="H1239" s="765"/>
      <c r="I1239" s="746" t="str">
        <f t="shared" si="58"/>
        <v/>
      </c>
      <c r="J1239" s="731"/>
      <c r="K1239" s="731" t="str">
        <f t="shared" si="57"/>
        <v/>
      </c>
      <c r="L1239" s="726"/>
      <c r="M1239" s="726"/>
      <c r="N1239" s="726"/>
      <c r="O1239" s="726"/>
      <c r="P1239" s="726"/>
      <c r="Q1239" s="726"/>
      <c r="R1239" s="726"/>
      <c r="S1239" s="726"/>
      <c r="T1239" s="726"/>
      <c r="U1239" s="726"/>
      <c r="V1239" s="726"/>
      <c r="W1239" s="726"/>
      <c r="X1239" s="726"/>
      <c r="Y1239" s="726"/>
      <c r="Z1239" s="726"/>
      <c r="AA1239" s="732"/>
      <c r="AB1239" s="732"/>
      <c r="AC1239" s="732"/>
      <c r="AD1239" s="732"/>
      <c r="AE1239" s="733"/>
      <c r="AF1239" s="734" t="str">
        <f t="shared" si="59"/>
        <v/>
      </c>
      <c r="AG1239" s="773"/>
    </row>
    <row r="1240" spans="1:64" ht="18.75" x14ac:dyDescent="0.25">
      <c r="A1240" s="758"/>
      <c r="B1240" s="737"/>
      <c r="C1240" s="730"/>
      <c r="D1240" s="739"/>
      <c r="E1240" s="765"/>
      <c r="F1240" s="765"/>
      <c r="G1240" s="765"/>
      <c r="H1240" s="765"/>
      <c r="I1240" s="746" t="str">
        <f t="shared" si="58"/>
        <v/>
      </c>
      <c r="J1240" s="731"/>
      <c r="K1240" s="731" t="str">
        <f t="shared" si="57"/>
        <v/>
      </c>
      <c r="L1240" s="726"/>
      <c r="M1240" s="726"/>
      <c r="N1240" s="726"/>
      <c r="O1240" s="726"/>
      <c r="P1240" s="726"/>
      <c r="Q1240" s="726"/>
      <c r="R1240" s="726"/>
      <c r="S1240" s="726"/>
      <c r="T1240" s="726"/>
      <c r="U1240" s="726"/>
      <c r="V1240" s="726"/>
      <c r="W1240" s="726"/>
      <c r="X1240" s="726"/>
      <c r="Y1240" s="726"/>
      <c r="Z1240" s="726"/>
      <c r="AA1240" s="732"/>
      <c r="AB1240" s="732"/>
      <c r="AC1240" s="732"/>
      <c r="AD1240" s="732"/>
      <c r="AE1240" s="733"/>
      <c r="AF1240" s="734" t="str">
        <f t="shared" si="59"/>
        <v/>
      </c>
      <c r="AG1240" s="773"/>
    </row>
    <row r="1241" spans="1:64" ht="18.75" x14ac:dyDescent="0.25">
      <c r="A1241" s="758"/>
      <c r="B1241" s="737"/>
      <c r="C1241" s="730"/>
      <c r="D1241" s="739"/>
      <c r="E1241" s="765"/>
      <c r="F1241" s="765"/>
      <c r="G1241" s="765"/>
      <c r="H1241" s="765"/>
      <c r="I1241" s="746" t="str">
        <f t="shared" si="58"/>
        <v/>
      </c>
      <c r="J1241" s="731"/>
      <c r="K1241" s="731" t="str">
        <f t="shared" si="57"/>
        <v/>
      </c>
      <c r="L1241" s="726"/>
      <c r="M1241" s="726"/>
      <c r="N1241" s="726"/>
      <c r="O1241" s="726"/>
      <c r="P1241" s="726"/>
      <c r="Q1241" s="726"/>
      <c r="R1241" s="726"/>
      <c r="S1241" s="726"/>
      <c r="T1241" s="726"/>
      <c r="U1241" s="726"/>
      <c r="V1241" s="726"/>
      <c r="W1241" s="726"/>
      <c r="X1241" s="726"/>
      <c r="Y1241" s="726"/>
      <c r="Z1241" s="726"/>
      <c r="AA1241" s="732"/>
      <c r="AB1241" s="732"/>
      <c r="AC1241" s="732"/>
      <c r="AD1241" s="732"/>
      <c r="AE1241" s="733"/>
      <c r="AF1241" s="734" t="str">
        <f t="shared" si="59"/>
        <v/>
      </c>
      <c r="AG1241" s="773"/>
    </row>
    <row r="1242" spans="1:64" ht="18.75" x14ac:dyDescent="0.25">
      <c r="A1242" s="758"/>
      <c r="B1242" s="737"/>
      <c r="C1242" s="730"/>
      <c r="D1242" s="739"/>
      <c r="E1242" s="765"/>
      <c r="F1242" s="765"/>
      <c r="G1242" s="765"/>
      <c r="H1242" s="765"/>
      <c r="I1242" s="746" t="str">
        <f t="shared" si="58"/>
        <v/>
      </c>
      <c r="J1242" s="731"/>
      <c r="K1242" s="731" t="str">
        <f t="shared" si="57"/>
        <v/>
      </c>
      <c r="L1242" s="726"/>
      <c r="M1242" s="726"/>
      <c r="N1242" s="726"/>
      <c r="O1242" s="726"/>
      <c r="P1242" s="726"/>
      <c r="Q1242" s="726"/>
      <c r="R1242" s="726"/>
      <c r="S1242" s="726"/>
      <c r="T1242" s="726"/>
      <c r="U1242" s="726"/>
      <c r="V1242" s="726"/>
      <c r="W1242" s="726"/>
      <c r="X1242" s="726"/>
      <c r="Y1242" s="726"/>
      <c r="Z1242" s="726"/>
      <c r="AA1242" s="732"/>
      <c r="AB1242" s="732"/>
      <c r="AC1242" s="732"/>
      <c r="AD1242" s="732"/>
      <c r="AE1242" s="733"/>
      <c r="AF1242" s="734" t="str">
        <f t="shared" si="59"/>
        <v/>
      </c>
      <c r="AG1242" s="773"/>
    </row>
    <row r="1243" spans="1:64" ht="19.5" customHeight="1" x14ac:dyDescent="0.25">
      <c r="A1243" s="758"/>
      <c r="B1243" s="737"/>
      <c r="C1243" s="730"/>
      <c r="D1243" s="739"/>
      <c r="E1243" s="765"/>
      <c r="F1243" s="765"/>
      <c r="G1243" s="765"/>
      <c r="H1243" s="765"/>
      <c r="I1243" s="746" t="str">
        <f t="shared" si="58"/>
        <v/>
      </c>
      <c r="J1243" s="731"/>
      <c r="K1243" s="731" t="str">
        <f t="shared" si="57"/>
        <v/>
      </c>
      <c r="L1243" s="726"/>
      <c r="M1243" s="726"/>
      <c r="N1243" s="726"/>
      <c r="O1243" s="726"/>
      <c r="P1243" s="726"/>
      <c r="Q1243" s="726"/>
      <c r="R1243" s="726"/>
      <c r="S1243" s="726"/>
      <c r="T1243" s="726"/>
      <c r="U1243" s="726"/>
      <c r="V1243" s="726"/>
      <c r="W1243" s="726"/>
      <c r="X1243" s="726"/>
      <c r="Y1243" s="726"/>
      <c r="Z1243" s="726"/>
      <c r="AA1243" s="732"/>
      <c r="AB1243" s="732"/>
      <c r="AC1243" s="732"/>
      <c r="AD1243" s="732"/>
      <c r="AE1243" s="733"/>
      <c r="AF1243" s="734" t="str">
        <f t="shared" si="59"/>
        <v/>
      </c>
      <c r="AG1243" s="773"/>
    </row>
    <row r="1244" spans="1:64" ht="18.75" x14ac:dyDescent="0.25">
      <c r="A1244" s="758"/>
      <c r="B1244" s="737"/>
      <c r="C1244" s="730"/>
      <c r="D1244" s="739"/>
      <c r="E1244" s="765"/>
      <c r="F1244" s="765"/>
      <c r="G1244" s="765"/>
      <c r="H1244" s="765"/>
      <c r="I1244" s="746" t="str">
        <f t="shared" si="58"/>
        <v/>
      </c>
      <c r="J1244" s="731"/>
      <c r="K1244" s="731" t="str">
        <f t="shared" si="57"/>
        <v/>
      </c>
      <c r="L1244" s="726"/>
      <c r="M1244" s="726"/>
      <c r="N1244" s="726"/>
      <c r="O1244" s="726"/>
      <c r="P1244" s="726"/>
      <c r="Q1244" s="726"/>
      <c r="R1244" s="726"/>
      <c r="S1244" s="726"/>
      <c r="T1244" s="726"/>
      <c r="U1244" s="726"/>
      <c r="V1244" s="726"/>
      <c r="W1244" s="726"/>
      <c r="X1244" s="726"/>
      <c r="Y1244" s="726"/>
      <c r="Z1244" s="726"/>
      <c r="AA1244" s="732"/>
      <c r="AB1244" s="732"/>
      <c r="AC1244" s="732"/>
      <c r="AD1244" s="732"/>
      <c r="AE1244" s="733"/>
      <c r="AF1244" s="734" t="str">
        <f t="shared" si="59"/>
        <v/>
      </c>
      <c r="AG1244" s="773"/>
    </row>
    <row r="1245" spans="1:64" ht="18.75" x14ac:dyDescent="0.25">
      <c r="A1245" s="758"/>
      <c r="B1245" s="737"/>
      <c r="C1245" s="730"/>
      <c r="D1245" s="739"/>
      <c r="E1245" s="765"/>
      <c r="F1245" s="765"/>
      <c r="G1245" s="765"/>
      <c r="H1245" s="765"/>
      <c r="I1245" s="746" t="str">
        <f t="shared" si="58"/>
        <v/>
      </c>
      <c r="J1245" s="731"/>
      <c r="K1245" s="731" t="str">
        <f t="shared" si="57"/>
        <v/>
      </c>
      <c r="L1245" s="726"/>
      <c r="M1245" s="726"/>
      <c r="N1245" s="726"/>
      <c r="O1245" s="726"/>
      <c r="P1245" s="726"/>
      <c r="Q1245" s="726"/>
      <c r="R1245" s="726"/>
      <c r="S1245" s="726"/>
      <c r="T1245" s="726"/>
      <c r="U1245" s="726"/>
      <c r="V1245" s="726"/>
      <c r="W1245" s="726"/>
      <c r="X1245" s="726"/>
      <c r="Y1245" s="726"/>
      <c r="Z1245" s="726"/>
      <c r="AA1245" s="732"/>
      <c r="AB1245" s="732"/>
      <c r="AC1245" s="732"/>
      <c r="AD1245" s="732"/>
      <c r="AE1245" s="733"/>
      <c r="AF1245" s="734" t="str">
        <f t="shared" si="59"/>
        <v/>
      </c>
      <c r="AG1245" s="773"/>
    </row>
    <row r="1246" spans="1:64" ht="19.5" customHeight="1" x14ac:dyDescent="0.25">
      <c r="A1246" s="758"/>
      <c r="B1246" s="737"/>
      <c r="C1246" s="730"/>
      <c r="D1246" s="739"/>
      <c r="E1246" s="765"/>
      <c r="F1246" s="765"/>
      <c r="G1246" s="765"/>
      <c r="H1246" s="765"/>
      <c r="I1246" s="746" t="str">
        <f t="shared" si="58"/>
        <v/>
      </c>
      <c r="J1246" s="731"/>
      <c r="K1246" s="731" t="str">
        <f t="shared" si="57"/>
        <v/>
      </c>
      <c r="L1246" s="726"/>
      <c r="M1246" s="726"/>
      <c r="N1246" s="726"/>
      <c r="O1246" s="726"/>
      <c r="P1246" s="726"/>
      <c r="Q1246" s="726"/>
      <c r="R1246" s="726"/>
      <c r="S1246" s="726"/>
      <c r="T1246" s="726"/>
      <c r="U1246" s="726"/>
      <c r="V1246" s="726"/>
      <c r="W1246" s="726"/>
      <c r="X1246" s="726"/>
      <c r="Y1246" s="726"/>
      <c r="Z1246" s="726"/>
      <c r="AA1246" s="732"/>
      <c r="AB1246" s="732"/>
      <c r="AC1246" s="732"/>
      <c r="AD1246" s="732"/>
      <c r="AE1246" s="733"/>
      <c r="AF1246" s="734" t="str">
        <f t="shared" si="59"/>
        <v/>
      </c>
      <c r="AG1246" s="775"/>
      <c r="AH1246" s="779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36"/>
      <c r="AZ1246" s="36"/>
      <c r="BA1246" s="36"/>
      <c r="BB1246" s="36"/>
      <c r="BC1246" s="36"/>
      <c r="BD1246" s="36"/>
      <c r="BE1246" s="36"/>
      <c r="BF1246" s="36"/>
      <c r="BG1246" s="36"/>
      <c r="BH1246" s="36"/>
      <c r="BI1246" s="36"/>
      <c r="BJ1246" s="36"/>
      <c r="BK1246" s="36"/>
      <c r="BL1246" s="36"/>
    </row>
    <row r="1247" spans="1:64" ht="19.5" customHeight="1" x14ac:dyDescent="0.25">
      <c r="A1247" s="758"/>
      <c r="B1247" s="737"/>
      <c r="C1247" s="730"/>
      <c r="D1247" s="739"/>
      <c r="E1247" s="765"/>
      <c r="F1247" s="765"/>
      <c r="G1247" s="765"/>
      <c r="H1247" s="765"/>
      <c r="I1247" s="746" t="str">
        <f t="shared" si="58"/>
        <v/>
      </c>
      <c r="J1247" s="731"/>
      <c r="K1247" s="731" t="str">
        <f t="shared" si="57"/>
        <v/>
      </c>
      <c r="L1247" s="726"/>
      <c r="M1247" s="726"/>
      <c r="N1247" s="726"/>
      <c r="O1247" s="726"/>
      <c r="P1247" s="726"/>
      <c r="Q1247" s="726"/>
      <c r="R1247" s="726"/>
      <c r="S1247" s="726"/>
      <c r="T1247" s="726"/>
      <c r="U1247" s="726"/>
      <c r="V1247" s="726"/>
      <c r="W1247" s="726"/>
      <c r="X1247" s="726"/>
      <c r="Y1247" s="726"/>
      <c r="Z1247" s="726"/>
      <c r="AA1247" s="732"/>
      <c r="AB1247" s="732"/>
      <c r="AC1247" s="732"/>
      <c r="AD1247" s="732"/>
      <c r="AE1247" s="733"/>
      <c r="AF1247" s="734" t="str">
        <f t="shared" si="59"/>
        <v/>
      </c>
      <c r="AG1247" s="775"/>
      <c r="AH1247" s="779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36"/>
      <c r="AZ1247" s="36"/>
      <c r="BA1247" s="36"/>
      <c r="BB1247" s="36"/>
      <c r="BC1247" s="36"/>
      <c r="BD1247" s="36"/>
      <c r="BE1247" s="36"/>
      <c r="BF1247" s="36"/>
      <c r="BG1247" s="36"/>
      <c r="BH1247" s="36"/>
      <c r="BI1247" s="36"/>
      <c r="BJ1247" s="36"/>
      <c r="BK1247" s="36"/>
      <c r="BL1247" s="36"/>
    </row>
    <row r="1248" spans="1:64" ht="18.75" x14ac:dyDescent="0.25">
      <c r="A1248" s="758"/>
      <c r="B1248" s="737"/>
      <c r="C1248" s="730"/>
      <c r="D1248" s="739"/>
      <c r="E1248" s="765"/>
      <c r="F1248" s="765"/>
      <c r="G1248" s="765"/>
      <c r="H1248" s="765"/>
      <c r="I1248" s="746" t="str">
        <f t="shared" si="58"/>
        <v/>
      </c>
      <c r="J1248" s="731"/>
      <c r="K1248" s="731" t="str">
        <f t="shared" si="57"/>
        <v/>
      </c>
      <c r="L1248" s="726"/>
      <c r="M1248" s="726"/>
      <c r="N1248" s="726"/>
      <c r="O1248" s="726"/>
      <c r="P1248" s="726"/>
      <c r="Q1248" s="726"/>
      <c r="R1248" s="726"/>
      <c r="S1248" s="726"/>
      <c r="T1248" s="726"/>
      <c r="U1248" s="726"/>
      <c r="V1248" s="726"/>
      <c r="W1248" s="726"/>
      <c r="X1248" s="726"/>
      <c r="Y1248" s="726"/>
      <c r="Z1248" s="726"/>
      <c r="AA1248" s="732"/>
      <c r="AB1248" s="732"/>
      <c r="AC1248" s="732"/>
      <c r="AD1248" s="732"/>
      <c r="AE1248" s="733"/>
      <c r="AF1248" s="734" t="str">
        <f t="shared" si="59"/>
        <v/>
      </c>
      <c r="AG1248" s="773"/>
    </row>
    <row r="1249" spans="1:64" ht="18.75" x14ac:dyDescent="0.25">
      <c r="A1249" s="758"/>
      <c r="B1249" s="737"/>
      <c r="C1249" s="730"/>
      <c r="D1249" s="739"/>
      <c r="E1249" s="765"/>
      <c r="F1249" s="765"/>
      <c r="G1249" s="765"/>
      <c r="H1249" s="765"/>
      <c r="I1249" s="746" t="str">
        <f t="shared" si="58"/>
        <v/>
      </c>
      <c r="J1249" s="731"/>
      <c r="K1249" s="731" t="str">
        <f t="shared" si="57"/>
        <v/>
      </c>
      <c r="L1249" s="726"/>
      <c r="M1249" s="726"/>
      <c r="N1249" s="726"/>
      <c r="O1249" s="726"/>
      <c r="P1249" s="726"/>
      <c r="Q1249" s="726"/>
      <c r="R1249" s="726"/>
      <c r="S1249" s="726"/>
      <c r="T1249" s="726"/>
      <c r="U1249" s="726"/>
      <c r="V1249" s="726"/>
      <c r="W1249" s="726"/>
      <c r="X1249" s="726"/>
      <c r="Y1249" s="726"/>
      <c r="Z1249" s="726"/>
      <c r="AA1249" s="732"/>
      <c r="AB1249" s="732"/>
      <c r="AC1249" s="732"/>
      <c r="AD1249" s="732"/>
      <c r="AE1249" s="733"/>
      <c r="AF1249" s="734" t="str">
        <f t="shared" si="59"/>
        <v/>
      </c>
      <c r="AG1249" s="773"/>
    </row>
    <row r="1250" spans="1:64" ht="18.75" x14ac:dyDescent="0.25">
      <c r="A1250" s="758"/>
      <c r="B1250" s="737"/>
      <c r="C1250" s="730"/>
      <c r="D1250" s="739"/>
      <c r="E1250" s="765"/>
      <c r="F1250" s="765"/>
      <c r="G1250" s="765"/>
      <c r="H1250" s="765"/>
      <c r="I1250" s="746" t="str">
        <f t="shared" si="58"/>
        <v/>
      </c>
      <c r="J1250" s="731"/>
      <c r="K1250" s="731" t="str">
        <f t="shared" si="57"/>
        <v/>
      </c>
      <c r="L1250" s="726"/>
      <c r="M1250" s="726"/>
      <c r="N1250" s="726"/>
      <c r="O1250" s="726"/>
      <c r="P1250" s="726"/>
      <c r="Q1250" s="726"/>
      <c r="R1250" s="726"/>
      <c r="S1250" s="726"/>
      <c r="T1250" s="726"/>
      <c r="U1250" s="726"/>
      <c r="V1250" s="726"/>
      <c r="W1250" s="726"/>
      <c r="X1250" s="726"/>
      <c r="Y1250" s="726"/>
      <c r="Z1250" s="726"/>
      <c r="AA1250" s="732"/>
      <c r="AB1250" s="732"/>
      <c r="AC1250" s="732"/>
      <c r="AD1250" s="732"/>
      <c r="AE1250" s="733"/>
      <c r="AF1250" s="734" t="str">
        <f t="shared" si="59"/>
        <v/>
      </c>
      <c r="AG1250" s="773"/>
    </row>
    <row r="1251" spans="1:64" ht="18.75" x14ac:dyDescent="0.25">
      <c r="A1251" s="758"/>
      <c r="B1251" s="737"/>
      <c r="C1251" s="730"/>
      <c r="D1251" s="739"/>
      <c r="E1251" s="765"/>
      <c r="F1251" s="765"/>
      <c r="G1251" s="765"/>
      <c r="H1251" s="765"/>
      <c r="I1251" s="746" t="str">
        <f t="shared" si="58"/>
        <v/>
      </c>
      <c r="J1251" s="731"/>
      <c r="K1251" s="731" t="str">
        <f t="shared" si="57"/>
        <v/>
      </c>
      <c r="L1251" s="726"/>
      <c r="M1251" s="726"/>
      <c r="N1251" s="726"/>
      <c r="O1251" s="726"/>
      <c r="P1251" s="726"/>
      <c r="Q1251" s="726"/>
      <c r="R1251" s="726"/>
      <c r="S1251" s="726"/>
      <c r="T1251" s="726"/>
      <c r="U1251" s="726"/>
      <c r="V1251" s="726"/>
      <c r="W1251" s="726"/>
      <c r="X1251" s="726"/>
      <c r="Y1251" s="726"/>
      <c r="Z1251" s="726"/>
      <c r="AA1251" s="732"/>
      <c r="AB1251" s="732"/>
      <c r="AC1251" s="732"/>
      <c r="AD1251" s="732"/>
      <c r="AE1251" s="733"/>
      <c r="AF1251" s="734" t="str">
        <f t="shared" si="59"/>
        <v/>
      </c>
      <c r="AG1251" s="773"/>
    </row>
    <row r="1252" spans="1:64" ht="18.75" x14ac:dyDescent="0.25">
      <c r="A1252" s="758"/>
      <c r="B1252" s="737"/>
      <c r="C1252" s="730"/>
      <c r="D1252" s="739"/>
      <c r="E1252" s="765"/>
      <c r="F1252" s="765"/>
      <c r="G1252" s="765"/>
      <c r="H1252" s="765"/>
      <c r="I1252" s="746" t="str">
        <f t="shared" si="58"/>
        <v/>
      </c>
      <c r="J1252" s="731"/>
      <c r="K1252" s="731" t="str">
        <f t="shared" si="57"/>
        <v/>
      </c>
      <c r="L1252" s="726"/>
      <c r="M1252" s="726"/>
      <c r="N1252" s="726"/>
      <c r="O1252" s="726"/>
      <c r="P1252" s="726"/>
      <c r="Q1252" s="726"/>
      <c r="R1252" s="726"/>
      <c r="S1252" s="726"/>
      <c r="T1252" s="726"/>
      <c r="U1252" s="726"/>
      <c r="V1252" s="726"/>
      <c r="W1252" s="726"/>
      <c r="X1252" s="726"/>
      <c r="Y1252" s="726"/>
      <c r="Z1252" s="726"/>
      <c r="AA1252" s="732"/>
      <c r="AB1252" s="732"/>
      <c r="AC1252" s="732"/>
      <c r="AD1252" s="732"/>
      <c r="AE1252" s="733"/>
      <c r="AF1252" s="734" t="str">
        <f t="shared" si="59"/>
        <v/>
      </c>
      <c r="AG1252" s="773"/>
    </row>
    <row r="1253" spans="1:64" ht="18.75" x14ac:dyDescent="0.25">
      <c r="A1253" s="758"/>
      <c r="B1253" s="737"/>
      <c r="C1253" s="730"/>
      <c r="D1253" s="739"/>
      <c r="E1253" s="765"/>
      <c r="F1253" s="765"/>
      <c r="G1253" s="765"/>
      <c r="H1253" s="765"/>
      <c r="I1253" s="746" t="str">
        <f t="shared" si="58"/>
        <v/>
      </c>
      <c r="J1253" s="731"/>
      <c r="K1253" s="731" t="str">
        <f t="shared" si="57"/>
        <v/>
      </c>
      <c r="L1253" s="726"/>
      <c r="M1253" s="726"/>
      <c r="N1253" s="726"/>
      <c r="O1253" s="726"/>
      <c r="P1253" s="726"/>
      <c r="Q1253" s="726"/>
      <c r="R1253" s="726"/>
      <c r="S1253" s="726"/>
      <c r="T1253" s="726"/>
      <c r="U1253" s="726"/>
      <c r="V1253" s="726"/>
      <c r="W1253" s="726"/>
      <c r="X1253" s="726"/>
      <c r="Y1253" s="726"/>
      <c r="Z1253" s="726"/>
      <c r="AA1253" s="732"/>
      <c r="AB1253" s="732"/>
      <c r="AC1253" s="732"/>
      <c r="AD1253" s="732"/>
      <c r="AE1253" s="733"/>
      <c r="AF1253" s="734" t="str">
        <f t="shared" si="59"/>
        <v/>
      </c>
      <c r="AG1253" s="773"/>
    </row>
    <row r="1254" spans="1:64" ht="18.75" x14ac:dyDescent="0.25">
      <c r="A1254" s="758"/>
      <c r="B1254" s="737"/>
      <c r="C1254" s="730"/>
      <c r="D1254" s="739"/>
      <c r="E1254" s="765"/>
      <c r="F1254" s="765"/>
      <c r="G1254" s="765"/>
      <c r="H1254" s="765"/>
      <c r="I1254" s="746" t="str">
        <f t="shared" si="58"/>
        <v/>
      </c>
      <c r="J1254" s="731"/>
      <c r="K1254" s="731" t="str">
        <f t="shared" si="57"/>
        <v/>
      </c>
      <c r="L1254" s="726"/>
      <c r="M1254" s="726"/>
      <c r="N1254" s="726"/>
      <c r="O1254" s="726"/>
      <c r="P1254" s="726"/>
      <c r="Q1254" s="726"/>
      <c r="R1254" s="726"/>
      <c r="S1254" s="726"/>
      <c r="T1254" s="726"/>
      <c r="U1254" s="726"/>
      <c r="V1254" s="726"/>
      <c r="W1254" s="726"/>
      <c r="X1254" s="726"/>
      <c r="Y1254" s="726"/>
      <c r="Z1254" s="726"/>
      <c r="AA1254" s="732"/>
      <c r="AB1254" s="732"/>
      <c r="AC1254" s="732"/>
      <c r="AD1254" s="732"/>
      <c r="AE1254" s="733"/>
      <c r="AF1254" s="734" t="str">
        <f t="shared" si="59"/>
        <v/>
      </c>
      <c r="AG1254" s="775"/>
      <c r="AH1254" s="779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36"/>
      <c r="AZ1254" s="36"/>
      <c r="BA1254" s="36"/>
      <c r="BB1254" s="36"/>
      <c r="BC1254" s="36"/>
      <c r="BD1254" s="36"/>
      <c r="BE1254" s="36"/>
      <c r="BF1254" s="36"/>
      <c r="BG1254" s="36"/>
      <c r="BH1254" s="36"/>
      <c r="BI1254" s="36"/>
      <c r="BJ1254" s="36"/>
      <c r="BK1254" s="36"/>
      <c r="BL1254" s="36"/>
    </row>
    <row r="1255" spans="1:64" ht="18.75" x14ac:dyDescent="0.25">
      <c r="A1255" s="758"/>
      <c r="B1255" s="737"/>
      <c r="C1255" s="730"/>
      <c r="D1255" s="739"/>
      <c r="E1255" s="765"/>
      <c r="F1255" s="765"/>
      <c r="G1255" s="765"/>
      <c r="H1255" s="765"/>
      <c r="I1255" s="746" t="str">
        <f t="shared" si="58"/>
        <v/>
      </c>
      <c r="J1255" s="731"/>
      <c r="K1255" s="731" t="str">
        <f t="shared" si="57"/>
        <v/>
      </c>
      <c r="L1255" s="726"/>
      <c r="M1255" s="726"/>
      <c r="N1255" s="726"/>
      <c r="O1255" s="726"/>
      <c r="P1255" s="726"/>
      <c r="Q1255" s="726"/>
      <c r="R1255" s="726"/>
      <c r="S1255" s="726"/>
      <c r="T1255" s="726"/>
      <c r="U1255" s="726"/>
      <c r="V1255" s="726"/>
      <c r="W1255" s="726"/>
      <c r="X1255" s="726"/>
      <c r="Y1255" s="726"/>
      <c r="Z1255" s="726"/>
      <c r="AA1255" s="732"/>
      <c r="AB1255" s="732"/>
      <c r="AC1255" s="732"/>
      <c r="AD1255" s="732"/>
      <c r="AE1255" s="733"/>
      <c r="AF1255" s="734" t="str">
        <f t="shared" si="59"/>
        <v/>
      </c>
      <c r="AG1255" s="773"/>
    </row>
    <row r="1256" spans="1:64" ht="18.75" x14ac:dyDescent="0.25">
      <c r="A1256" s="758"/>
      <c r="B1256" s="737"/>
      <c r="C1256" s="730"/>
      <c r="D1256" s="739"/>
      <c r="E1256" s="765"/>
      <c r="F1256" s="765"/>
      <c r="G1256" s="765"/>
      <c r="H1256" s="765"/>
      <c r="I1256" s="746" t="str">
        <f t="shared" si="58"/>
        <v/>
      </c>
      <c r="J1256" s="731"/>
      <c r="K1256" s="731" t="str">
        <f t="shared" si="57"/>
        <v/>
      </c>
      <c r="L1256" s="726"/>
      <c r="M1256" s="726"/>
      <c r="N1256" s="726"/>
      <c r="O1256" s="726"/>
      <c r="P1256" s="726"/>
      <c r="Q1256" s="726"/>
      <c r="R1256" s="726"/>
      <c r="S1256" s="726"/>
      <c r="T1256" s="726"/>
      <c r="U1256" s="726"/>
      <c r="V1256" s="726"/>
      <c r="W1256" s="726"/>
      <c r="X1256" s="726"/>
      <c r="Y1256" s="726"/>
      <c r="Z1256" s="726"/>
      <c r="AA1256" s="732"/>
      <c r="AB1256" s="732"/>
      <c r="AC1256" s="732"/>
      <c r="AD1256" s="732"/>
      <c r="AE1256" s="733"/>
      <c r="AF1256" s="734" t="str">
        <f t="shared" si="59"/>
        <v/>
      </c>
      <c r="AG1256" s="773"/>
    </row>
    <row r="1257" spans="1:64" ht="18.75" x14ac:dyDescent="0.25">
      <c r="A1257" s="758"/>
      <c r="B1257" s="737"/>
      <c r="C1257" s="730"/>
      <c r="D1257" s="739"/>
      <c r="E1257" s="765"/>
      <c r="F1257" s="765"/>
      <c r="G1257" s="765"/>
      <c r="H1257" s="765"/>
      <c r="I1257" s="746" t="str">
        <f t="shared" si="58"/>
        <v/>
      </c>
      <c r="J1257" s="731"/>
      <c r="K1257" s="731" t="str">
        <f t="shared" si="57"/>
        <v/>
      </c>
      <c r="L1257" s="726"/>
      <c r="M1257" s="726"/>
      <c r="N1257" s="726"/>
      <c r="O1257" s="726"/>
      <c r="P1257" s="726"/>
      <c r="Q1257" s="726"/>
      <c r="R1257" s="726"/>
      <c r="S1257" s="726"/>
      <c r="T1257" s="726"/>
      <c r="U1257" s="726"/>
      <c r="V1257" s="726"/>
      <c r="W1257" s="726"/>
      <c r="X1257" s="726"/>
      <c r="Y1257" s="726"/>
      <c r="Z1257" s="726"/>
      <c r="AA1257" s="732"/>
      <c r="AB1257" s="732"/>
      <c r="AC1257" s="732"/>
      <c r="AD1257" s="732"/>
      <c r="AE1257" s="733"/>
      <c r="AF1257" s="734" t="str">
        <f t="shared" si="59"/>
        <v/>
      </c>
      <c r="AG1257" s="773"/>
    </row>
    <row r="1258" spans="1:64" ht="18.75" x14ac:dyDescent="0.25">
      <c r="A1258" s="758"/>
      <c r="B1258" s="737"/>
      <c r="C1258" s="730"/>
      <c r="D1258" s="739"/>
      <c r="E1258" s="765"/>
      <c r="F1258" s="765"/>
      <c r="G1258" s="765"/>
      <c r="H1258" s="765"/>
      <c r="I1258" s="746" t="str">
        <f t="shared" si="58"/>
        <v/>
      </c>
      <c r="J1258" s="731"/>
      <c r="K1258" s="731" t="str">
        <f t="shared" si="57"/>
        <v/>
      </c>
      <c r="L1258" s="726"/>
      <c r="M1258" s="726"/>
      <c r="N1258" s="726"/>
      <c r="O1258" s="726"/>
      <c r="P1258" s="726"/>
      <c r="Q1258" s="726"/>
      <c r="R1258" s="726"/>
      <c r="S1258" s="726"/>
      <c r="T1258" s="726"/>
      <c r="U1258" s="726"/>
      <c r="V1258" s="726"/>
      <c r="W1258" s="726"/>
      <c r="X1258" s="726"/>
      <c r="Y1258" s="726"/>
      <c r="Z1258" s="726"/>
      <c r="AA1258" s="732"/>
      <c r="AB1258" s="732"/>
      <c r="AC1258" s="732"/>
      <c r="AD1258" s="732"/>
      <c r="AE1258" s="733"/>
      <c r="AF1258" s="734" t="str">
        <f t="shared" si="59"/>
        <v/>
      </c>
      <c r="AG1258" s="773"/>
    </row>
    <row r="1259" spans="1:64" ht="18.75" x14ac:dyDescent="0.25">
      <c r="A1259" s="758"/>
      <c r="B1259" s="737"/>
      <c r="C1259" s="730"/>
      <c r="D1259" s="739"/>
      <c r="E1259" s="765"/>
      <c r="F1259" s="765"/>
      <c r="G1259" s="765"/>
      <c r="H1259" s="765"/>
      <c r="I1259" s="746" t="str">
        <f t="shared" si="58"/>
        <v/>
      </c>
      <c r="J1259" s="731"/>
      <c r="K1259" s="731" t="str">
        <f t="shared" si="57"/>
        <v/>
      </c>
      <c r="L1259" s="726"/>
      <c r="M1259" s="726"/>
      <c r="N1259" s="726"/>
      <c r="O1259" s="726"/>
      <c r="P1259" s="726"/>
      <c r="Q1259" s="726"/>
      <c r="R1259" s="726"/>
      <c r="S1259" s="726"/>
      <c r="T1259" s="726"/>
      <c r="U1259" s="726"/>
      <c r="V1259" s="726"/>
      <c r="W1259" s="726"/>
      <c r="X1259" s="726"/>
      <c r="Y1259" s="726"/>
      <c r="Z1259" s="726"/>
      <c r="AA1259" s="732"/>
      <c r="AB1259" s="732"/>
      <c r="AC1259" s="732"/>
      <c r="AD1259" s="732"/>
      <c r="AE1259" s="733"/>
      <c r="AF1259" s="734" t="str">
        <f t="shared" si="59"/>
        <v/>
      </c>
      <c r="AG1259" s="773"/>
    </row>
    <row r="1260" spans="1:64" ht="19.5" customHeight="1" x14ac:dyDescent="0.25">
      <c r="A1260" s="758"/>
      <c r="B1260" s="737"/>
      <c r="C1260" s="730"/>
      <c r="D1260" s="739"/>
      <c r="E1260" s="765"/>
      <c r="F1260" s="765"/>
      <c r="G1260" s="765"/>
      <c r="H1260" s="765"/>
      <c r="I1260" s="746" t="str">
        <f t="shared" si="58"/>
        <v/>
      </c>
      <c r="J1260" s="731"/>
      <c r="K1260" s="731" t="str">
        <f t="shared" si="57"/>
        <v/>
      </c>
      <c r="L1260" s="726"/>
      <c r="M1260" s="726"/>
      <c r="N1260" s="726"/>
      <c r="O1260" s="726"/>
      <c r="P1260" s="726"/>
      <c r="Q1260" s="726"/>
      <c r="R1260" s="726"/>
      <c r="S1260" s="726"/>
      <c r="T1260" s="726"/>
      <c r="U1260" s="726"/>
      <c r="V1260" s="726"/>
      <c r="W1260" s="726"/>
      <c r="X1260" s="726"/>
      <c r="Y1260" s="726"/>
      <c r="Z1260" s="726"/>
      <c r="AA1260" s="732"/>
      <c r="AB1260" s="732"/>
      <c r="AC1260" s="732"/>
      <c r="AD1260" s="732"/>
      <c r="AE1260" s="733"/>
      <c r="AF1260" s="734" t="str">
        <f t="shared" si="59"/>
        <v/>
      </c>
      <c r="AG1260" s="775"/>
      <c r="AH1260" s="779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36"/>
      <c r="AZ1260" s="36"/>
      <c r="BA1260" s="36"/>
      <c r="BB1260" s="36"/>
      <c r="BC1260" s="36"/>
      <c r="BD1260" s="36"/>
      <c r="BE1260" s="36"/>
      <c r="BF1260" s="36"/>
      <c r="BG1260" s="36"/>
      <c r="BH1260" s="36"/>
      <c r="BI1260" s="36"/>
      <c r="BJ1260" s="36"/>
      <c r="BK1260" s="36"/>
      <c r="BL1260" s="36"/>
    </row>
    <row r="1261" spans="1:64" ht="19.5" customHeight="1" x14ac:dyDescent="0.25">
      <c r="A1261" s="758"/>
      <c r="B1261" s="737"/>
      <c r="C1261" s="730"/>
      <c r="D1261" s="739"/>
      <c r="E1261" s="765"/>
      <c r="F1261" s="765"/>
      <c r="G1261" s="765"/>
      <c r="H1261" s="765"/>
      <c r="I1261" s="746" t="str">
        <f t="shared" si="58"/>
        <v/>
      </c>
      <c r="J1261" s="731"/>
      <c r="K1261" s="731" t="str">
        <f t="shared" si="57"/>
        <v/>
      </c>
      <c r="L1261" s="726"/>
      <c r="M1261" s="726"/>
      <c r="N1261" s="726"/>
      <c r="O1261" s="726"/>
      <c r="P1261" s="726"/>
      <c r="Q1261" s="726"/>
      <c r="R1261" s="726"/>
      <c r="S1261" s="726"/>
      <c r="T1261" s="726"/>
      <c r="U1261" s="726"/>
      <c r="V1261" s="726"/>
      <c r="W1261" s="726"/>
      <c r="X1261" s="726"/>
      <c r="Y1261" s="726"/>
      <c r="Z1261" s="726"/>
      <c r="AA1261" s="732"/>
      <c r="AB1261" s="732"/>
      <c r="AC1261" s="732"/>
      <c r="AD1261" s="732"/>
      <c r="AE1261" s="733"/>
      <c r="AF1261" s="734" t="str">
        <f t="shared" si="59"/>
        <v/>
      </c>
      <c r="AG1261" s="775"/>
      <c r="AH1261" s="779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  <c r="AW1261" s="36"/>
      <c r="AX1261" s="36"/>
      <c r="AY1261" s="36"/>
      <c r="AZ1261" s="36"/>
      <c r="BA1261" s="36"/>
      <c r="BB1261" s="36"/>
      <c r="BC1261" s="36"/>
      <c r="BD1261" s="36"/>
      <c r="BE1261" s="36"/>
      <c r="BF1261" s="36"/>
      <c r="BG1261" s="36"/>
      <c r="BH1261" s="36"/>
      <c r="BI1261" s="36"/>
      <c r="BJ1261" s="36"/>
      <c r="BK1261" s="36"/>
      <c r="BL1261" s="36"/>
    </row>
    <row r="1262" spans="1:64" ht="18.75" x14ac:dyDescent="0.25">
      <c r="A1262" s="758"/>
      <c r="B1262" s="737"/>
      <c r="C1262" s="730"/>
      <c r="D1262" s="739"/>
      <c r="E1262" s="765"/>
      <c r="F1262" s="765"/>
      <c r="G1262" s="765"/>
      <c r="H1262" s="765"/>
      <c r="I1262" s="746" t="str">
        <f t="shared" si="58"/>
        <v/>
      </c>
      <c r="J1262" s="731"/>
      <c r="K1262" s="731" t="str">
        <f t="shared" si="57"/>
        <v/>
      </c>
      <c r="L1262" s="726"/>
      <c r="M1262" s="726"/>
      <c r="N1262" s="726"/>
      <c r="O1262" s="726"/>
      <c r="P1262" s="726"/>
      <c r="Q1262" s="726"/>
      <c r="R1262" s="726"/>
      <c r="S1262" s="726"/>
      <c r="T1262" s="726"/>
      <c r="U1262" s="726"/>
      <c r="V1262" s="726"/>
      <c r="W1262" s="726"/>
      <c r="X1262" s="726"/>
      <c r="Y1262" s="726"/>
      <c r="Z1262" s="726"/>
      <c r="AA1262" s="732"/>
      <c r="AB1262" s="732"/>
      <c r="AC1262" s="732"/>
      <c r="AD1262" s="732"/>
      <c r="AE1262" s="733"/>
      <c r="AF1262" s="734" t="str">
        <f t="shared" si="59"/>
        <v/>
      </c>
      <c r="AG1262" s="773"/>
    </row>
    <row r="1263" spans="1:64" ht="18.75" x14ac:dyDescent="0.25">
      <c r="A1263" s="758"/>
      <c r="B1263" s="737"/>
      <c r="C1263" s="730"/>
      <c r="D1263" s="739"/>
      <c r="E1263" s="765"/>
      <c r="F1263" s="765"/>
      <c r="G1263" s="765"/>
      <c r="H1263" s="765"/>
      <c r="I1263" s="746" t="str">
        <f t="shared" si="58"/>
        <v/>
      </c>
      <c r="J1263" s="731"/>
      <c r="K1263" s="731" t="str">
        <f t="shared" si="57"/>
        <v/>
      </c>
      <c r="L1263" s="726"/>
      <c r="M1263" s="726"/>
      <c r="N1263" s="726"/>
      <c r="O1263" s="726"/>
      <c r="P1263" s="726"/>
      <c r="Q1263" s="726"/>
      <c r="R1263" s="726"/>
      <c r="S1263" s="726"/>
      <c r="T1263" s="726"/>
      <c r="U1263" s="726"/>
      <c r="V1263" s="726"/>
      <c r="W1263" s="726"/>
      <c r="X1263" s="726"/>
      <c r="Y1263" s="726"/>
      <c r="Z1263" s="726"/>
      <c r="AA1263" s="732"/>
      <c r="AB1263" s="732"/>
      <c r="AC1263" s="732"/>
      <c r="AD1263" s="732"/>
      <c r="AE1263" s="733"/>
      <c r="AF1263" s="734" t="str">
        <f t="shared" si="59"/>
        <v/>
      </c>
      <c r="AG1263" s="773"/>
    </row>
    <row r="1264" spans="1:64" ht="18.75" x14ac:dyDescent="0.25">
      <c r="A1264" s="758"/>
      <c r="B1264" s="737"/>
      <c r="C1264" s="730"/>
      <c r="D1264" s="739"/>
      <c r="E1264" s="765"/>
      <c r="F1264" s="765"/>
      <c r="G1264" s="765"/>
      <c r="H1264" s="765"/>
      <c r="I1264" s="746" t="str">
        <f t="shared" si="58"/>
        <v/>
      </c>
      <c r="J1264" s="731"/>
      <c r="K1264" s="731" t="str">
        <f t="shared" si="57"/>
        <v/>
      </c>
      <c r="L1264" s="726"/>
      <c r="M1264" s="726"/>
      <c r="N1264" s="726"/>
      <c r="O1264" s="726"/>
      <c r="P1264" s="726"/>
      <c r="Q1264" s="726"/>
      <c r="R1264" s="726"/>
      <c r="S1264" s="726"/>
      <c r="T1264" s="726"/>
      <c r="U1264" s="726"/>
      <c r="V1264" s="726"/>
      <c r="W1264" s="726"/>
      <c r="X1264" s="726"/>
      <c r="Y1264" s="726"/>
      <c r="Z1264" s="726"/>
      <c r="AA1264" s="732"/>
      <c r="AB1264" s="732"/>
      <c r="AC1264" s="732"/>
      <c r="AD1264" s="732"/>
      <c r="AE1264" s="733"/>
      <c r="AF1264" s="734" t="str">
        <f t="shared" si="59"/>
        <v/>
      </c>
      <c r="AG1264" s="773"/>
    </row>
    <row r="1265" spans="1:64" ht="18.75" x14ac:dyDescent="0.25">
      <c r="A1265" s="758"/>
      <c r="B1265" s="737"/>
      <c r="C1265" s="730"/>
      <c r="D1265" s="739"/>
      <c r="E1265" s="765"/>
      <c r="F1265" s="765"/>
      <c r="G1265" s="765"/>
      <c r="H1265" s="765"/>
      <c r="I1265" s="746" t="str">
        <f t="shared" si="58"/>
        <v/>
      </c>
      <c r="J1265" s="731"/>
      <c r="K1265" s="731" t="str">
        <f t="shared" si="57"/>
        <v/>
      </c>
      <c r="L1265" s="726"/>
      <c r="M1265" s="726"/>
      <c r="N1265" s="726"/>
      <c r="O1265" s="726"/>
      <c r="P1265" s="726"/>
      <c r="Q1265" s="726"/>
      <c r="R1265" s="726"/>
      <c r="S1265" s="726"/>
      <c r="T1265" s="726"/>
      <c r="U1265" s="726"/>
      <c r="V1265" s="726"/>
      <c r="W1265" s="726"/>
      <c r="X1265" s="726"/>
      <c r="Y1265" s="726"/>
      <c r="Z1265" s="726"/>
      <c r="AA1265" s="732"/>
      <c r="AB1265" s="732"/>
      <c r="AC1265" s="732"/>
      <c r="AD1265" s="732"/>
      <c r="AE1265" s="733"/>
      <c r="AF1265" s="734" t="str">
        <f t="shared" si="59"/>
        <v/>
      </c>
      <c r="AG1265" s="773"/>
    </row>
    <row r="1266" spans="1:64" ht="18.75" x14ac:dyDescent="0.25">
      <c r="A1266" s="758"/>
      <c r="B1266" s="737"/>
      <c r="C1266" s="730"/>
      <c r="D1266" s="739"/>
      <c r="E1266" s="765"/>
      <c r="F1266" s="765"/>
      <c r="G1266" s="765"/>
      <c r="H1266" s="765"/>
      <c r="I1266" s="746" t="str">
        <f t="shared" si="58"/>
        <v/>
      </c>
      <c r="J1266" s="731"/>
      <c r="K1266" s="731" t="str">
        <f t="shared" si="57"/>
        <v/>
      </c>
      <c r="L1266" s="726"/>
      <c r="M1266" s="726"/>
      <c r="N1266" s="726"/>
      <c r="O1266" s="726"/>
      <c r="P1266" s="726"/>
      <c r="Q1266" s="726"/>
      <c r="R1266" s="726"/>
      <c r="S1266" s="726"/>
      <c r="T1266" s="726"/>
      <c r="U1266" s="726"/>
      <c r="V1266" s="726"/>
      <c r="W1266" s="726"/>
      <c r="X1266" s="726"/>
      <c r="Y1266" s="726"/>
      <c r="Z1266" s="726"/>
      <c r="AA1266" s="732"/>
      <c r="AB1266" s="732"/>
      <c r="AC1266" s="732"/>
      <c r="AD1266" s="732"/>
      <c r="AE1266" s="733"/>
      <c r="AF1266" s="734" t="str">
        <f t="shared" si="59"/>
        <v/>
      </c>
      <c r="AG1266" s="773"/>
    </row>
    <row r="1267" spans="1:64" ht="18.75" x14ac:dyDescent="0.25">
      <c r="A1267" s="758"/>
      <c r="B1267" s="737"/>
      <c r="C1267" s="730"/>
      <c r="D1267" s="739"/>
      <c r="E1267" s="765"/>
      <c r="F1267" s="765"/>
      <c r="G1267" s="765"/>
      <c r="H1267" s="765"/>
      <c r="I1267" s="746" t="str">
        <f t="shared" si="58"/>
        <v/>
      </c>
      <c r="J1267" s="731"/>
      <c r="K1267" s="731" t="str">
        <f t="shared" si="57"/>
        <v/>
      </c>
      <c r="L1267" s="726"/>
      <c r="M1267" s="726"/>
      <c r="N1267" s="726"/>
      <c r="O1267" s="726"/>
      <c r="P1267" s="726"/>
      <c r="Q1267" s="726"/>
      <c r="R1267" s="726"/>
      <c r="S1267" s="726"/>
      <c r="T1267" s="726"/>
      <c r="U1267" s="726"/>
      <c r="V1267" s="726"/>
      <c r="W1267" s="726"/>
      <c r="X1267" s="726"/>
      <c r="Y1267" s="726"/>
      <c r="Z1267" s="726"/>
      <c r="AA1267" s="732"/>
      <c r="AB1267" s="732"/>
      <c r="AC1267" s="732"/>
      <c r="AD1267" s="732"/>
      <c r="AE1267" s="733"/>
      <c r="AF1267" s="734" t="str">
        <f t="shared" si="59"/>
        <v/>
      </c>
      <c r="AG1267" s="773"/>
    </row>
    <row r="1268" spans="1:64" ht="18.75" x14ac:dyDescent="0.25">
      <c r="A1268" s="758"/>
      <c r="B1268" s="737"/>
      <c r="C1268" s="730"/>
      <c r="D1268" s="739"/>
      <c r="E1268" s="765"/>
      <c r="F1268" s="765"/>
      <c r="G1268" s="765"/>
      <c r="H1268" s="765"/>
      <c r="I1268" s="746" t="str">
        <f t="shared" si="58"/>
        <v/>
      </c>
      <c r="J1268" s="731"/>
      <c r="K1268" s="731" t="str">
        <f t="shared" si="57"/>
        <v/>
      </c>
      <c r="L1268" s="726"/>
      <c r="M1268" s="726"/>
      <c r="N1268" s="726"/>
      <c r="O1268" s="726"/>
      <c r="P1268" s="726"/>
      <c r="Q1268" s="726"/>
      <c r="R1268" s="726"/>
      <c r="S1268" s="726"/>
      <c r="T1268" s="726"/>
      <c r="U1268" s="726"/>
      <c r="V1268" s="726"/>
      <c r="W1268" s="726"/>
      <c r="X1268" s="726"/>
      <c r="Y1268" s="726"/>
      <c r="Z1268" s="726"/>
      <c r="AA1268" s="732"/>
      <c r="AB1268" s="732"/>
      <c r="AC1268" s="732"/>
      <c r="AD1268" s="732"/>
      <c r="AE1268" s="733"/>
      <c r="AF1268" s="734" t="str">
        <f t="shared" si="59"/>
        <v/>
      </c>
      <c r="AG1268" s="775"/>
      <c r="AH1268" s="779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  <c r="AW1268" s="36"/>
      <c r="AX1268" s="36"/>
      <c r="AY1268" s="36"/>
      <c r="AZ1268" s="36"/>
      <c r="BA1268" s="36"/>
      <c r="BB1268" s="36"/>
      <c r="BC1268" s="36"/>
      <c r="BD1268" s="36"/>
      <c r="BE1268" s="36"/>
      <c r="BF1268" s="36"/>
      <c r="BG1268" s="36"/>
      <c r="BH1268" s="36"/>
      <c r="BI1268" s="36"/>
      <c r="BJ1268" s="36"/>
      <c r="BK1268" s="36"/>
      <c r="BL1268" s="36"/>
    </row>
    <row r="1269" spans="1:64" ht="18.75" x14ac:dyDescent="0.25">
      <c r="A1269" s="758"/>
      <c r="B1269" s="737"/>
      <c r="C1269" s="730"/>
      <c r="D1269" s="739"/>
      <c r="E1269" s="765"/>
      <c r="F1269" s="765"/>
      <c r="G1269" s="765"/>
      <c r="H1269" s="765"/>
      <c r="I1269" s="746" t="str">
        <f t="shared" si="58"/>
        <v/>
      </c>
      <c r="J1269" s="731"/>
      <c r="K1269" s="731" t="str">
        <f t="shared" si="57"/>
        <v/>
      </c>
      <c r="L1269" s="726"/>
      <c r="M1269" s="726"/>
      <c r="N1269" s="726"/>
      <c r="O1269" s="726"/>
      <c r="P1269" s="726"/>
      <c r="Q1269" s="726"/>
      <c r="R1269" s="726"/>
      <c r="S1269" s="726"/>
      <c r="T1269" s="726"/>
      <c r="U1269" s="726"/>
      <c r="V1269" s="726"/>
      <c r="W1269" s="726"/>
      <c r="X1269" s="726"/>
      <c r="Y1269" s="726"/>
      <c r="Z1269" s="726"/>
      <c r="AA1269" s="732"/>
      <c r="AB1269" s="732"/>
      <c r="AC1269" s="732"/>
      <c r="AD1269" s="732"/>
      <c r="AE1269" s="733"/>
      <c r="AF1269" s="734" t="str">
        <f t="shared" si="59"/>
        <v/>
      </c>
      <c r="AG1269" s="773"/>
    </row>
    <row r="1270" spans="1:64" ht="18.75" x14ac:dyDescent="0.25">
      <c r="A1270" s="758"/>
      <c r="B1270" s="737"/>
      <c r="C1270" s="730"/>
      <c r="D1270" s="739"/>
      <c r="E1270" s="765"/>
      <c r="F1270" s="765"/>
      <c r="G1270" s="765"/>
      <c r="H1270" s="765"/>
      <c r="I1270" s="746" t="str">
        <f t="shared" si="58"/>
        <v/>
      </c>
      <c r="J1270" s="731"/>
      <c r="K1270" s="731" t="str">
        <f t="shared" si="57"/>
        <v/>
      </c>
      <c r="L1270" s="726"/>
      <c r="M1270" s="726"/>
      <c r="N1270" s="726"/>
      <c r="O1270" s="726"/>
      <c r="P1270" s="726"/>
      <c r="Q1270" s="726"/>
      <c r="R1270" s="726"/>
      <c r="S1270" s="726"/>
      <c r="T1270" s="726"/>
      <c r="U1270" s="726"/>
      <c r="V1270" s="726"/>
      <c r="W1270" s="726"/>
      <c r="X1270" s="726"/>
      <c r="Y1270" s="726"/>
      <c r="Z1270" s="726"/>
      <c r="AA1270" s="732"/>
      <c r="AB1270" s="732"/>
      <c r="AC1270" s="732"/>
      <c r="AD1270" s="732"/>
      <c r="AE1270" s="733"/>
      <c r="AF1270" s="734" t="str">
        <f t="shared" si="59"/>
        <v/>
      </c>
      <c r="AG1270" s="773"/>
    </row>
    <row r="1271" spans="1:64" ht="18.75" x14ac:dyDescent="0.25">
      <c r="A1271" s="758"/>
      <c r="B1271" s="737"/>
      <c r="C1271" s="730"/>
      <c r="D1271" s="739"/>
      <c r="E1271" s="765"/>
      <c r="F1271" s="765"/>
      <c r="G1271" s="765"/>
      <c r="H1271" s="765"/>
      <c r="I1271" s="746" t="str">
        <f t="shared" si="58"/>
        <v/>
      </c>
      <c r="J1271" s="731"/>
      <c r="K1271" s="731" t="str">
        <f t="shared" si="57"/>
        <v/>
      </c>
      <c r="L1271" s="726"/>
      <c r="M1271" s="726"/>
      <c r="N1271" s="726"/>
      <c r="O1271" s="726"/>
      <c r="P1271" s="726"/>
      <c r="Q1271" s="726"/>
      <c r="R1271" s="726"/>
      <c r="S1271" s="726"/>
      <c r="T1271" s="726"/>
      <c r="U1271" s="726"/>
      <c r="V1271" s="726"/>
      <c r="W1271" s="726"/>
      <c r="X1271" s="726"/>
      <c r="Y1271" s="726"/>
      <c r="Z1271" s="726"/>
      <c r="AA1271" s="732"/>
      <c r="AB1271" s="732"/>
      <c r="AC1271" s="732"/>
      <c r="AD1271" s="732"/>
      <c r="AE1271" s="733"/>
      <c r="AF1271" s="734" t="str">
        <f t="shared" si="59"/>
        <v/>
      </c>
      <c r="AG1271" s="773"/>
    </row>
    <row r="1272" spans="1:64" ht="18.75" x14ac:dyDescent="0.25">
      <c r="A1272" s="758"/>
      <c r="B1272" s="737"/>
      <c r="C1272" s="730"/>
      <c r="D1272" s="739"/>
      <c r="E1272" s="765"/>
      <c r="F1272" s="765"/>
      <c r="G1272" s="765"/>
      <c r="H1272" s="765"/>
      <c r="I1272" s="746" t="str">
        <f t="shared" si="58"/>
        <v/>
      </c>
      <c r="J1272" s="731"/>
      <c r="K1272" s="731" t="str">
        <f t="shared" si="57"/>
        <v/>
      </c>
      <c r="L1272" s="726"/>
      <c r="M1272" s="726"/>
      <c r="N1272" s="726"/>
      <c r="O1272" s="726"/>
      <c r="P1272" s="726"/>
      <c r="Q1272" s="726"/>
      <c r="R1272" s="726"/>
      <c r="S1272" s="726"/>
      <c r="T1272" s="726"/>
      <c r="U1272" s="726"/>
      <c r="V1272" s="726"/>
      <c r="W1272" s="726"/>
      <c r="X1272" s="726"/>
      <c r="Y1272" s="726"/>
      <c r="Z1272" s="726"/>
      <c r="AA1272" s="732"/>
      <c r="AB1272" s="732"/>
      <c r="AC1272" s="732"/>
      <c r="AD1272" s="732"/>
      <c r="AE1272" s="733"/>
      <c r="AF1272" s="734" t="str">
        <f t="shared" si="59"/>
        <v/>
      </c>
      <c r="AG1272" s="773"/>
    </row>
    <row r="1273" spans="1:64" ht="18.75" x14ac:dyDescent="0.25">
      <c r="A1273" s="758"/>
      <c r="B1273" s="737"/>
      <c r="C1273" s="730"/>
      <c r="D1273" s="739"/>
      <c r="E1273" s="765"/>
      <c r="F1273" s="765"/>
      <c r="G1273" s="765"/>
      <c r="H1273" s="765"/>
      <c r="I1273" s="746" t="str">
        <f t="shared" si="58"/>
        <v/>
      </c>
      <c r="J1273" s="731"/>
      <c r="K1273" s="731" t="str">
        <f t="shared" si="57"/>
        <v/>
      </c>
      <c r="L1273" s="726"/>
      <c r="M1273" s="726"/>
      <c r="N1273" s="726"/>
      <c r="O1273" s="726"/>
      <c r="P1273" s="726"/>
      <c r="Q1273" s="726"/>
      <c r="R1273" s="726"/>
      <c r="S1273" s="726"/>
      <c r="T1273" s="726"/>
      <c r="U1273" s="726"/>
      <c r="V1273" s="726"/>
      <c r="W1273" s="726"/>
      <c r="X1273" s="726"/>
      <c r="Y1273" s="726"/>
      <c r="Z1273" s="726"/>
      <c r="AA1273" s="732"/>
      <c r="AB1273" s="732"/>
      <c r="AC1273" s="732"/>
      <c r="AD1273" s="732"/>
      <c r="AE1273" s="733"/>
      <c r="AF1273" s="734" t="str">
        <f t="shared" si="59"/>
        <v/>
      </c>
      <c r="AG1273" s="773"/>
    </row>
    <row r="1274" spans="1:64" ht="18.75" x14ac:dyDescent="0.25">
      <c r="A1274" s="758"/>
      <c r="B1274" s="737"/>
      <c r="C1274" s="730"/>
      <c r="D1274" s="739"/>
      <c r="E1274" s="765"/>
      <c r="F1274" s="765"/>
      <c r="G1274" s="765"/>
      <c r="H1274" s="765"/>
      <c r="I1274" s="746" t="str">
        <f t="shared" si="58"/>
        <v/>
      </c>
      <c r="J1274" s="731"/>
      <c r="K1274" s="731" t="str">
        <f t="shared" si="57"/>
        <v/>
      </c>
      <c r="L1274" s="726"/>
      <c r="M1274" s="726"/>
      <c r="N1274" s="726"/>
      <c r="O1274" s="726"/>
      <c r="P1274" s="726"/>
      <c r="Q1274" s="726"/>
      <c r="R1274" s="726"/>
      <c r="S1274" s="726"/>
      <c r="T1274" s="726"/>
      <c r="U1274" s="726"/>
      <c r="V1274" s="726"/>
      <c r="W1274" s="726"/>
      <c r="X1274" s="726"/>
      <c r="Y1274" s="726"/>
      <c r="Z1274" s="726"/>
      <c r="AA1274" s="732"/>
      <c r="AB1274" s="732"/>
      <c r="AC1274" s="732"/>
      <c r="AD1274" s="732"/>
      <c r="AE1274" s="733"/>
      <c r="AF1274" s="734" t="str">
        <f t="shared" si="59"/>
        <v/>
      </c>
      <c r="AG1274" s="773"/>
    </row>
    <row r="1275" spans="1:64" ht="19.5" customHeight="1" x14ac:dyDescent="0.25">
      <c r="A1275" s="758"/>
      <c r="B1275" s="737"/>
      <c r="C1275" s="730"/>
      <c r="D1275" s="739"/>
      <c r="E1275" s="765"/>
      <c r="F1275" s="765"/>
      <c r="G1275" s="765"/>
      <c r="H1275" s="765"/>
      <c r="I1275" s="746" t="str">
        <f t="shared" si="58"/>
        <v/>
      </c>
      <c r="J1275" s="731"/>
      <c r="K1275" s="731" t="str">
        <f t="shared" si="57"/>
        <v/>
      </c>
      <c r="L1275" s="726"/>
      <c r="M1275" s="726"/>
      <c r="N1275" s="726"/>
      <c r="O1275" s="726"/>
      <c r="P1275" s="726"/>
      <c r="Q1275" s="726"/>
      <c r="R1275" s="726"/>
      <c r="S1275" s="726"/>
      <c r="T1275" s="726"/>
      <c r="U1275" s="726"/>
      <c r="V1275" s="726"/>
      <c r="W1275" s="726"/>
      <c r="X1275" s="726"/>
      <c r="Y1275" s="726"/>
      <c r="Z1275" s="726"/>
      <c r="AA1275" s="732"/>
      <c r="AB1275" s="732"/>
      <c r="AC1275" s="732"/>
      <c r="AD1275" s="732"/>
      <c r="AE1275" s="733"/>
      <c r="AF1275" s="734" t="str">
        <f t="shared" si="59"/>
        <v/>
      </c>
      <c r="AG1275" s="775"/>
      <c r="AH1275" s="779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36"/>
      <c r="AZ1275" s="36"/>
      <c r="BA1275" s="36"/>
      <c r="BB1275" s="36"/>
      <c r="BC1275" s="36"/>
      <c r="BD1275" s="36"/>
      <c r="BE1275" s="36"/>
      <c r="BF1275" s="36"/>
      <c r="BG1275" s="36"/>
      <c r="BH1275" s="36"/>
      <c r="BI1275" s="36"/>
      <c r="BJ1275" s="36"/>
      <c r="BK1275" s="36"/>
      <c r="BL1275" s="36"/>
    </row>
    <row r="1276" spans="1:64" ht="19.5" customHeight="1" x14ac:dyDescent="0.25">
      <c r="A1276" s="758"/>
      <c r="B1276" s="737"/>
      <c r="C1276" s="730"/>
      <c r="D1276" s="739"/>
      <c r="E1276" s="765"/>
      <c r="F1276" s="765"/>
      <c r="G1276" s="765"/>
      <c r="H1276" s="765"/>
      <c r="I1276" s="746" t="str">
        <f t="shared" si="58"/>
        <v/>
      </c>
      <c r="J1276" s="731"/>
      <c r="K1276" s="731" t="str">
        <f t="shared" si="57"/>
        <v/>
      </c>
      <c r="L1276" s="726"/>
      <c r="M1276" s="726"/>
      <c r="N1276" s="726"/>
      <c r="O1276" s="726"/>
      <c r="P1276" s="726"/>
      <c r="Q1276" s="726"/>
      <c r="R1276" s="726"/>
      <c r="S1276" s="726"/>
      <c r="T1276" s="726"/>
      <c r="U1276" s="726"/>
      <c r="V1276" s="726"/>
      <c r="W1276" s="726"/>
      <c r="X1276" s="726"/>
      <c r="Y1276" s="726"/>
      <c r="Z1276" s="726"/>
      <c r="AA1276" s="732"/>
      <c r="AB1276" s="732"/>
      <c r="AC1276" s="732"/>
      <c r="AD1276" s="732"/>
      <c r="AE1276" s="733"/>
      <c r="AF1276" s="734" t="str">
        <f t="shared" si="59"/>
        <v/>
      </c>
      <c r="AG1276" s="775"/>
      <c r="AH1276" s="779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36"/>
      <c r="AZ1276" s="36"/>
      <c r="BA1276" s="36"/>
      <c r="BB1276" s="36"/>
      <c r="BC1276" s="36"/>
      <c r="BD1276" s="36"/>
      <c r="BE1276" s="36"/>
      <c r="BF1276" s="36"/>
      <c r="BG1276" s="36"/>
      <c r="BH1276" s="36"/>
      <c r="BI1276" s="36"/>
      <c r="BJ1276" s="36"/>
      <c r="BK1276" s="36"/>
      <c r="BL1276" s="36"/>
    </row>
    <row r="1277" spans="1:64" ht="18.75" x14ac:dyDescent="0.25">
      <c r="A1277" s="758"/>
      <c r="B1277" s="737"/>
      <c r="C1277" s="730"/>
      <c r="D1277" s="739"/>
      <c r="E1277" s="765"/>
      <c r="F1277" s="765"/>
      <c r="G1277" s="765"/>
      <c r="H1277" s="765"/>
      <c r="I1277" s="746" t="str">
        <f t="shared" si="58"/>
        <v/>
      </c>
      <c r="J1277" s="731"/>
      <c r="K1277" s="731" t="str">
        <f t="shared" si="57"/>
        <v/>
      </c>
      <c r="L1277" s="726"/>
      <c r="M1277" s="726"/>
      <c r="N1277" s="726"/>
      <c r="O1277" s="726"/>
      <c r="P1277" s="726"/>
      <c r="Q1277" s="726"/>
      <c r="R1277" s="726"/>
      <c r="S1277" s="726"/>
      <c r="T1277" s="726"/>
      <c r="U1277" s="726"/>
      <c r="V1277" s="726"/>
      <c r="W1277" s="726"/>
      <c r="X1277" s="726"/>
      <c r="Y1277" s="726"/>
      <c r="Z1277" s="726"/>
      <c r="AA1277" s="732"/>
      <c r="AB1277" s="732"/>
      <c r="AC1277" s="732"/>
      <c r="AD1277" s="732"/>
      <c r="AE1277" s="733"/>
      <c r="AF1277" s="734" t="str">
        <f t="shared" si="59"/>
        <v/>
      </c>
      <c r="AG1277" s="773"/>
    </row>
    <row r="1278" spans="1:64" ht="18.75" x14ac:dyDescent="0.25">
      <c r="A1278" s="758"/>
      <c r="B1278" s="737"/>
      <c r="C1278" s="730"/>
      <c r="D1278" s="739"/>
      <c r="E1278" s="765"/>
      <c r="F1278" s="765"/>
      <c r="G1278" s="765"/>
      <c r="H1278" s="765"/>
      <c r="I1278" s="746" t="str">
        <f t="shared" si="58"/>
        <v/>
      </c>
      <c r="J1278" s="731"/>
      <c r="K1278" s="731" t="str">
        <f t="shared" si="57"/>
        <v/>
      </c>
      <c r="L1278" s="726"/>
      <c r="M1278" s="726"/>
      <c r="N1278" s="726"/>
      <c r="O1278" s="726"/>
      <c r="P1278" s="726"/>
      <c r="Q1278" s="726"/>
      <c r="R1278" s="726"/>
      <c r="S1278" s="726"/>
      <c r="T1278" s="726"/>
      <c r="U1278" s="726"/>
      <c r="V1278" s="726"/>
      <c r="W1278" s="726"/>
      <c r="X1278" s="726"/>
      <c r="Y1278" s="726"/>
      <c r="Z1278" s="726"/>
      <c r="AA1278" s="732"/>
      <c r="AB1278" s="732"/>
      <c r="AC1278" s="732"/>
      <c r="AD1278" s="732"/>
      <c r="AE1278" s="733"/>
      <c r="AF1278" s="734" t="str">
        <f t="shared" si="59"/>
        <v/>
      </c>
      <c r="AG1278" s="773"/>
    </row>
    <row r="1279" spans="1:64" ht="18.75" x14ac:dyDescent="0.25">
      <c r="A1279" s="758"/>
      <c r="B1279" s="737"/>
      <c r="C1279" s="730"/>
      <c r="D1279" s="739"/>
      <c r="E1279" s="765"/>
      <c r="F1279" s="765"/>
      <c r="G1279" s="765"/>
      <c r="H1279" s="765"/>
      <c r="I1279" s="746" t="str">
        <f t="shared" si="58"/>
        <v/>
      </c>
      <c r="J1279" s="731"/>
      <c r="K1279" s="731" t="str">
        <f t="shared" si="57"/>
        <v/>
      </c>
      <c r="L1279" s="726"/>
      <c r="M1279" s="726"/>
      <c r="N1279" s="726"/>
      <c r="O1279" s="726"/>
      <c r="P1279" s="726"/>
      <c r="Q1279" s="726"/>
      <c r="R1279" s="726"/>
      <c r="S1279" s="726"/>
      <c r="T1279" s="726"/>
      <c r="U1279" s="726"/>
      <c r="V1279" s="726"/>
      <c r="W1279" s="726"/>
      <c r="X1279" s="726"/>
      <c r="Y1279" s="726"/>
      <c r="Z1279" s="726"/>
      <c r="AA1279" s="732"/>
      <c r="AB1279" s="732"/>
      <c r="AC1279" s="732"/>
      <c r="AD1279" s="732"/>
      <c r="AE1279" s="733"/>
      <c r="AF1279" s="734" t="str">
        <f t="shared" si="59"/>
        <v/>
      </c>
      <c r="AG1279" s="773"/>
    </row>
    <row r="1280" spans="1:64" ht="18.75" x14ac:dyDescent="0.25">
      <c r="A1280" s="758"/>
      <c r="B1280" s="737"/>
      <c r="C1280" s="730"/>
      <c r="D1280" s="739"/>
      <c r="E1280" s="765"/>
      <c r="F1280" s="765"/>
      <c r="G1280" s="765"/>
      <c r="H1280" s="765"/>
      <c r="I1280" s="746" t="str">
        <f t="shared" si="58"/>
        <v/>
      </c>
      <c r="J1280" s="731"/>
      <c r="K1280" s="731" t="str">
        <f t="shared" si="57"/>
        <v/>
      </c>
      <c r="L1280" s="726"/>
      <c r="M1280" s="726"/>
      <c r="N1280" s="726"/>
      <c r="O1280" s="726"/>
      <c r="P1280" s="726"/>
      <c r="Q1280" s="726"/>
      <c r="R1280" s="726"/>
      <c r="S1280" s="726"/>
      <c r="T1280" s="726"/>
      <c r="U1280" s="726"/>
      <c r="V1280" s="726"/>
      <c r="W1280" s="726"/>
      <c r="X1280" s="726"/>
      <c r="Y1280" s="726"/>
      <c r="Z1280" s="726"/>
      <c r="AA1280" s="732"/>
      <c r="AB1280" s="732"/>
      <c r="AC1280" s="732"/>
      <c r="AD1280" s="732"/>
      <c r="AE1280" s="733"/>
      <c r="AF1280" s="734" t="str">
        <f t="shared" si="59"/>
        <v/>
      </c>
      <c r="AG1280" s="773"/>
    </row>
    <row r="1281" spans="1:64" ht="18.75" x14ac:dyDescent="0.25">
      <c r="A1281" s="758"/>
      <c r="B1281" s="737"/>
      <c r="C1281" s="730"/>
      <c r="D1281" s="739"/>
      <c r="E1281" s="765"/>
      <c r="F1281" s="765"/>
      <c r="G1281" s="765"/>
      <c r="H1281" s="765"/>
      <c r="I1281" s="746" t="str">
        <f t="shared" si="58"/>
        <v/>
      </c>
      <c r="J1281" s="731"/>
      <c r="K1281" s="731" t="str">
        <f t="shared" si="57"/>
        <v/>
      </c>
      <c r="L1281" s="726"/>
      <c r="M1281" s="726"/>
      <c r="N1281" s="726"/>
      <c r="O1281" s="726"/>
      <c r="P1281" s="726"/>
      <c r="Q1281" s="726"/>
      <c r="R1281" s="726"/>
      <c r="S1281" s="726"/>
      <c r="T1281" s="726"/>
      <c r="U1281" s="726"/>
      <c r="V1281" s="726"/>
      <c r="W1281" s="726"/>
      <c r="X1281" s="726"/>
      <c r="Y1281" s="726"/>
      <c r="Z1281" s="726"/>
      <c r="AA1281" s="732"/>
      <c r="AB1281" s="732"/>
      <c r="AC1281" s="732"/>
      <c r="AD1281" s="732"/>
      <c r="AE1281" s="733"/>
      <c r="AF1281" s="734" t="str">
        <f t="shared" si="59"/>
        <v/>
      </c>
      <c r="AG1281" s="773"/>
    </row>
    <row r="1282" spans="1:64" ht="18.75" x14ac:dyDescent="0.25">
      <c r="A1282" s="758"/>
      <c r="B1282" s="737"/>
      <c r="C1282" s="730"/>
      <c r="D1282" s="739"/>
      <c r="E1282" s="765"/>
      <c r="F1282" s="765"/>
      <c r="G1282" s="765"/>
      <c r="H1282" s="765"/>
      <c r="I1282" s="746" t="str">
        <f t="shared" si="58"/>
        <v/>
      </c>
      <c r="J1282" s="731"/>
      <c r="K1282" s="731" t="str">
        <f t="shared" si="57"/>
        <v/>
      </c>
      <c r="L1282" s="726"/>
      <c r="M1282" s="726"/>
      <c r="N1282" s="726"/>
      <c r="O1282" s="726"/>
      <c r="P1282" s="726"/>
      <c r="Q1282" s="726"/>
      <c r="R1282" s="726"/>
      <c r="S1282" s="726"/>
      <c r="T1282" s="726"/>
      <c r="U1282" s="726"/>
      <c r="V1282" s="726"/>
      <c r="W1282" s="726"/>
      <c r="X1282" s="726"/>
      <c r="Y1282" s="726"/>
      <c r="Z1282" s="726"/>
      <c r="AA1282" s="732"/>
      <c r="AB1282" s="732"/>
      <c r="AC1282" s="732"/>
      <c r="AD1282" s="732"/>
      <c r="AE1282" s="733"/>
      <c r="AF1282" s="734" t="str">
        <f t="shared" si="59"/>
        <v/>
      </c>
      <c r="AG1282" s="773"/>
    </row>
    <row r="1283" spans="1:64" ht="18.75" x14ac:dyDescent="0.25">
      <c r="A1283" s="758"/>
      <c r="B1283" s="737"/>
      <c r="C1283" s="730"/>
      <c r="D1283" s="739"/>
      <c r="E1283" s="765"/>
      <c r="F1283" s="765"/>
      <c r="G1283" s="765"/>
      <c r="H1283" s="765"/>
      <c r="I1283" s="746" t="str">
        <f t="shared" si="58"/>
        <v/>
      </c>
      <c r="J1283" s="731"/>
      <c r="K1283" s="731" t="str">
        <f t="shared" si="57"/>
        <v/>
      </c>
      <c r="L1283" s="726"/>
      <c r="M1283" s="726"/>
      <c r="N1283" s="726"/>
      <c r="O1283" s="726"/>
      <c r="P1283" s="726"/>
      <c r="Q1283" s="726"/>
      <c r="R1283" s="726"/>
      <c r="S1283" s="726"/>
      <c r="T1283" s="726"/>
      <c r="U1283" s="726"/>
      <c r="V1283" s="726"/>
      <c r="W1283" s="726"/>
      <c r="X1283" s="726"/>
      <c r="Y1283" s="726"/>
      <c r="Z1283" s="726"/>
      <c r="AA1283" s="732"/>
      <c r="AB1283" s="732"/>
      <c r="AC1283" s="732"/>
      <c r="AD1283" s="732"/>
      <c r="AE1283" s="733"/>
      <c r="AF1283" s="734" t="str">
        <f t="shared" si="59"/>
        <v/>
      </c>
      <c r="AG1283" s="775"/>
      <c r="AH1283" s="779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36"/>
      <c r="AZ1283" s="36"/>
      <c r="BA1283" s="36"/>
      <c r="BB1283" s="36"/>
      <c r="BC1283" s="36"/>
      <c r="BD1283" s="36"/>
      <c r="BE1283" s="36"/>
      <c r="BF1283" s="36"/>
      <c r="BG1283" s="36"/>
      <c r="BH1283" s="36"/>
      <c r="BI1283" s="36"/>
      <c r="BJ1283" s="36"/>
      <c r="BK1283" s="36"/>
      <c r="BL1283" s="36"/>
    </row>
    <row r="1284" spans="1:64" ht="18.75" x14ac:dyDescent="0.25">
      <c r="A1284" s="758"/>
      <c r="B1284" s="737"/>
      <c r="C1284" s="730"/>
      <c r="D1284" s="739"/>
      <c r="E1284" s="765"/>
      <c r="F1284" s="765"/>
      <c r="G1284" s="765"/>
      <c r="H1284" s="765"/>
      <c r="I1284" s="746" t="str">
        <f t="shared" si="58"/>
        <v/>
      </c>
      <c r="J1284" s="731"/>
      <c r="K1284" s="731" t="str">
        <f t="shared" ref="K1284:K1347" si="60">IF(AA1284-AE1284 = 0,"",AA1284-AE1284)</f>
        <v/>
      </c>
      <c r="L1284" s="726"/>
      <c r="M1284" s="726"/>
      <c r="N1284" s="726"/>
      <c r="O1284" s="726"/>
      <c r="P1284" s="726"/>
      <c r="Q1284" s="726"/>
      <c r="R1284" s="726"/>
      <c r="S1284" s="726"/>
      <c r="T1284" s="726"/>
      <c r="U1284" s="726"/>
      <c r="V1284" s="726"/>
      <c r="W1284" s="726"/>
      <c r="X1284" s="726"/>
      <c r="Y1284" s="726"/>
      <c r="Z1284" s="726"/>
      <c r="AA1284" s="732"/>
      <c r="AB1284" s="732"/>
      <c r="AC1284" s="732"/>
      <c r="AD1284" s="732"/>
      <c r="AE1284" s="733"/>
      <c r="AF1284" s="734" t="str">
        <f t="shared" si="59"/>
        <v/>
      </c>
      <c r="AG1284" s="773"/>
    </row>
    <row r="1285" spans="1:64" ht="18.75" x14ac:dyDescent="0.25">
      <c r="A1285" s="758"/>
      <c r="B1285" s="737"/>
      <c r="C1285" s="730"/>
      <c r="D1285" s="739"/>
      <c r="E1285" s="765"/>
      <c r="F1285" s="765"/>
      <c r="G1285" s="765"/>
      <c r="H1285" s="765"/>
      <c r="I1285" s="746" t="str">
        <f t="shared" ref="I1285:I1348" si="61">AF1285</f>
        <v/>
      </c>
      <c r="J1285" s="731"/>
      <c r="K1285" s="731" t="str">
        <f t="shared" si="60"/>
        <v/>
      </c>
      <c r="L1285" s="726"/>
      <c r="M1285" s="726"/>
      <c r="N1285" s="726"/>
      <c r="O1285" s="726"/>
      <c r="P1285" s="726"/>
      <c r="Q1285" s="726"/>
      <c r="R1285" s="726"/>
      <c r="S1285" s="726"/>
      <c r="T1285" s="726"/>
      <c r="U1285" s="726"/>
      <c r="V1285" s="726"/>
      <c r="W1285" s="726"/>
      <c r="X1285" s="726"/>
      <c r="Y1285" s="726"/>
      <c r="Z1285" s="726"/>
      <c r="AA1285" s="732"/>
      <c r="AB1285" s="732"/>
      <c r="AC1285" s="732"/>
      <c r="AD1285" s="732"/>
      <c r="AE1285" s="733"/>
      <c r="AF1285" s="734" t="str">
        <f t="shared" ref="AF1285:AF1348" si="62">IF(AE1285 &lt;&gt;"", AE1285/AA1285,"")</f>
        <v/>
      </c>
      <c r="AG1285" s="773"/>
    </row>
    <row r="1286" spans="1:64" ht="18.75" x14ac:dyDescent="0.25">
      <c r="A1286" s="758"/>
      <c r="B1286" s="737"/>
      <c r="C1286" s="730"/>
      <c r="D1286" s="739"/>
      <c r="E1286" s="765"/>
      <c r="F1286" s="765"/>
      <c r="G1286" s="765"/>
      <c r="H1286" s="765"/>
      <c r="I1286" s="746" t="str">
        <f t="shared" si="61"/>
        <v/>
      </c>
      <c r="J1286" s="731"/>
      <c r="K1286" s="731" t="str">
        <f t="shared" si="60"/>
        <v/>
      </c>
      <c r="L1286" s="726"/>
      <c r="M1286" s="726"/>
      <c r="N1286" s="726"/>
      <c r="O1286" s="726"/>
      <c r="P1286" s="726"/>
      <c r="Q1286" s="726"/>
      <c r="R1286" s="726"/>
      <c r="S1286" s="726"/>
      <c r="T1286" s="726"/>
      <c r="U1286" s="726"/>
      <c r="V1286" s="726"/>
      <c r="W1286" s="726"/>
      <c r="X1286" s="726"/>
      <c r="Y1286" s="726"/>
      <c r="Z1286" s="726"/>
      <c r="AA1286" s="732"/>
      <c r="AB1286" s="732"/>
      <c r="AC1286" s="732"/>
      <c r="AD1286" s="732"/>
      <c r="AE1286" s="733"/>
      <c r="AF1286" s="734" t="str">
        <f t="shared" si="62"/>
        <v/>
      </c>
      <c r="AG1286" s="773"/>
    </row>
    <row r="1287" spans="1:64" ht="18.75" x14ac:dyDescent="0.25">
      <c r="A1287" s="758"/>
      <c r="B1287" s="737"/>
      <c r="C1287" s="730"/>
      <c r="D1287" s="739"/>
      <c r="E1287" s="765"/>
      <c r="F1287" s="765"/>
      <c r="G1287" s="765"/>
      <c r="H1287" s="765"/>
      <c r="I1287" s="746" t="str">
        <f t="shared" si="61"/>
        <v/>
      </c>
      <c r="J1287" s="731"/>
      <c r="K1287" s="731" t="str">
        <f t="shared" si="60"/>
        <v/>
      </c>
      <c r="L1287" s="726"/>
      <c r="M1287" s="726"/>
      <c r="N1287" s="726"/>
      <c r="O1287" s="726"/>
      <c r="P1287" s="726"/>
      <c r="Q1287" s="726"/>
      <c r="R1287" s="726"/>
      <c r="S1287" s="726"/>
      <c r="T1287" s="726"/>
      <c r="U1287" s="726"/>
      <c r="V1287" s="726"/>
      <c r="W1287" s="726"/>
      <c r="X1287" s="726"/>
      <c r="Y1287" s="726"/>
      <c r="Z1287" s="726"/>
      <c r="AA1287" s="732"/>
      <c r="AB1287" s="732"/>
      <c r="AC1287" s="732"/>
      <c r="AD1287" s="732"/>
      <c r="AE1287" s="733"/>
      <c r="AF1287" s="734" t="str">
        <f t="shared" si="62"/>
        <v/>
      </c>
      <c r="AG1287" s="773"/>
    </row>
    <row r="1288" spans="1:64" ht="18.75" x14ac:dyDescent="0.25">
      <c r="A1288" s="758"/>
      <c r="B1288" s="737"/>
      <c r="C1288" s="730"/>
      <c r="D1288" s="739"/>
      <c r="E1288" s="765"/>
      <c r="F1288" s="765"/>
      <c r="G1288" s="765"/>
      <c r="H1288" s="765"/>
      <c r="I1288" s="746" t="str">
        <f t="shared" si="61"/>
        <v/>
      </c>
      <c r="J1288" s="731"/>
      <c r="K1288" s="731" t="str">
        <f t="shared" si="60"/>
        <v/>
      </c>
      <c r="L1288" s="726"/>
      <c r="M1288" s="726"/>
      <c r="N1288" s="726"/>
      <c r="O1288" s="726"/>
      <c r="P1288" s="726"/>
      <c r="Q1288" s="726"/>
      <c r="R1288" s="726"/>
      <c r="S1288" s="726"/>
      <c r="T1288" s="726"/>
      <c r="U1288" s="726"/>
      <c r="V1288" s="726"/>
      <c r="W1288" s="726"/>
      <c r="X1288" s="726"/>
      <c r="Y1288" s="726"/>
      <c r="Z1288" s="726"/>
      <c r="AA1288" s="732"/>
      <c r="AB1288" s="732"/>
      <c r="AC1288" s="732"/>
      <c r="AD1288" s="732"/>
      <c r="AE1288" s="733"/>
      <c r="AF1288" s="734" t="str">
        <f t="shared" si="62"/>
        <v/>
      </c>
      <c r="AG1288" s="773"/>
    </row>
    <row r="1289" spans="1:64" ht="18.75" customHeight="1" x14ac:dyDescent="0.25">
      <c r="A1289" s="758"/>
      <c r="B1289" s="737"/>
      <c r="C1289" s="730"/>
      <c r="D1289" s="739"/>
      <c r="E1289" s="765"/>
      <c r="F1289" s="765"/>
      <c r="G1289" s="765"/>
      <c r="H1289" s="765"/>
      <c r="I1289" s="746" t="str">
        <f t="shared" si="61"/>
        <v/>
      </c>
      <c r="J1289" s="731"/>
      <c r="K1289" s="731" t="str">
        <f t="shared" si="60"/>
        <v/>
      </c>
      <c r="L1289" s="726"/>
      <c r="M1289" s="726"/>
      <c r="N1289" s="726"/>
      <c r="O1289" s="726"/>
      <c r="P1289" s="726"/>
      <c r="Q1289" s="726"/>
      <c r="R1289" s="726"/>
      <c r="S1289" s="726"/>
      <c r="T1289" s="726"/>
      <c r="U1289" s="726"/>
      <c r="V1289" s="726"/>
      <c r="W1289" s="726"/>
      <c r="X1289" s="726"/>
      <c r="Y1289" s="726"/>
      <c r="Z1289" s="726"/>
      <c r="AA1289" s="732"/>
      <c r="AB1289" s="732"/>
      <c r="AC1289" s="732"/>
      <c r="AD1289" s="732"/>
      <c r="AE1289" s="733"/>
      <c r="AF1289" s="734" t="str">
        <f t="shared" si="62"/>
        <v/>
      </c>
      <c r="AG1289" s="772"/>
      <c r="AH1289" s="777"/>
      <c r="AI1289" s="735"/>
      <c r="AJ1289" s="735"/>
      <c r="AK1289" s="735"/>
      <c r="AL1289" s="735"/>
      <c r="AM1289" s="735"/>
      <c r="AN1289" s="735"/>
      <c r="AO1289" s="735"/>
      <c r="AP1289" s="735"/>
      <c r="AQ1289" s="735"/>
      <c r="AR1289" s="735"/>
      <c r="AS1289" s="735"/>
      <c r="AT1289" s="735"/>
      <c r="AU1289" s="735"/>
      <c r="AV1289" s="735"/>
      <c r="AW1289" s="735"/>
      <c r="AX1289" s="735"/>
      <c r="AY1289" s="735"/>
      <c r="AZ1289" s="735"/>
      <c r="BA1289" s="735"/>
      <c r="BB1289" s="735"/>
      <c r="BC1289" s="735"/>
      <c r="BD1289" s="735"/>
      <c r="BE1289" s="735"/>
      <c r="BF1289" s="735"/>
      <c r="BG1289" s="735"/>
      <c r="BH1289" s="735"/>
      <c r="BI1289" s="735"/>
      <c r="BJ1289" s="735"/>
      <c r="BK1289" s="735"/>
      <c r="BL1289" s="735"/>
    </row>
    <row r="1290" spans="1:64" ht="19.5" customHeight="1" x14ac:dyDescent="0.25">
      <c r="A1290" s="758"/>
      <c r="B1290" s="737"/>
      <c r="C1290" s="730"/>
      <c r="D1290" s="739"/>
      <c r="E1290" s="765"/>
      <c r="F1290" s="765"/>
      <c r="G1290" s="765"/>
      <c r="H1290" s="765"/>
      <c r="I1290" s="746" t="str">
        <f t="shared" si="61"/>
        <v/>
      </c>
      <c r="J1290" s="731"/>
      <c r="K1290" s="731" t="str">
        <f t="shared" si="60"/>
        <v/>
      </c>
      <c r="L1290" s="726"/>
      <c r="M1290" s="726"/>
      <c r="N1290" s="726"/>
      <c r="O1290" s="726"/>
      <c r="P1290" s="726"/>
      <c r="Q1290" s="726"/>
      <c r="R1290" s="726"/>
      <c r="S1290" s="726"/>
      <c r="T1290" s="726"/>
      <c r="U1290" s="726"/>
      <c r="V1290" s="726"/>
      <c r="W1290" s="726"/>
      <c r="X1290" s="726"/>
      <c r="Y1290" s="726"/>
      <c r="Z1290" s="726"/>
      <c r="AA1290" s="732"/>
      <c r="AB1290" s="732"/>
      <c r="AC1290" s="732"/>
      <c r="AD1290" s="732"/>
      <c r="AE1290" s="733"/>
      <c r="AF1290" s="734" t="str">
        <f t="shared" si="62"/>
        <v/>
      </c>
      <c r="AG1290" s="772"/>
      <c r="AH1290" s="777"/>
      <c r="AI1290" s="735"/>
      <c r="AJ1290" s="735"/>
      <c r="AK1290" s="735"/>
      <c r="AL1290" s="735"/>
      <c r="AM1290" s="735"/>
      <c r="AN1290" s="735"/>
      <c r="AO1290" s="735"/>
      <c r="AP1290" s="735"/>
      <c r="AQ1290" s="735"/>
      <c r="AR1290" s="735"/>
      <c r="AS1290" s="735"/>
      <c r="AT1290" s="735"/>
      <c r="AU1290" s="735"/>
      <c r="AV1290" s="735"/>
      <c r="AW1290" s="735"/>
      <c r="AX1290" s="735"/>
      <c r="AY1290" s="735"/>
      <c r="AZ1290" s="735"/>
      <c r="BA1290" s="735"/>
      <c r="BB1290" s="735"/>
      <c r="BC1290" s="735"/>
      <c r="BD1290" s="735"/>
      <c r="BE1290" s="735"/>
      <c r="BF1290" s="735"/>
      <c r="BG1290" s="735"/>
      <c r="BH1290" s="735"/>
      <c r="BI1290" s="735"/>
      <c r="BJ1290" s="735"/>
      <c r="BK1290" s="735"/>
      <c r="BL1290" s="735"/>
    </row>
    <row r="1291" spans="1:64" ht="19.5" customHeight="1" x14ac:dyDescent="0.25">
      <c r="A1291" s="758"/>
      <c r="B1291" s="737"/>
      <c r="C1291" s="730"/>
      <c r="D1291" s="739"/>
      <c r="E1291" s="765"/>
      <c r="F1291" s="765"/>
      <c r="G1291" s="765"/>
      <c r="H1291" s="765"/>
      <c r="I1291" s="746" t="str">
        <f t="shared" si="61"/>
        <v/>
      </c>
      <c r="J1291" s="731"/>
      <c r="K1291" s="731" t="str">
        <f t="shared" si="60"/>
        <v/>
      </c>
      <c r="L1291" s="726"/>
      <c r="M1291" s="726"/>
      <c r="N1291" s="726"/>
      <c r="O1291" s="726"/>
      <c r="P1291" s="726"/>
      <c r="Q1291" s="726"/>
      <c r="R1291" s="726"/>
      <c r="S1291" s="726"/>
      <c r="T1291" s="726"/>
      <c r="U1291" s="726"/>
      <c r="V1291" s="726"/>
      <c r="W1291" s="726"/>
      <c r="X1291" s="726"/>
      <c r="Y1291" s="726"/>
      <c r="Z1291" s="726"/>
      <c r="AA1291" s="732"/>
      <c r="AB1291" s="732"/>
      <c r="AC1291" s="732"/>
      <c r="AD1291" s="732"/>
      <c r="AE1291" s="733"/>
      <c r="AF1291" s="734" t="str">
        <f t="shared" si="62"/>
        <v/>
      </c>
      <c r="AG1291" s="772"/>
      <c r="AH1291" s="777"/>
      <c r="AI1291" s="735"/>
      <c r="AJ1291" s="735"/>
      <c r="AK1291" s="735"/>
      <c r="AL1291" s="735"/>
      <c r="AM1291" s="735"/>
      <c r="AN1291" s="735"/>
      <c r="AO1291" s="735"/>
      <c r="AP1291" s="735"/>
      <c r="AQ1291" s="735"/>
      <c r="AR1291" s="735"/>
      <c r="AS1291" s="735"/>
      <c r="AT1291" s="735"/>
      <c r="AU1291" s="735"/>
      <c r="AV1291" s="735"/>
      <c r="AW1291" s="735"/>
      <c r="AX1291" s="735"/>
      <c r="AY1291" s="735"/>
      <c r="AZ1291" s="735"/>
      <c r="BA1291" s="735"/>
      <c r="BB1291" s="735"/>
      <c r="BC1291" s="735"/>
      <c r="BD1291" s="735"/>
      <c r="BE1291" s="735"/>
      <c r="BF1291" s="735"/>
      <c r="BG1291" s="735"/>
      <c r="BH1291" s="735"/>
      <c r="BI1291" s="735"/>
      <c r="BJ1291" s="735"/>
      <c r="BK1291" s="735"/>
      <c r="BL1291" s="735"/>
    </row>
    <row r="1292" spans="1:64" ht="19.5" customHeight="1" x14ac:dyDescent="0.25">
      <c r="A1292" s="758"/>
      <c r="B1292" s="737"/>
      <c r="C1292" s="730"/>
      <c r="D1292" s="739"/>
      <c r="E1292" s="765"/>
      <c r="F1292" s="765"/>
      <c r="G1292" s="765"/>
      <c r="H1292" s="765"/>
      <c r="I1292" s="746" t="str">
        <f t="shared" si="61"/>
        <v/>
      </c>
      <c r="J1292" s="731"/>
      <c r="K1292" s="731" t="str">
        <f t="shared" si="60"/>
        <v/>
      </c>
      <c r="L1292" s="726"/>
      <c r="M1292" s="726"/>
      <c r="N1292" s="726"/>
      <c r="O1292" s="726"/>
      <c r="P1292" s="726"/>
      <c r="Q1292" s="726"/>
      <c r="R1292" s="726"/>
      <c r="S1292" s="726"/>
      <c r="T1292" s="726"/>
      <c r="U1292" s="726"/>
      <c r="V1292" s="726"/>
      <c r="W1292" s="726"/>
      <c r="X1292" s="726"/>
      <c r="Y1292" s="726"/>
      <c r="Z1292" s="726"/>
      <c r="AA1292" s="732"/>
      <c r="AB1292" s="732"/>
      <c r="AC1292" s="732"/>
      <c r="AD1292" s="732"/>
      <c r="AE1292" s="733"/>
      <c r="AF1292" s="734" t="str">
        <f t="shared" si="62"/>
        <v/>
      </c>
      <c r="AG1292" s="772"/>
      <c r="AH1292" s="777"/>
      <c r="AI1292" s="735"/>
      <c r="AJ1292" s="735"/>
      <c r="AK1292" s="735"/>
      <c r="AL1292" s="735"/>
      <c r="AM1292" s="735"/>
      <c r="AN1292" s="735"/>
      <c r="AO1292" s="735"/>
      <c r="AP1292" s="735"/>
      <c r="AQ1292" s="735"/>
      <c r="AR1292" s="735"/>
      <c r="AS1292" s="735"/>
      <c r="AT1292" s="735"/>
      <c r="AU1292" s="735"/>
      <c r="AV1292" s="735"/>
      <c r="AW1292" s="735"/>
      <c r="AX1292" s="735"/>
      <c r="AY1292" s="735"/>
      <c r="AZ1292" s="735"/>
      <c r="BA1292" s="735"/>
      <c r="BB1292" s="735"/>
      <c r="BC1292" s="735"/>
      <c r="BD1292" s="735"/>
      <c r="BE1292" s="735"/>
      <c r="BF1292" s="735"/>
      <c r="BG1292" s="735"/>
      <c r="BH1292" s="735"/>
      <c r="BI1292" s="735"/>
      <c r="BJ1292" s="735"/>
      <c r="BK1292" s="735"/>
      <c r="BL1292" s="735"/>
    </row>
    <row r="1293" spans="1:64" ht="18.75" x14ac:dyDescent="0.25">
      <c r="A1293" s="758"/>
      <c r="B1293" s="737"/>
      <c r="C1293" s="730"/>
      <c r="D1293" s="739"/>
      <c r="E1293" s="765"/>
      <c r="F1293" s="765"/>
      <c r="G1293" s="765"/>
      <c r="H1293" s="765"/>
      <c r="I1293" s="746" t="str">
        <f t="shared" si="61"/>
        <v/>
      </c>
      <c r="J1293" s="731"/>
      <c r="K1293" s="731" t="str">
        <f t="shared" si="60"/>
        <v/>
      </c>
      <c r="L1293" s="726"/>
      <c r="M1293" s="726"/>
      <c r="N1293" s="726"/>
      <c r="O1293" s="726"/>
      <c r="P1293" s="726"/>
      <c r="Q1293" s="726"/>
      <c r="R1293" s="726"/>
      <c r="S1293" s="726"/>
      <c r="T1293" s="726"/>
      <c r="U1293" s="726"/>
      <c r="V1293" s="726"/>
      <c r="W1293" s="726"/>
      <c r="X1293" s="726"/>
      <c r="Y1293" s="726"/>
      <c r="Z1293" s="726"/>
      <c r="AA1293" s="732"/>
      <c r="AB1293" s="732"/>
      <c r="AC1293" s="732"/>
      <c r="AD1293" s="732"/>
      <c r="AE1293" s="733"/>
      <c r="AF1293" s="734" t="str">
        <f t="shared" si="62"/>
        <v/>
      </c>
      <c r="AG1293" s="773"/>
    </row>
    <row r="1294" spans="1:64" ht="18.75" x14ac:dyDescent="0.25">
      <c r="A1294" s="758"/>
      <c r="B1294" s="737"/>
      <c r="C1294" s="730"/>
      <c r="D1294" s="739"/>
      <c r="E1294" s="765"/>
      <c r="F1294" s="765"/>
      <c r="G1294" s="765"/>
      <c r="H1294" s="765"/>
      <c r="I1294" s="746" t="str">
        <f t="shared" si="61"/>
        <v/>
      </c>
      <c r="J1294" s="731"/>
      <c r="K1294" s="731" t="str">
        <f t="shared" si="60"/>
        <v/>
      </c>
      <c r="L1294" s="726"/>
      <c r="M1294" s="726"/>
      <c r="N1294" s="726"/>
      <c r="O1294" s="726"/>
      <c r="P1294" s="726"/>
      <c r="Q1294" s="726"/>
      <c r="R1294" s="726"/>
      <c r="S1294" s="726"/>
      <c r="T1294" s="726"/>
      <c r="U1294" s="726"/>
      <c r="V1294" s="726"/>
      <c r="W1294" s="726"/>
      <c r="X1294" s="726"/>
      <c r="Y1294" s="726"/>
      <c r="Z1294" s="726"/>
      <c r="AA1294" s="732"/>
      <c r="AB1294" s="732"/>
      <c r="AC1294" s="732"/>
      <c r="AD1294" s="732"/>
      <c r="AE1294" s="733"/>
      <c r="AF1294" s="734" t="str">
        <f t="shared" si="62"/>
        <v/>
      </c>
      <c r="AG1294" s="773"/>
    </row>
    <row r="1295" spans="1:64" ht="18.75" x14ac:dyDescent="0.25">
      <c r="A1295" s="758"/>
      <c r="B1295" s="737"/>
      <c r="C1295" s="730"/>
      <c r="D1295" s="739"/>
      <c r="E1295" s="765"/>
      <c r="F1295" s="765"/>
      <c r="G1295" s="765"/>
      <c r="H1295" s="765"/>
      <c r="I1295" s="746" t="str">
        <f t="shared" si="61"/>
        <v/>
      </c>
      <c r="J1295" s="731"/>
      <c r="K1295" s="731" t="str">
        <f t="shared" si="60"/>
        <v/>
      </c>
      <c r="L1295" s="726"/>
      <c r="M1295" s="726"/>
      <c r="N1295" s="726"/>
      <c r="O1295" s="726"/>
      <c r="P1295" s="726"/>
      <c r="Q1295" s="726"/>
      <c r="R1295" s="726"/>
      <c r="S1295" s="726"/>
      <c r="T1295" s="726"/>
      <c r="U1295" s="726"/>
      <c r="V1295" s="726"/>
      <c r="W1295" s="726"/>
      <c r="X1295" s="726"/>
      <c r="Y1295" s="726"/>
      <c r="Z1295" s="726"/>
      <c r="AA1295" s="732"/>
      <c r="AB1295" s="732"/>
      <c r="AC1295" s="732"/>
      <c r="AD1295" s="732"/>
      <c r="AE1295" s="733"/>
      <c r="AF1295" s="734" t="str">
        <f t="shared" si="62"/>
        <v/>
      </c>
      <c r="AG1295" s="773"/>
    </row>
    <row r="1296" spans="1:64" ht="18.75" x14ac:dyDescent="0.25">
      <c r="A1296" s="758"/>
      <c r="B1296" s="737"/>
      <c r="C1296" s="730"/>
      <c r="D1296" s="739"/>
      <c r="E1296" s="765"/>
      <c r="F1296" s="765"/>
      <c r="G1296" s="765"/>
      <c r="H1296" s="765"/>
      <c r="I1296" s="746" t="str">
        <f t="shared" si="61"/>
        <v/>
      </c>
      <c r="J1296" s="731"/>
      <c r="K1296" s="731" t="str">
        <f t="shared" si="60"/>
        <v/>
      </c>
      <c r="L1296" s="726"/>
      <c r="M1296" s="726"/>
      <c r="N1296" s="726"/>
      <c r="O1296" s="726"/>
      <c r="P1296" s="726"/>
      <c r="Q1296" s="726"/>
      <c r="R1296" s="726"/>
      <c r="S1296" s="726"/>
      <c r="T1296" s="726"/>
      <c r="U1296" s="726"/>
      <c r="V1296" s="726"/>
      <c r="W1296" s="726"/>
      <c r="X1296" s="726"/>
      <c r="Y1296" s="726"/>
      <c r="Z1296" s="726"/>
      <c r="AA1296" s="732"/>
      <c r="AB1296" s="732"/>
      <c r="AC1296" s="732"/>
      <c r="AD1296" s="732"/>
      <c r="AE1296" s="733"/>
      <c r="AF1296" s="734" t="str">
        <f t="shared" si="62"/>
        <v/>
      </c>
      <c r="AG1296" s="773"/>
    </row>
    <row r="1297" spans="1:64" ht="18.75" x14ac:dyDescent="0.25">
      <c r="A1297" s="758"/>
      <c r="B1297" s="737"/>
      <c r="C1297" s="730"/>
      <c r="D1297" s="739"/>
      <c r="E1297" s="765"/>
      <c r="F1297" s="765"/>
      <c r="G1297" s="765"/>
      <c r="H1297" s="765"/>
      <c r="I1297" s="746" t="str">
        <f t="shared" si="61"/>
        <v/>
      </c>
      <c r="J1297" s="731"/>
      <c r="K1297" s="731" t="str">
        <f t="shared" si="60"/>
        <v/>
      </c>
      <c r="L1297" s="726"/>
      <c r="M1297" s="726"/>
      <c r="N1297" s="726"/>
      <c r="O1297" s="726"/>
      <c r="P1297" s="726"/>
      <c r="Q1297" s="726"/>
      <c r="R1297" s="726"/>
      <c r="S1297" s="726"/>
      <c r="T1297" s="726"/>
      <c r="U1297" s="726"/>
      <c r="V1297" s="726"/>
      <c r="W1297" s="726"/>
      <c r="X1297" s="726"/>
      <c r="Y1297" s="726"/>
      <c r="Z1297" s="726"/>
      <c r="AA1297" s="732"/>
      <c r="AB1297" s="732"/>
      <c r="AC1297" s="732"/>
      <c r="AD1297" s="732"/>
      <c r="AE1297" s="733"/>
      <c r="AF1297" s="734" t="str">
        <f t="shared" si="62"/>
        <v/>
      </c>
      <c r="AG1297" s="773"/>
    </row>
    <row r="1298" spans="1:64" ht="18.75" x14ac:dyDescent="0.25">
      <c r="A1298" s="758"/>
      <c r="B1298" s="737"/>
      <c r="C1298" s="730"/>
      <c r="D1298" s="739"/>
      <c r="E1298" s="765"/>
      <c r="F1298" s="765"/>
      <c r="G1298" s="765"/>
      <c r="H1298" s="765"/>
      <c r="I1298" s="746" t="str">
        <f t="shared" si="61"/>
        <v/>
      </c>
      <c r="J1298" s="731"/>
      <c r="K1298" s="731" t="str">
        <f t="shared" si="60"/>
        <v/>
      </c>
      <c r="L1298" s="726"/>
      <c r="M1298" s="726"/>
      <c r="N1298" s="726"/>
      <c r="O1298" s="726"/>
      <c r="P1298" s="726"/>
      <c r="Q1298" s="726"/>
      <c r="R1298" s="726"/>
      <c r="S1298" s="726"/>
      <c r="T1298" s="726"/>
      <c r="U1298" s="726"/>
      <c r="V1298" s="726"/>
      <c r="W1298" s="726"/>
      <c r="X1298" s="726"/>
      <c r="Y1298" s="726"/>
      <c r="Z1298" s="726"/>
      <c r="AA1298" s="732"/>
      <c r="AB1298" s="732"/>
      <c r="AC1298" s="732"/>
      <c r="AD1298" s="732"/>
      <c r="AE1298" s="733"/>
      <c r="AF1298" s="734" t="str">
        <f t="shared" si="62"/>
        <v/>
      </c>
      <c r="AG1298" s="773"/>
    </row>
    <row r="1299" spans="1:64" ht="18.75" x14ac:dyDescent="0.25">
      <c r="A1299" s="758"/>
      <c r="B1299" s="737"/>
      <c r="C1299" s="730"/>
      <c r="D1299" s="739"/>
      <c r="E1299" s="765"/>
      <c r="F1299" s="765"/>
      <c r="G1299" s="765"/>
      <c r="H1299" s="765"/>
      <c r="I1299" s="746" t="str">
        <f t="shared" si="61"/>
        <v/>
      </c>
      <c r="J1299" s="731"/>
      <c r="K1299" s="731" t="str">
        <f t="shared" si="60"/>
        <v/>
      </c>
      <c r="L1299" s="726"/>
      <c r="M1299" s="726"/>
      <c r="N1299" s="726"/>
      <c r="O1299" s="726"/>
      <c r="P1299" s="726"/>
      <c r="Q1299" s="726"/>
      <c r="R1299" s="726"/>
      <c r="S1299" s="726"/>
      <c r="T1299" s="726"/>
      <c r="U1299" s="726"/>
      <c r="V1299" s="726"/>
      <c r="W1299" s="726"/>
      <c r="X1299" s="726"/>
      <c r="Y1299" s="726"/>
      <c r="Z1299" s="726"/>
      <c r="AA1299" s="732"/>
      <c r="AB1299" s="732"/>
      <c r="AC1299" s="732"/>
      <c r="AD1299" s="732"/>
      <c r="AE1299" s="733"/>
      <c r="AF1299" s="734" t="str">
        <f t="shared" si="62"/>
        <v/>
      </c>
      <c r="AG1299" s="773"/>
    </row>
    <row r="1300" spans="1:64" ht="18.75" x14ac:dyDescent="0.25">
      <c r="A1300" s="758"/>
      <c r="B1300" s="737"/>
      <c r="C1300" s="730"/>
      <c r="D1300" s="739"/>
      <c r="E1300" s="765"/>
      <c r="F1300" s="765"/>
      <c r="G1300" s="765"/>
      <c r="H1300" s="765"/>
      <c r="I1300" s="746" t="str">
        <f t="shared" si="61"/>
        <v/>
      </c>
      <c r="J1300" s="731"/>
      <c r="K1300" s="731" t="str">
        <f t="shared" si="60"/>
        <v/>
      </c>
      <c r="L1300" s="726"/>
      <c r="M1300" s="726"/>
      <c r="N1300" s="726"/>
      <c r="O1300" s="726"/>
      <c r="P1300" s="726"/>
      <c r="Q1300" s="726"/>
      <c r="R1300" s="726"/>
      <c r="S1300" s="726"/>
      <c r="T1300" s="726"/>
      <c r="U1300" s="726"/>
      <c r="V1300" s="726"/>
      <c r="W1300" s="726"/>
      <c r="X1300" s="726"/>
      <c r="Y1300" s="726"/>
      <c r="Z1300" s="726"/>
      <c r="AA1300" s="732"/>
      <c r="AB1300" s="732"/>
      <c r="AC1300" s="732"/>
      <c r="AD1300" s="732"/>
      <c r="AE1300" s="733"/>
      <c r="AF1300" s="734" t="str">
        <f t="shared" si="62"/>
        <v/>
      </c>
      <c r="AG1300" s="773"/>
    </row>
    <row r="1301" spans="1:64" ht="18.75" x14ac:dyDescent="0.25">
      <c r="A1301" s="758"/>
      <c r="B1301" s="737"/>
      <c r="C1301" s="730"/>
      <c r="D1301" s="739"/>
      <c r="E1301" s="765"/>
      <c r="F1301" s="765"/>
      <c r="G1301" s="765"/>
      <c r="H1301" s="765"/>
      <c r="I1301" s="746" t="str">
        <f t="shared" si="61"/>
        <v/>
      </c>
      <c r="J1301" s="731"/>
      <c r="K1301" s="731" t="str">
        <f t="shared" si="60"/>
        <v/>
      </c>
      <c r="L1301" s="726"/>
      <c r="M1301" s="726"/>
      <c r="N1301" s="726"/>
      <c r="O1301" s="726"/>
      <c r="P1301" s="726"/>
      <c r="Q1301" s="726"/>
      <c r="R1301" s="726"/>
      <c r="S1301" s="726"/>
      <c r="T1301" s="726"/>
      <c r="U1301" s="726"/>
      <c r="V1301" s="726"/>
      <c r="W1301" s="726"/>
      <c r="X1301" s="726"/>
      <c r="Y1301" s="726"/>
      <c r="Z1301" s="726"/>
      <c r="AA1301" s="732"/>
      <c r="AB1301" s="732"/>
      <c r="AC1301" s="732"/>
      <c r="AD1301" s="732"/>
      <c r="AE1301" s="733"/>
      <c r="AF1301" s="734" t="str">
        <f t="shared" si="62"/>
        <v/>
      </c>
      <c r="AG1301" s="773"/>
    </row>
    <row r="1302" spans="1:64" ht="18.75" x14ac:dyDescent="0.25">
      <c r="A1302" s="758"/>
      <c r="B1302" s="737"/>
      <c r="C1302" s="730"/>
      <c r="D1302" s="739"/>
      <c r="E1302" s="765"/>
      <c r="F1302" s="765"/>
      <c r="G1302" s="765"/>
      <c r="H1302" s="765"/>
      <c r="I1302" s="746" t="str">
        <f t="shared" si="61"/>
        <v/>
      </c>
      <c r="J1302" s="731"/>
      <c r="K1302" s="731" t="str">
        <f t="shared" si="60"/>
        <v/>
      </c>
      <c r="L1302" s="726"/>
      <c r="M1302" s="726"/>
      <c r="N1302" s="726"/>
      <c r="O1302" s="726"/>
      <c r="P1302" s="726"/>
      <c r="Q1302" s="726"/>
      <c r="R1302" s="726"/>
      <c r="S1302" s="726"/>
      <c r="T1302" s="726"/>
      <c r="U1302" s="726"/>
      <c r="V1302" s="726"/>
      <c r="W1302" s="726"/>
      <c r="X1302" s="726"/>
      <c r="Y1302" s="726"/>
      <c r="Z1302" s="726"/>
      <c r="AA1302" s="732"/>
      <c r="AB1302" s="732"/>
      <c r="AC1302" s="732"/>
      <c r="AD1302" s="732"/>
      <c r="AE1302" s="733"/>
      <c r="AF1302" s="734" t="str">
        <f t="shared" si="62"/>
        <v/>
      </c>
      <c r="AG1302" s="773"/>
    </row>
    <row r="1303" spans="1:64" ht="18.75" x14ac:dyDescent="0.25">
      <c r="A1303" s="758"/>
      <c r="B1303" s="737"/>
      <c r="C1303" s="730"/>
      <c r="D1303" s="739"/>
      <c r="E1303" s="765"/>
      <c r="F1303" s="765"/>
      <c r="G1303" s="765"/>
      <c r="H1303" s="765"/>
      <c r="I1303" s="746" t="str">
        <f t="shared" si="61"/>
        <v/>
      </c>
      <c r="J1303" s="731"/>
      <c r="K1303" s="731" t="str">
        <f t="shared" si="60"/>
        <v/>
      </c>
      <c r="L1303" s="726"/>
      <c r="M1303" s="726"/>
      <c r="N1303" s="726"/>
      <c r="O1303" s="726"/>
      <c r="P1303" s="726"/>
      <c r="Q1303" s="726"/>
      <c r="R1303" s="726"/>
      <c r="S1303" s="726"/>
      <c r="T1303" s="726"/>
      <c r="U1303" s="726"/>
      <c r="V1303" s="726"/>
      <c r="W1303" s="726"/>
      <c r="X1303" s="726"/>
      <c r="Y1303" s="726"/>
      <c r="Z1303" s="726"/>
      <c r="AA1303" s="732"/>
      <c r="AB1303" s="732"/>
      <c r="AC1303" s="732"/>
      <c r="AD1303" s="732"/>
      <c r="AE1303" s="733"/>
      <c r="AF1303" s="734" t="str">
        <f t="shared" si="62"/>
        <v/>
      </c>
      <c r="AG1303" s="773"/>
    </row>
    <row r="1304" spans="1:64" ht="18.75" x14ac:dyDescent="0.25">
      <c r="A1304" s="758"/>
      <c r="B1304" s="737"/>
      <c r="C1304" s="730"/>
      <c r="D1304" s="739"/>
      <c r="E1304" s="765"/>
      <c r="F1304" s="765"/>
      <c r="G1304" s="765"/>
      <c r="H1304" s="765"/>
      <c r="I1304" s="746" t="str">
        <f t="shared" si="61"/>
        <v/>
      </c>
      <c r="J1304" s="731"/>
      <c r="K1304" s="731" t="str">
        <f t="shared" si="60"/>
        <v/>
      </c>
      <c r="L1304" s="726"/>
      <c r="M1304" s="726"/>
      <c r="N1304" s="726"/>
      <c r="O1304" s="726"/>
      <c r="P1304" s="726"/>
      <c r="Q1304" s="726"/>
      <c r="R1304" s="726"/>
      <c r="S1304" s="726"/>
      <c r="T1304" s="726"/>
      <c r="U1304" s="726"/>
      <c r="V1304" s="726"/>
      <c r="W1304" s="726"/>
      <c r="X1304" s="726"/>
      <c r="Y1304" s="726"/>
      <c r="Z1304" s="726"/>
      <c r="AA1304" s="732"/>
      <c r="AB1304" s="732"/>
      <c r="AC1304" s="732"/>
      <c r="AD1304" s="732"/>
      <c r="AE1304" s="733"/>
      <c r="AF1304" s="734" t="str">
        <f t="shared" si="62"/>
        <v/>
      </c>
      <c r="AG1304" s="773"/>
    </row>
    <row r="1305" spans="1:64" ht="18.75" x14ac:dyDescent="0.25">
      <c r="A1305" s="758"/>
      <c r="B1305" s="737"/>
      <c r="C1305" s="730"/>
      <c r="D1305" s="739"/>
      <c r="E1305" s="765"/>
      <c r="F1305" s="765"/>
      <c r="G1305" s="765"/>
      <c r="H1305" s="765"/>
      <c r="I1305" s="746" t="str">
        <f t="shared" si="61"/>
        <v/>
      </c>
      <c r="J1305" s="731"/>
      <c r="K1305" s="731" t="str">
        <f t="shared" si="60"/>
        <v/>
      </c>
      <c r="L1305" s="726"/>
      <c r="M1305" s="726"/>
      <c r="N1305" s="726"/>
      <c r="O1305" s="726"/>
      <c r="P1305" s="726"/>
      <c r="Q1305" s="726"/>
      <c r="R1305" s="726"/>
      <c r="S1305" s="726"/>
      <c r="T1305" s="726"/>
      <c r="U1305" s="726"/>
      <c r="V1305" s="726"/>
      <c r="W1305" s="726"/>
      <c r="X1305" s="726"/>
      <c r="Y1305" s="726"/>
      <c r="Z1305" s="726"/>
      <c r="AA1305" s="732"/>
      <c r="AB1305" s="732"/>
      <c r="AC1305" s="732"/>
      <c r="AD1305" s="732"/>
      <c r="AE1305" s="733"/>
      <c r="AF1305" s="734" t="str">
        <f t="shared" si="62"/>
        <v/>
      </c>
      <c r="AG1305" s="773"/>
    </row>
    <row r="1306" spans="1:64" ht="18.75" x14ac:dyDescent="0.25">
      <c r="A1306" s="758"/>
      <c r="B1306" s="737"/>
      <c r="C1306" s="730"/>
      <c r="D1306" s="739"/>
      <c r="E1306" s="765"/>
      <c r="F1306" s="765"/>
      <c r="G1306" s="765"/>
      <c r="H1306" s="765"/>
      <c r="I1306" s="746" t="str">
        <f t="shared" si="61"/>
        <v/>
      </c>
      <c r="J1306" s="731"/>
      <c r="K1306" s="731" t="str">
        <f t="shared" si="60"/>
        <v/>
      </c>
      <c r="L1306" s="726"/>
      <c r="M1306" s="726"/>
      <c r="N1306" s="726"/>
      <c r="O1306" s="726"/>
      <c r="P1306" s="726"/>
      <c r="Q1306" s="726"/>
      <c r="R1306" s="726"/>
      <c r="S1306" s="726"/>
      <c r="T1306" s="726"/>
      <c r="U1306" s="726"/>
      <c r="V1306" s="726"/>
      <c r="W1306" s="726"/>
      <c r="X1306" s="726"/>
      <c r="Y1306" s="726"/>
      <c r="Z1306" s="726"/>
      <c r="AA1306" s="732"/>
      <c r="AB1306" s="732"/>
      <c r="AC1306" s="732"/>
      <c r="AD1306" s="732"/>
      <c r="AE1306" s="733"/>
      <c r="AF1306" s="734" t="str">
        <f t="shared" si="62"/>
        <v/>
      </c>
      <c r="AG1306" s="773"/>
    </row>
    <row r="1307" spans="1:64" ht="18.75" x14ac:dyDescent="0.25">
      <c r="A1307" s="758"/>
      <c r="B1307" s="737"/>
      <c r="C1307" s="730"/>
      <c r="D1307" s="739"/>
      <c r="E1307" s="765"/>
      <c r="F1307" s="765"/>
      <c r="G1307" s="765"/>
      <c r="H1307" s="765"/>
      <c r="I1307" s="746" t="str">
        <f t="shared" si="61"/>
        <v/>
      </c>
      <c r="J1307" s="731"/>
      <c r="K1307" s="731" t="str">
        <f t="shared" si="60"/>
        <v/>
      </c>
      <c r="L1307" s="726"/>
      <c r="M1307" s="726"/>
      <c r="N1307" s="726"/>
      <c r="O1307" s="726"/>
      <c r="P1307" s="726"/>
      <c r="Q1307" s="726"/>
      <c r="R1307" s="726"/>
      <c r="S1307" s="726"/>
      <c r="T1307" s="726"/>
      <c r="U1307" s="726"/>
      <c r="V1307" s="726"/>
      <c r="W1307" s="726"/>
      <c r="X1307" s="726"/>
      <c r="Y1307" s="726"/>
      <c r="Z1307" s="726"/>
      <c r="AA1307" s="732"/>
      <c r="AB1307" s="732"/>
      <c r="AC1307" s="732"/>
      <c r="AD1307" s="732"/>
      <c r="AE1307" s="733"/>
      <c r="AF1307" s="734" t="str">
        <f t="shared" si="62"/>
        <v/>
      </c>
      <c r="AG1307" s="773"/>
    </row>
    <row r="1308" spans="1:64" ht="18.75" x14ac:dyDescent="0.25">
      <c r="A1308" s="758"/>
      <c r="B1308" s="737"/>
      <c r="C1308" s="730"/>
      <c r="D1308" s="739"/>
      <c r="E1308" s="765"/>
      <c r="F1308" s="765"/>
      <c r="G1308" s="765"/>
      <c r="H1308" s="765"/>
      <c r="I1308" s="746" t="str">
        <f t="shared" si="61"/>
        <v/>
      </c>
      <c r="J1308" s="731"/>
      <c r="K1308" s="731" t="str">
        <f t="shared" si="60"/>
        <v/>
      </c>
      <c r="L1308" s="726"/>
      <c r="M1308" s="726"/>
      <c r="N1308" s="726"/>
      <c r="O1308" s="726"/>
      <c r="P1308" s="726"/>
      <c r="Q1308" s="726"/>
      <c r="R1308" s="726"/>
      <c r="S1308" s="726"/>
      <c r="T1308" s="726"/>
      <c r="U1308" s="726"/>
      <c r="V1308" s="726"/>
      <c r="W1308" s="726"/>
      <c r="X1308" s="726"/>
      <c r="Y1308" s="726"/>
      <c r="Z1308" s="726"/>
      <c r="AA1308" s="732"/>
      <c r="AB1308" s="732"/>
      <c r="AC1308" s="732"/>
      <c r="AD1308" s="732"/>
      <c r="AE1308" s="733"/>
      <c r="AF1308" s="734" t="str">
        <f t="shared" si="62"/>
        <v/>
      </c>
      <c r="AG1308" s="773"/>
    </row>
    <row r="1309" spans="1:64" ht="18.75" x14ac:dyDescent="0.25">
      <c r="A1309" s="758"/>
      <c r="B1309" s="737"/>
      <c r="C1309" s="730"/>
      <c r="D1309" s="739"/>
      <c r="E1309" s="765"/>
      <c r="F1309" s="765"/>
      <c r="G1309" s="765"/>
      <c r="H1309" s="765"/>
      <c r="I1309" s="746" t="str">
        <f t="shared" si="61"/>
        <v/>
      </c>
      <c r="J1309" s="731"/>
      <c r="K1309" s="731" t="str">
        <f t="shared" si="60"/>
        <v/>
      </c>
      <c r="L1309" s="726"/>
      <c r="M1309" s="726"/>
      <c r="N1309" s="726"/>
      <c r="O1309" s="726"/>
      <c r="P1309" s="726"/>
      <c r="Q1309" s="726"/>
      <c r="R1309" s="726"/>
      <c r="S1309" s="726"/>
      <c r="T1309" s="726"/>
      <c r="U1309" s="726"/>
      <c r="V1309" s="726"/>
      <c r="W1309" s="726"/>
      <c r="X1309" s="726"/>
      <c r="Y1309" s="726"/>
      <c r="Z1309" s="726"/>
      <c r="AA1309" s="732"/>
      <c r="AB1309" s="732"/>
      <c r="AC1309" s="732"/>
      <c r="AD1309" s="732"/>
      <c r="AE1309" s="733"/>
      <c r="AF1309" s="734" t="str">
        <f t="shared" si="62"/>
        <v/>
      </c>
      <c r="AG1309" s="773"/>
    </row>
    <row r="1310" spans="1:64" ht="18.75" x14ac:dyDescent="0.25">
      <c r="A1310" s="758"/>
      <c r="B1310" s="737"/>
      <c r="C1310" s="730"/>
      <c r="D1310" s="739"/>
      <c r="E1310" s="765"/>
      <c r="F1310" s="765"/>
      <c r="G1310" s="765"/>
      <c r="H1310" s="765"/>
      <c r="I1310" s="746" t="str">
        <f t="shared" si="61"/>
        <v/>
      </c>
      <c r="J1310" s="731"/>
      <c r="K1310" s="731" t="str">
        <f t="shared" si="60"/>
        <v/>
      </c>
      <c r="L1310" s="726"/>
      <c r="M1310" s="726"/>
      <c r="N1310" s="726"/>
      <c r="O1310" s="726"/>
      <c r="P1310" s="726"/>
      <c r="Q1310" s="726"/>
      <c r="R1310" s="726"/>
      <c r="S1310" s="726"/>
      <c r="T1310" s="726"/>
      <c r="U1310" s="726"/>
      <c r="V1310" s="726"/>
      <c r="W1310" s="726"/>
      <c r="X1310" s="726"/>
      <c r="Y1310" s="726"/>
      <c r="Z1310" s="726"/>
      <c r="AA1310" s="732"/>
      <c r="AB1310" s="732"/>
      <c r="AC1310" s="732"/>
      <c r="AD1310" s="732"/>
      <c r="AE1310" s="733"/>
      <c r="AF1310" s="734" t="str">
        <f t="shared" si="62"/>
        <v/>
      </c>
      <c r="AG1310" s="774"/>
      <c r="AH1310" s="778"/>
      <c r="AI1310" s="736"/>
      <c r="AJ1310" s="736"/>
      <c r="AK1310" s="736"/>
      <c r="AL1310" s="736"/>
      <c r="AM1310" s="736"/>
      <c r="AN1310" s="736"/>
      <c r="AO1310" s="736"/>
      <c r="AP1310" s="736"/>
      <c r="AQ1310" s="736"/>
      <c r="AR1310" s="736"/>
      <c r="AS1310" s="736"/>
      <c r="AT1310" s="736"/>
      <c r="AU1310" s="736"/>
      <c r="AV1310" s="736"/>
      <c r="AW1310" s="736"/>
      <c r="AX1310" s="736"/>
      <c r="AY1310" s="736"/>
      <c r="AZ1310" s="736"/>
      <c r="BA1310" s="736"/>
      <c r="BB1310" s="736"/>
      <c r="BC1310" s="736"/>
      <c r="BD1310" s="736"/>
      <c r="BE1310" s="736"/>
      <c r="BF1310" s="736"/>
      <c r="BG1310" s="736"/>
      <c r="BH1310" s="736"/>
      <c r="BI1310" s="736"/>
      <c r="BJ1310" s="736"/>
      <c r="BK1310" s="736"/>
      <c r="BL1310" s="736"/>
    </row>
    <row r="1311" spans="1:64" ht="18.75" x14ac:dyDescent="0.25">
      <c r="A1311" s="758"/>
      <c r="B1311" s="737"/>
      <c r="C1311" s="730"/>
      <c r="D1311" s="739"/>
      <c r="E1311" s="765"/>
      <c r="F1311" s="765"/>
      <c r="G1311" s="765"/>
      <c r="H1311" s="765"/>
      <c r="I1311" s="746" t="str">
        <f t="shared" si="61"/>
        <v/>
      </c>
      <c r="J1311" s="731"/>
      <c r="K1311" s="731" t="str">
        <f t="shared" si="60"/>
        <v/>
      </c>
      <c r="L1311" s="726"/>
      <c r="M1311" s="726"/>
      <c r="N1311" s="726"/>
      <c r="O1311" s="726"/>
      <c r="P1311" s="726"/>
      <c r="Q1311" s="726"/>
      <c r="R1311" s="726"/>
      <c r="S1311" s="726"/>
      <c r="T1311" s="726"/>
      <c r="U1311" s="726"/>
      <c r="V1311" s="726"/>
      <c r="W1311" s="726"/>
      <c r="X1311" s="726"/>
      <c r="Y1311" s="726"/>
      <c r="Z1311" s="726"/>
      <c r="AA1311" s="732"/>
      <c r="AB1311" s="732"/>
      <c r="AC1311" s="732"/>
      <c r="AD1311" s="732"/>
      <c r="AE1311" s="733"/>
      <c r="AF1311" s="734" t="str">
        <f t="shared" si="62"/>
        <v/>
      </c>
      <c r="AG1311" s="774"/>
      <c r="AH1311" s="778"/>
      <c r="AI1311" s="736"/>
      <c r="AJ1311" s="736"/>
      <c r="AK1311" s="736"/>
      <c r="AL1311" s="736"/>
      <c r="AM1311" s="736"/>
      <c r="AN1311" s="736"/>
      <c r="AO1311" s="736"/>
      <c r="AP1311" s="736"/>
      <c r="AQ1311" s="736"/>
      <c r="AR1311" s="736"/>
      <c r="AS1311" s="736"/>
      <c r="AT1311" s="736"/>
      <c r="AU1311" s="736"/>
      <c r="AV1311" s="736"/>
      <c r="AW1311" s="736"/>
      <c r="AX1311" s="736"/>
      <c r="AY1311" s="736"/>
      <c r="AZ1311" s="736"/>
      <c r="BA1311" s="736"/>
      <c r="BB1311" s="736"/>
      <c r="BC1311" s="736"/>
      <c r="BD1311" s="736"/>
      <c r="BE1311" s="736"/>
      <c r="BF1311" s="736"/>
      <c r="BG1311" s="736"/>
      <c r="BH1311" s="736"/>
      <c r="BI1311" s="736"/>
      <c r="BJ1311" s="736"/>
      <c r="BK1311" s="736"/>
      <c r="BL1311" s="736"/>
    </row>
    <row r="1312" spans="1:64" ht="18.75" x14ac:dyDescent="0.25">
      <c r="A1312" s="758"/>
      <c r="B1312" s="737"/>
      <c r="C1312" s="730"/>
      <c r="D1312" s="739"/>
      <c r="E1312" s="765"/>
      <c r="F1312" s="765"/>
      <c r="G1312" s="765"/>
      <c r="H1312" s="765"/>
      <c r="I1312" s="746" t="str">
        <f t="shared" si="61"/>
        <v/>
      </c>
      <c r="J1312" s="731"/>
      <c r="K1312" s="731" t="str">
        <f t="shared" si="60"/>
        <v/>
      </c>
      <c r="L1312" s="726"/>
      <c r="M1312" s="726"/>
      <c r="N1312" s="726"/>
      <c r="O1312" s="726"/>
      <c r="P1312" s="726"/>
      <c r="Q1312" s="726"/>
      <c r="R1312" s="726"/>
      <c r="S1312" s="726"/>
      <c r="T1312" s="726"/>
      <c r="U1312" s="726"/>
      <c r="V1312" s="726"/>
      <c r="W1312" s="726"/>
      <c r="X1312" s="726"/>
      <c r="Y1312" s="726"/>
      <c r="Z1312" s="726"/>
      <c r="AA1312" s="732"/>
      <c r="AB1312" s="732"/>
      <c r="AC1312" s="732"/>
      <c r="AD1312" s="732"/>
      <c r="AE1312" s="733"/>
      <c r="AF1312" s="734" t="str">
        <f t="shared" si="62"/>
        <v/>
      </c>
      <c r="AG1312" s="773"/>
    </row>
    <row r="1313" spans="1:64" ht="18.75" x14ac:dyDescent="0.25">
      <c r="A1313" s="758"/>
      <c r="B1313" s="737"/>
      <c r="C1313" s="730"/>
      <c r="D1313" s="739"/>
      <c r="E1313" s="765"/>
      <c r="F1313" s="765"/>
      <c r="G1313" s="765"/>
      <c r="H1313" s="765"/>
      <c r="I1313" s="746" t="str">
        <f t="shared" si="61"/>
        <v/>
      </c>
      <c r="J1313" s="731"/>
      <c r="K1313" s="731" t="str">
        <f t="shared" si="60"/>
        <v/>
      </c>
      <c r="L1313" s="726"/>
      <c r="M1313" s="726"/>
      <c r="N1313" s="726"/>
      <c r="O1313" s="726"/>
      <c r="P1313" s="726"/>
      <c r="Q1313" s="726"/>
      <c r="R1313" s="726"/>
      <c r="S1313" s="726"/>
      <c r="T1313" s="726"/>
      <c r="U1313" s="726"/>
      <c r="V1313" s="726"/>
      <c r="W1313" s="726"/>
      <c r="X1313" s="726"/>
      <c r="Y1313" s="726"/>
      <c r="Z1313" s="726"/>
      <c r="AA1313" s="732"/>
      <c r="AB1313" s="732"/>
      <c r="AC1313" s="732"/>
      <c r="AD1313" s="732"/>
      <c r="AE1313" s="733"/>
      <c r="AF1313" s="734" t="str">
        <f t="shared" si="62"/>
        <v/>
      </c>
      <c r="AG1313" s="773"/>
    </row>
    <row r="1314" spans="1:64" ht="18.75" x14ac:dyDescent="0.25">
      <c r="A1314" s="758"/>
      <c r="B1314" s="737"/>
      <c r="C1314" s="730"/>
      <c r="D1314" s="739"/>
      <c r="E1314" s="765"/>
      <c r="F1314" s="765"/>
      <c r="G1314" s="765"/>
      <c r="H1314" s="765"/>
      <c r="I1314" s="746" t="str">
        <f t="shared" si="61"/>
        <v/>
      </c>
      <c r="J1314" s="731"/>
      <c r="K1314" s="731" t="str">
        <f t="shared" si="60"/>
        <v/>
      </c>
      <c r="L1314" s="726"/>
      <c r="M1314" s="726"/>
      <c r="N1314" s="726"/>
      <c r="O1314" s="726"/>
      <c r="P1314" s="726"/>
      <c r="Q1314" s="726"/>
      <c r="R1314" s="726"/>
      <c r="S1314" s="726"/>
      <c r="T1314" s="726"/>
      <c r="U1314" s="726"/>
      <c r="V1314" s="726"/>
      <c r="W1314" s="726"/>
      <c r="X1314" s="726"/>
      <c r="Y1314" s="726"/>
      <c r="Z1314" s="726"/>
      <c r="AA1314" s="732"/>
      <c r="AB1314" s="732"/>
      <c r="AC1314" s="732"/>
      <c r="AD1314" s="732"/>
      <c r="AE1314" s="733"/>
      <c r="AF1314" s="734" t="str">
        <f t="shared" si="62"/>
        <v/>
      </c>
      <c r="AG1314" s="774"/>
      <c r="AH1314" s="778"/>
      <c r="AI1314" s="736"/>
      <c r="AJ1314" s="736"/>
      <c r="AK1314" s="736"/>
      <c r="AL1314" s="736"/>
      <c r="AM1314" s="736"/>
      <c r="AN1314" s="736"/>
      <c r="AO1314" s="736"/>
      <c r="AP1314" s="736"/>
      <c r="AQ1314" s="736"/>
      <c r="AR1314" s="736"/>
      <c r="AS1314" s="736"/>
      <c r="AT1314" s="736"/>
      <c r="AU1314" s="736"/>
      <c r="AV1314" s="736"/>
      <c r="AW1314" s="736"/>
      <c r="AX1314" s="736"/>
      <c r="AY1314" s="736"/>
      <c r="AZ1314" s="736"/>
      <c r="BA1314" s="736"/>
      <c r="BB1314" s="736"/>
      <c r="BC1314" s="736"/>
      <c r="BD1314" s="736"/>
      <c r="BE1314" s="736"/>
      <c r="BF1314" s="736"/>
      <c r="BG1314" s="736"/>
      <c r="BH1314" s="736"/>
      <c r="BI1314" s="736"/>
      <c r="BJ1314" s="736"/>
      <c r="BK1314" s="736"/>
      <c r="BL1314" s="736"/>
    </row>
    <row r="1315" spans="1:64" ht="18.75" x14ac:dyDescent="0.25">
      <c r="A1315" s="758"/>
      <c r="B1315" s="737"/>
      <c r="C1315" s="730"/>
      <c r="D1315" s="739"/>
      <c r="E1315" s="765"/>
      <c r="F1315" s="765"/>
      <c r="G1315" s="765"/>
      <c r="H1315" s="765"/>
      <c r="I1315" s="746" t="str">
        <f t="shared" si="61"/>
        <v/>
      </c>
      <c r="J1315" s="731"/>
      <c r="K1315" s="731" t="str">
        <f t="shared" si="60"/>
        <v/>
      </c>
      <c r="L1315" s="726"/>
      <c r="M1315" s="726"/>
      <c r="N1315" s="726"/>
      <c r="O1315" s="726"/>
      <c r="P1315" s="726"/>
      <c r="Q1315" s="726"/>
      <c r="R1315" s="726"/>
      <c r="S1315" s="726"/>
      <c r="T1315" s="726"/>
      <c r="U1315" s="726"/>
      <c r="V1315" s="726"/>
      <c r="W1315" s="726"/>
      <c r="X1315" s="726"/>
      <c r="Y1315" s="726"/>
      <c r="Z1315" s="726"/>
      <c r="AA1315" s="732"/>
      <c r="AB1315" s="732"/>
      <c r="AC1315" s="732"/>
      <c r="AD1315" s="732"/>
      <c r="AE1315" s="733"/>
      <c r="AF1315" s="734" t="str">
        <f t="shared" si="62"/>
        <v/>
      </c>
      <c r="AG1315" s="773"/>
    </row>
    <row r="1316" spans="1:64" ht="18.75" x14ac:dyDescent="0.25">
      <c r="A1316" s="758"/>
      <c r="B1316" s="737"/>
      <c r="C1316" s="730"/>
      <c r="D1316" s="739"/>
      <c r="E1316" s="765"/>
      <c r="F1316" s="765"/>
      <c r="G1316" s="765"/>
      <c r="H1316" s="765"/>
      <c r="I1316" s="746" t="str">
        <f t="shared" si="61"/>
        <v/>
      </c>
      <c r="J1316" s="731"/>
      <c r="K1316" s="731" t="str">
        <f t="shared" si="60"/>
        <v/>
      </c>
      <c r="L1316" s="726"/>
      <c r="M1316" s="726"/>
      <c r="N1316" s="726"/>
      <c r="O1316" s="726"/>
      <c r="P1316" s="726"/>
      <c r="Q1316" s="726"/>
      <c r="R1316" s="726"/>
      <c r="S1316" s="726"/>
      <c r="T1316" s="726"/>
      <c r="U1316" s="726"/>
      <c r="V1316" s="726"/>
      <c r="W1316" s="726"/>
      <c r="X1316" s="726"/>
      <c r="Y1316" s="726"/>
      <c r="Z1316" s="726"/>
      <c r="AA1316" s="732"/>
      <c r="AB1316" s="732"/>
      <c r="AC1316" s="732"/>
      <c r="AD1316" s="732"/>
      <c r="AE1316" s="733"/>
      <c r="AF1316" s="734" t="str">
        <f t="shared" si="62"/>
        <v/>
      </c>
      <c r="AG1316" s="773"/>
    </row>
    <row r="1317" spans="1:64" ht="18.75" x14ac:dyDescent="0.25">
      <c r="A1317" s="758"/>
      <c r="B1317" s="737"/>
      <c r="C1317" s="730"/>
      <c r="D1317" s="739"/>
      <c r="E1317" s="765"/>
      <c r="F1317" s="765"/>
      <c r="G1317" s="765"/>
      <c r="H1317" s="765"/>
      <c r="I1317" s="746" t="str">
        <f t="shared" si="61"/>
        <v/>
      </c>
      <c r="J1317" s="731"/>
      <c r="K1317" s="731" t="str">
        <f t="shared" si="60"/>
        <v/>
      </c>
      <c r="L1317" s="726"/>
      <c r="M1317" s="726"/>
      <c r="N1317" s="726"/>
      <c r="O1317" s="726"/>
      <c r="P1317" s="726"/>
      <c r="Q1317" s="726"/>
      <c r="R1317" s="726"/>
      <c r="S1317" s="726"/>
      <c r="T1317" s="726"/>
      <c r="U1317" s="726"/>
      <c r="V1317" s="726"/>
      <c r="W1317" s="726"/>
      <c r="X1317" s="726"/>
      <c r="Y1317" s="726"/>
      <c r="Z1317" s="726"/>
      <c r="AA1317" s="732"/>
      <c r="AB1317" s="732"/>
      <c r="AC1317" s="732"/>
      <c r="AD1317" s="732"/>
      <c r="AE1317" s="733"/>
      <c r="AF1317" s="734" t="str">
        <f t="shared" si="62"/>
        <v/>
      </c>
      <c r="AG1317" s="774"/>
      <c r="AH1317" s="778"/>
      <c r="AI1317" s="736"/>
      <c r="AJ1317" s="736"/>
      <c r="AK1317" s="736"/>
      <c r="AL1317" s="736"/>
      <c r="AM1317" s="736"/>
      <c r="AN1317" s="736"/>
      <c r="AO1317" s="736"/>
      <c r="AP1317" s="736"/>
      <c r="AQ1317" s="736"/>
      <c r="AR1317" s="736"/>
      <c r="AS1317" s="736"/>
      <c r="AT1317" s="736"/>
      <c r="AU1317" s="736"/>
      <c r="AV1317" s="736"/>
      <c r="AW1317" s="736"/>
      <c r="AX1317" s="736"/>
      <c r="AY1317" s="736"/>
      <c r="AZ1317" s="736"/>
      <c r="BA1317" s="736"/>
      <c r="BB1317" s="736"/>
      <c r="BC1317" s="736"/>
      <c r="BD1317" s="736"/>
      <c r="BE1317" s="736"/>
      <c r="BF1317" s="736"/>
      <c r="BG1317" s="736"/>
      <c r="BH1317" s="736"/>
      <c r="BI1317" s="736"/>
      <c r="BJ1317" s="736"/>
      <c r="BK1317" s="736"/>
      <c r="BL1317" s="736"/>
    </row>
    <row r="1318" spans="1:64" ht="18.75" x14ac:dyDescent="0.25">
      <c r="A1318" s="758"/>
      <c r="B1318" s="737"/>
      <c r="C1318" s="730"/>
      <c r="D1318" s="739"/>
      <c r="E1318" s="765"/>
      <c r="F1318" s="765"/>
      <c r="G1318" s="765"/>
      <c r="H1318" s="765"/>
      <c r="I1318" s="746" t="str">
        <f t="shared" si="61"/>
        <v/>
      </c>
      <c r="J1318" s="731"/>
      <c r="K1318" s="731" t="str">
        <f t="shared" si="60"/>
        <v/>
      </c>
      <c r="L1318" s="726"/>
      <c r="M1318" s="726"/>
      <c r="N1318" s="726"/>
      <c r="O1318" s="726"/>
      <c r="P1318" s="726"/>
      <c r="Q1318" s="726"/>
      <c r="R1318" s="726"/>
      <c r="S1318" s="726"/>
      <c r="T1318" s="726"/>
      <c r="U1318" s="726"/>
      <c r="V1318" s="726"/>
      <c r="W1318" s="726"/>
      <c r="X1318" s="726"/>
      <c r="Y1318" s="726"/>
      <c r="Z1318" s="726"/>
      <c r="AA1318" s="732"/>
      <c r="AB1318" s="732"/>
      <c r="AC1318" s="732"/>
      <c r="AD1318" s="732"/>
      <c r="AE1318" s="733"/>
      <c r="AF1318" s="734" t="str">
        <f t="shared" si="62"/>
        <v/>
      </c>
      <c r="AG1318" s="773"/>
    </row>
    <row r="1319" spans="1:64" ht="18.75" x14ac:dyDescent="0.25">
      <c r="A1319" s="758"/>
      <c r="B1319" s="737"/>
      <c r="C1319" s="730"/>
      <c r="D1319" s="739"/>
      <c r="E1319" s="765"/>
      <c r="F1319" s="765"/>
      <c r="G1319" s="765"/>
      <c r="H1319" s="765"/>
      <c r="I1319" s="746" t="str">
        <f t="shared" si="61"/>
        <v/>
      </c>
      <c r="J1319" s="731"/>
      <c r="K1319" s="731" t="str">
        <f t="shared" si="60"/>
        <v/>
      </c>
      <c r="L1319" s="726"/>
      <c r="M1319" s="726"/>
      <c r="N1319" s="726"/>
      <c r="O1319" s="726"/>
      <c r="P1319" s="726"/>
      <c r="Q1319" s="726"/>
      <c r="R1319" s="726"/>
      <c r="S1319" s="726"/>
      <c r="T1319" s="726"/>
      <c r="U1319" s="726"/>
      <c r="V1319" s="726"/>
      <c r="W1319" s="726"/>
      <c r="X1319" s="726"/>
      <c r="Y1319" s="726"/>
      <c r="Z1319" s="726"/>
      <c r="AA1319" s="732"/>
      <c r="AB1319" s="732"/>
      <c r="AC1319" s="732"/>
      <c r="AD1319" s="732"/>
      <c r="AE1319" s="733"/>
      <c r="AF1319" s="734" t="str">
        <f t="shared" si="62"/>
        <v/>
      </c>
      <c r="AG1319" s="774"/>
      <c r="AH1319" s="778"/>
      <c r="AI1319" s="736"/>
      <c r="AJ1319" s="736"/>
      <c r="AK1319" s="736"/>
      <c r="AL1319" s="736"/>
      <c r="AM1319" s="736"/>
      <c r="AN1319" s="736"/>
      <c r="AO1319" s="736"/>
      <c r="AP1319" s="736"/>
      <c r="AQ1319" s="736"/>
      <c r="AR1319" s="736"/>
      <c r="AS1319" s="736"/>
      <c r="AT1319" s="736"/>
      <c r="AU1319" s="736"/>
      <c r="AV1319" s="736"/>
      <c r="AW1319" s="736"/>
      <c r="AX1319" s="736"/>
      <c r="AY1319" s="736"/>
      <c r="AZ1319" s="736"/>
      <c r="BA1319" s="736"/>
      <c r="BB1319" s="736"/>
      <c r="BC1319" s="736"/>
      <c r="BD1319" s="736"/>
      <c r="BE1319" s="736"/>
      <c r="BF1319" s="736"/>
      <c r="BG1319" s="736"/>
      <c r="BH1319" s="736"/>
      <c r="BI1319" s="736"/>
      <c r="BJ1319" s="736"/>
      <c r="BK1319" s="736"/>
      <c r="BL1319" s="736"/>
    </row>
    <row r="1320" spans="1:64" ht="18.75" x14ac:dyDescent="0.25">
      <c r="A1320" s="758"/>
      <c r="B1320" s="737"/>
      <c r="C1320" s="730"/>
      <c r="D1320" s="739"/>
      <c r="E1320" s="765"/>
      <c r="F1320" s="765"/>
      <c r="G1320" s="765"/>
      <c r="H1320" s="765"/>
      <c r="I1320" s="746" t="str">
        <f t="shared" si="61"/>
        <v/>
      </c>
      <c r="J1320" s="731"/>
      <c r="K1320" s="731" t="str">
        <f t="shared" si="60"/>
        <v/>
      </c>
      <c r="L1320" s="726"/>
      <c r="M1320" s="726"/>
      <c r="N1320" s="726"/>
      <c r="O1320" s="726"/>
      <c r="P1320" s="726"/>
      <c r="Q1320" s="726"/>
      <c r="R1320" s="726"/>
      <c r="S1320" s="726"/>
      <c r="T1320" s="726"/>
      <c r="U1320" s="726"/>
      <c r="V1320" s="726"/>
      <c r="W1320" s="726"/>
      <c r="X1320" s="726"/>
      <c r="Y1320" s="726"/>
      <c r="Z1320" s="726"/>
      <c r="AA1320" s="732"/>
      <c r="AB1320" s="732"/>
      <c r="AC1320" s="732"/>
      <c r="AD1320" s="732"/>
      <c r="AE1320" s="733"/>
      <c r="AF1320" s="734" t="str">
        <f t="shared" si="62"/>
        <v/>
      </c>
      <c r="AG1320" s="774"/>
      <c r="AH1320" s="778"/>
      <c r="AI1320" s="736"/>
      <c r="AJ1320" s="736"/>
      <c r="AK1320" s="736"/>
      <c r="AL1320" s="736"/>
      <c r="AM1320" s="736"/>
      <c r="AN1320" s="736"/>
      <c r="AO1320" s="736"/>
      <c r="AP1320" s="736"/>
      <c r="AQ1320" s="736"/>
      <c r="AR1320" s="736"/>
      <c r="AS1320" s="736"/>
      <c r="AT1320" s="736"/>
      <c r="AU1320" s="736"/>
      <c r="AV1320" s="736"/>
      <c r="AW1320" s="736"/>
      <c r="AX1320" s="736"/>
      <c r="AY1320" s="736"/>
      <c r="AZ1320" s="736"/>
      <c r="BA1320" s="736"/>
      <c r="BB1320" s="736"/>
      <c r="BC1320" s="736"/>
      <c r="BD1320" s="736"/>
      <c r="BE1320" s="736"/>
      <c r="BF1320" s="736"/>
      <c r="BG1320" s="736"/>
      <c r="BH1320" s="736"/>
      <c r="BI1320" s="736"/>
      <c r="BJ1320" s="736"/>
      <c r="BK1320" s="736"/>
      <c r="BL1320" s="736"/>
    </row>
    <row r="1321" spans="1:64" ht="18.75" x14ac:dyDescent="0.25">
      <c r="A1321" s="758"/>
      <c r="B1321" s="737"/>
      <c r="C1321" s="730"/>
      <c r="D1321" s="739"/>
      <c r="E1321" s="765"/>
      <c r="F1321" s="765"/>
      <c r="G1321" s="765"/>
      <c r="H1321" s="765"/>
      <c r="I1321" s="746" t="str">
        <f t="shared" si="61"/>
        <v/>
      </c>
      <c r="J1321" s="731"/>
      <c r="K1321" s="731" t="str">
        <f t="shared" si="60"/>
        <v/>
      </c>
      <c r="L1321" s="726"/>
      <c r="M1321" s="726"/>
      <c r="N1321" s="726"/>
      <c r="O1321" s="726"/>
      <c r="P1321" s="726"/>
      <c r="Q1321" s="726"/>
      <c r="R1321" s="726"/>
      <c r="S1321" s="726"/>
      <c r="T1321" s="726"/>
      <c r="U1321" s="726"/>
      <c r="V1321" s="726"/>
      <c r="W1321" s="726"/>
      <c r="X1321" s="726"/>
      <c r="Y1321" s="726"/>
      <c r="Z1321" s="726"/>
      <c r="AA1321" s="732"/>
      <c r="AB1321" s="732"/>
      <c r="AC1321" s="732"/>
      <c r="AD1321" s="732"/>
      <c r="AE1321" s="733"/>
      <c r="AF1321" s="734" t="str">
        <f t="shared" si="62"/>
        <v/>
      </c>
      <c r="AG1321" s="773"/>
    </row>
    <row r="1322" spans="1:64" ht="18.75" x14ac:dyDescent="0.25">
      <c r="A1322" s="758"/>
      <c r="B1322" s="737"/>
      <c r="C1322" s="730"/>
      <c r="D1322" s="739"/>
      <c r="E1322" s="765"/>
      <c r="F1322" s="765"/>
      <c r="G1322" s="765"/>
      <c r="H1322" s="765"/>
      <c r="I1322" s="746" t="str">
        <f t="shared" si="61"/>
        <v/>
      </c>
      <c r="J1322" s="731"/>
      <c r="K1322" s="731" t="str">
        <f t="shared" si="60"/>
        <v/>
      </c>
      <c r="L1322" s="726"/>
      <c r="M1322" s="726"/>
      <c r="N1322" s="726"/>
      <c r="O1322" s="726"/>
      <c r="P1322" s="726"/>
      <c r="Q1322" s="726"/>
      <c r="R1322" s="726"/>
      <c r="S1322" s="726"/>
      <c r="T1322" s="726"/>
      <c r="U1322" s="726"/>
      <c r="V1322" s="726"/>
      <c r="W1322" s="726"/>
      <c r="X1322" s="726"/>
      <c r="Y1322" s="726"/>
      <c r="Z1322" s="726"/>
      <c r="AA1322" s="732"/>
      <c r="AB1322" s="732"/>
      <c r="AC1322" s="732"/>
      <c r="AD1322" s="732"/>
      <c r="AE1322" s="733"/>
      <c r="AF1322" s="734" t="str">
        <f t="shared" si="62"/>
        <v/>
      </c>
      <c r="AG1322" s="774"/>
      <c r="AH1322" s="778"/>
      <c r="AI1322" s="736"/>
      <c r="AJ1322" s="736"/>
      <c r="AK1322" s="736"/>
      <c r="AL1322" s="736"/>
      <c r="AM1322" s="736"/>
      <c r="AN1322" s="736"/>
      <c r="AO1322" s="736"/>
      <c r="AP1322" s="736"/>
      <c r="AQ1322" s="736"/>
      <c r="AR1322" s="736"/>
      <c r="AS1322" s="736"/>
      <c r="AT1322" s="736"/>
      <c r="AU1322" s="736"/>
      <c r="AV1322" s="736"/>
      <c r="AW1322" s="736"/>
      <c r="AX1322" s="736"/>
      <c r="AY1322" s="736"/>
      <c r="AZ1322" s="736"/>
      <c r="BA1322" s="736"/>
      <c r="BB1322" s="736"/>
      <c r="BC1322" s="736"/>
      <c r="BD1322" s="736"/>
      <c r="BE1322" s="736"/>
      <c r="BF1322" s="736"/>
      <c r="BG1322" s="736"/>
      <c r="BH1322" s="736"/>
      <c r="BI1322" s="736"/>
      <c r="BJ1322" s="736"/>
      <c r="BK1322" s="736"/>
      <c r="BL1322" s="736"/>
    </row>
    <row r="1323" spans="1:64" ht="18.75" x14ac:dyDescent="0.25">
      <c r="A1323" s="758"/>
      <c r="B1323" s="737"/>
      <c r="C1323" s="730"/>
      <c r="D1323" s="739"/>
      <c r="E1323" s="765"/>
      <c r="F1323" s="765"/>
      <c r="G1323" s="765"/>
      <c r="H1323" s="765"/>
      <c r="I1323" s="746" t="str">
        <f t="shared" si="61"/>
        <v/>
      </c>
      <c r="J1323" s="731"/>
      <c r="K1323" s="731" t="str">
        <f t="shared" si="60"/>
        <v/>
      </c>
      <c r="L1323" s="726"/>
      <c r="M1323" s="726"/>
      <c r="N1323" s="726"/>
      <c r="O1323" s="726"/>
      <c r="P1323" s="726"/>
      <c r="Q1323" s="726"/>
      <c r="R1323" s="726"/>
      <c r="S1323" s="726"/>
      <c r="T1323" s="726"/>
      <c r="U1323" s="726"/>
      <c r="V1323" s="726"/>
      <c r="W1323" s="726"/>
      <c r="X1323" s="726"/>
      <c r="Y1323" s="726"/>
      <c r="Z1323" s="726"/>
      <c r="AA1323" s="732"/>
      <c r="AB1323" s="732"/>
      <c r="AC1323" s="732"/>
      <c r="AD1323" s="732"/>
      <c r="AE1323" s="733"/>
      <c r="AF1323" s="734" t="str">
        <f t="shared" si="62"/>
        <v/>
      </c>
      <c r="AG1323" s="773"/>
    </row>
    <row r="1324" spans="1:64" ht="18.75" x14ac:dyDescent="0.25">
      <c r="A1324" s="758"/>
      <c r="B1324" s="737"/>
      <c r="C1324" s="730"/>
      <c r="D1324" s="739"/>
      <c r="E1324" s="765"/>
      <c r="F1324" s="765"/>
      <c r="G1324" s="765"/>
      <c r="H1324" s="765"/>
      <c r="I1324" s="746" t="str">
        <f t="shared" si="61"/>
        <v/>
      </c>
      <c r="J1324" s="731"/>
      <c r="K1324" s="731" t="str">
        <f t="shared" si="60"/>
        <v/>
      </c>
      <c r="L1324" s="726"/>
      <c r="M1324" s="726"/>
      <c r="N1324" s="726"/>
      <c r="O1324" s="726"/>
      <c r="P1324" s="726"/>
      <c r="Q1324" s="726"/>
      <c r="R1324" s="726"/>
      <c r="S1324" s="726"/>
      <c r="T1324" s="726"/>
      <c r="U1324" s="726"/>
      <c r="V1324" s="726"/>
      <c r="W1324" s="726"/>
      <c r="X1324" s="726"/>
      <c r="Y1324" s="726"/>
      <c r="Z1324" s="726"/>
      <c r="AA1324" s="732"/>
      <c r="AB1324" s="732"/>
      <c r="AC1324" s="732"/>
      <c r="AD1324" s="732"/>
      <c r="AE1324" s="733"/>
      <c r="AF1324" s="734" t="str">
        <f t="shared" si="62"/>
        <v/>
      </c>
      <c r="AG1324" s="774"/>
      <c r="AH1324" s="778"/>
      <c r="AI1324" s="736"/>
      <c r="AJ1324" s="736"/>
      <c r="AK1324" s="736"/>
      <c r="AL1324" s="736"/>
      <c r="AM1324" s="736"/>
      <c r="AN1324" s="736"/>
      <c r="AO1324" s="736"/>
      <c r="AP1324" s="736"/>
      <c r="AQ1324" s="736"/>
      <c r="AR1324" s="736"/>
      <c r="AS1324" s="736"/>
      <c r="AT1324" s="736"/>
      <c r="AU1324" s="736"/>
      <c r="AV1324" s="736"/>
      <c r="AW1324" s="736"/>
      <c r="AX1324" s="736"/>
      <c r="AY1324" s="736"/>
      <c r="AZ1324" s="736"/>
      <c r="BA1324" s="736"/>
      <c r="BB1324" s="736"/>
      <c r="BC1324" s="736"/>
      <c r="BD1324" s="736"/>
      <c r="BE1324" s="736"/>
      <c r="BF1324" s="736"/>
      <c r="BG1324" s="736"/>
      <c r="BH1324" s="736"/>
      <c r="BI1324" s="736"/>
      <c r="BJ1324" s="736"/>
      <c r="BK1324" s="736"/>
      <c r="BL1324" s="736"/>
    </row>
    <row r="1325" spans="1:64" ht="18.75" x14ac:dyDescent="0.25">
      <c r="A1325" s="758"/>
      <c r="B1325" s="737"/>
      <c r="C1325" s="730"/>
      <c r="D1325" s="739"/>
      <c r="E1325" s="765"/>
      <c r="F1325" s="765"/>
      <c r="G1325" s="765"/>
      <c r="H1325" s="765"/>
      <c r="I1325" s="746" t="str">
        <f t="shared" si="61"/>
        <v/>
      </c>
      <c r="J1325" s="731"/>
      <c r="K1325" s="731" t="str">
        <f t="shared" si="60"/>
        <v/>
      </c>
      <c r="L1325" s="726"/>
      <c r="M1325" s="726"/>
      <c r="N1325" s="726"/>
      <c r="O1325" s="726"/>
      <c r="P1325" s="726"/>
      <c r="Q1325" s="726"/>
      <c r="R1325" s="726"/>
      <c r="S1325" s="726"/>
      <c r="T1325" s="726"/>
      <c r="U1325" s="726"/>
      <c r="V1325" s="726"/>
      <c r="W1325" s="726"/>
      <c r="X1325" s="726"/>
      <c r="Y1325" s="726"/>
      <c r="Z1325" s="726"/>
      <c r="AA1325" s="732"/>
      <c r="AB1325" s="732"/>
      <c r="AC1325" s="732"/>
      <c r="AD1325" s="732"/>
      <c r="AE1325" s="733"/>
      <c r="AF1325" s="734" t="str">
        <f t="shared" si="62"/>
        <v/>
      </c>
      <c r="AG1325" s="774"/>
      <c r="AH1325" s="778"/>
      <c r="AI1325" s="736"/>
      <c r="AJ1325" s="736"/>
      <c r="AK1325" s="736"/>
      <c r="AL1325" s="736"/>
      <c r="AM1325" s="736"/>
      <c r="AN1325" s="736"/>
      <c r="AO1325" s="736"/>
      <c r="AP1325" s="736"/>
      <c r="AQ1325" s="736"/>
      <c r="AR1325" s="736"/>
      <c r="AS1325" s="736"/>
      <c r="AT1325" s="736"/>
      <c r="AU1325" s="736"/>
      <c r="AV1325" s="736"/>
      <c r="AW1325" s="736"/>
      <c r="AX1325" s="736"/>
      <c r="AY1325" s="736"/>
      <c r="AZ1325" s="736"/>
      <c r="BA1325" s="736"/>
      <c r="BB1325" s="736"/>
      <c r="BC1325" s="736"/>
      <c r="BD1325" s="736"/>
      <c r="BE1325" s="736"/>
      <c r="BF1325" s="736"/>
      <c r="BG1325" s="736"/>
      <c r="BH1325" s="736"/>
      <c r="BI1325" s="736"/>
      <c r="BJ1325" s="736"/>
      <c r="BK1325" s="736"/>
      <c r="BL1325" s="736"/>
    </row>
    <row r="1326" spans="1:64" ht="18.75" x14ac:dyDescent="0.25">
      <c r="A1326" s="758"/>
      <c r="B1326" s="737"/>
      <c r="C1326" s="730"/>
      <c r="D1326" s="739"/>
      <c r="E1326" s="765"/>
      <c r="F1326" s="765"/>
      <c r="G1326" s="765"/>
      <c r="H1326" s="765"/>
      <c r="I1326" s="746" t="str">
        <f t="shared" si="61"/>
        <v/>
      </c>
      <c r="J1326" s="731"/>
      <c r="K1326" s="731" t="str">
        <f t="shared" si="60"/>
        <v/>
      </c>
      <c r="L1326" s="726"/>
      <c r="M1326" s="726"/>
      <c r="N1326" s="726"/>
      <c r="O1326" s="726"/>
      <c r="P1326" s="726"/>
      <c r="Q1326" s="726"/>
      <c r="R1326" s="726"/>
      <c r="S1326" s="726"/>
      <c r="T1326" s="726"/>
      <c r="U1326" s="726"/>
      <c r="V1326" s="726"/>
      <c r="W1326" s="726"/>
      <c r="X1326" s="726"/>
      <c r="Y1326" s="726"/>
      <c r="Z1326" s="726"/>
      <c r="AA1326" s="732"/>
      <c r="AB1326" s="732"/>
      <c r="AC1326" s="732"/>
      <c r="AD1326" s="732"/>
      <c r="AE1326" s="733"/>
      <c r="AF1326" s="734" t="str">
        <f t="shared" si="62"/>
        <v/>
      </c>
      <c r="AG1326" s="774"/>
      <c r="AH1326" s="778"/>
      <c r="AI1326" s="736"/>
      <c r="AJ1326" s="736"/>
      <c r="AK1326" s="736"/>
      <c r="AL1326" s="736"/>
      <c r="AM1326" s="736"/>
      <c r="AN1326" s="736"/>
      <c r="AO1326" s="736"/>
      <c r="AP1326" s="736"/>
      <c r="AQ1326" s="736"/>
      <c r="AR1326" s="736"/>
      <c r="AS1326" s="736"/>
      <c r="AT1326" s="736"/>
      <c r="AU1326" s="736"/>
      <c r="AV1326" s="736"/>
      <c r="AW1326" s="736"/>
      <c r="AX1326" s="736"/>
      <c r="AY1326" s="736"/>
      <c r="AZ1326" s="736"/>
      <c r="BA1326" s="736"/>
      <c r="BB1326" s="736"/>
      <c r="BC1326" s="736"/>
      <c r="BD1326" s="736"/>
      <c r="BE1326" s="736"/>
      <c r="BF1326" s="736"/>
      <c r="BG1326" s="736"/>
      <c r="BH1326" s="736"/>
      <c r="BI1326" s="736"/>
      <c r="BJ1326" s="736"/>
      <c r="BK1326" s="736"/>
      <c r="BL1326" s="736"/>
    </row>
    <row r="1327" spans="1:64" ht="18.75" x14ac:dyDescent="0.25">
      <c r="A1327" s="758"/>
      <c r="B1327" s="737"/>
      <c r="C1327" s="730"/>
      <c r="D1327" s="739"/>
      <c r="E1327" s="765"/>
      <c r="F1327" s="765"/>
      <c r="G1327" s="765"/>
      <c r="H1327" s="765"/>
      <c r="I1327" s="746" t="str">
        <f t="shared" si="61"/>
        <v/>
      </c>
      <c r="J1327" s="731"/>
      <c r="K1327" s="731" t="str">
        <f t="shared" si="60"/>
        <v/>
      </c>
      <c r="L1327" s="726"/>
      <c r="M1327" s="726"/>
      <c r="N1327" s="726"/>
      <c r="O1327" s="726"/>
      <c r="P1327" s="726"/>
      <c r="Q1327" s="726"/>
      <c r="R1327" s="726"/>
      <c r="S1327" s="726"/>
      <c r="T1327" s="726"/>
      <c r="U1327" s="726"/>
      <c r="V1327" s="726"/>
      <c r="W1327" s="726"/>
      <c r="X1327" s="726"/>
      <c r="Y1327" s="726"/>
      <c r="Z1327" s="726"/>
      <c r="AA1327" s="732"/>
      <c r="AB1327" s="732"/>
      <c r="AC1327" s="732"/>
      <c r="AD1327" s="732"/>
      <c r="AE1327" s="733"/>
      <c r="AF1327" s="734" t="str">
        <f t="shared" si="62"/>
        <v/>
      </c>
      <c r="AG1327" s="774"/>
      <c r="AH1327" s="778"/>
      <c r="AI1327" s="736"/>
      <c r="AJ1327" s="736"/>
      <c r="AK1327" s="736"/>
      <c r="AL1327" s="736"/>
      <c r="AM1327" s="736"/>
      <c r="AN1327" s="736"/>
      <c r="AO1327" s="736"/>
      <c r="AP1327" s="736"/>
      <c r="AQ1327" s="736"/>
      <c r="AR1327" s="736"/>
      <c r="AS1327" s="736"/>
      <c r="AT1327" s="736"/>
      <c r="AU1327" s="736"/>
      <c r="AV1327" s="736"/>
      <c r="AW1327" s="736"/>
      <c r="AX1327" s="736"/>
      <c r="AY1327" s="736"/>
      <c r="AZ1327" s="736"/>
      <c r="BA1327" s="736"/>
      <c r="BB1327" s="736"/>
      <c r="BC1327" s="736"/>
      <c r="BD1327" s="736"/>
      <c r="BE1327" s="736"/>
      <c r="BF1327" s="736"/>
      <c r="BG1327" s="736"/>
      <c r="BH1327" s="736"/>
      <c r="BI1327" s="736"/>
      <c r="BJ1327" s="736"/>
      <c r="BK1327" s="736"/>
      <c r="BL1327" s="736"/>
    </row>
    <row r="1328" spans="1:64" ht="18.75" x14ac:dyDescent="0.25">
      <c r="A1328" s="758"/>
      <c r="B1328" s="737"/>
      <c r="C1328" s="730"/>
      <c r="D1328" s="739"/>
      <c r="E1328" s="765"/>
      <c r="F1328" s="765"/>
      <c r="G1328" s="765"/>
      <c r="H1328" s="765"/>
      <c r="I1328" s="746" t="str">
        <f t="shared" si="61"/>
        <v/>
      </c>
      <c r="J1328" s="731"/>
      <c r="K1328" s="731" t="str">
        <f t="shared" si="60"/>
        <v/>
      </c>
      <c r="L1328" s="726"/>
      <c r="M1328" s="726"/>
      <c r="N1328" s="726"/>
      <c r="O1328" s="726"/>
      <c r="P1328" s="726"/>
      <c r="Q1328" s="726"/>
      <c r="R1328" s="726"/>
      <c r="S1328" s="726"/>
      <c r="T1328" s="726"/>
      <c r="U1328" s="726"/>
      <c r="V1328" s="726"/>
      <c r="W1328" s="726"/>
      <c r="X1328" s="726"/>
      <c r="Y1328" s="726"/>
      <c r="Z1328" s="726"/>
      <c r="AA1328" s="732"/>
      <c r="AB1328" s="732"/>
      <c r="AC1328" s="732"/>
      <c r="AD1328" s="732"/>
      <c r="AE1328" s="733"/>
      <c r="AF1328" s="734" t="str">
        <f t="shared" si="62"/>
        <v/>
      </c>
      <c r="AG1328" s="774"/>
      <c r="AH1328" s="778"/>
      <c r="AI1328" s="736"/>
      <c r="AJ1328" s="736"/>
      <c r="AK1328" s="736"/>
      <c r="AL1328" s="736"/>
      <c r="AM1328" s="736"/>
      <c r="AN1328" s="736"/>
      <c r="AO1328" s="736"/>
      <c r="AP1328" s="736"/>
      <c r="AQ1328" s="736"/>
      <c r="AR1328" s="736"/>
      <c r="AS1328" s="736"/>
      <c r="AT1328" s="736"/>
      <c r="AU1328" s="736"/>
      <c r="AV1328" s="736"/>
      <c r="AW1328" s="736"/>
      <c r="AX1328" s="736"/>
      <c r="AY1328" s="736"/>
      <c r="AZ1328" s="736"/>
      <c r="BA1328" s="736"/>
      <c r="BB1328" s="736"/>
      <c r="BC1328" s="736"/>
      <c r="BD1328" s="736"/>
      <c r="BE1328" s="736"/>
      <c r="BF1328" s="736"/>
      <c r="BG1328" s="736"/>
      <c r="BH1328" s="736"/>
      <c r="BI1328" s="736"/>
      <c r="BJ1328" s="736"/>
      <c r="BK1328" s="736"/>
      <c r="BL1328" s="736"/>
    </row>
    <row r="1329" spans="1:64" ht="18.75" x14ac:dyDescent="0.25">
      <c r="A1329" s="758"/>
      <c r="B1329" s="737"/>
      <c r="C1329" s="730"/>
      <c r="D1329" s="739"/>
      <c r="E1329" s="765"/>
      <c r="F1329" s="765"/>
      <c r="G1329" s="765"/>
      <c r="H1329" s="765"/>
      <c r="I1329" s="746" t="str">
        <f t="shared" si="61"/>
        <v/>
      </c>
      <c r="J1329" s="731"/>
      <c r="K1329" s="731" t="str">
        <f t="shared" si="60"/>
        <v/>
      </c>
      <c r="L1329" s="726"/>
      <c r="M1329" s="726"/>
      <c r="N1329" s="726"/>
      <c r="O1329" s="726"/>
      <c r="P1329" s="726"/>
      <c r="Q1329" s="726"/>
      <c r="R1329" s="726"/>
      <c r="S1329" s="726"/>
      <c r="T1329" s="726"/>
      <c r="U1329" s="726"/>
      <c r="V1329" s="726"/>
      <c r="W1329" s="726"/>
      <c r="X1329" s="726"/>
      <c r="Y1329" s="726"/>
      <c r="Z1329" s="726"/>
      <c r="AA1329" s="732"/>
      <c r="AB1329" s="732"/>
      <c r="AC1329" s="732"/>
      <c r="AD1329" s="732"/>
      <c r="AE1329" s="733"/>
      <c r="AF1329" s="734" t="str">
        <f t="shared" si="62"/>
        <v/>
      </c>
      <c r="AG1329" s="774"/>
      <c r="AH1329" s="778"/>
      <c r="AI1329" s="736"/>
      <c r="AJ1329" s="736"/>
      <c r="AK1329" s="736"/>
      <c r="AL1329" s="736"/>
      <c r="AM1329" s="736"/>
      <c r="AN1329" s="736"/>
      <c r="AO1329" s="736"/>
      <c r="AP1329" s="736"/>
      <c r="AQ1329" s="736"/>
      <c r="AR1329" s="736"/>
      <c r="AS1329" s="736"/>
      <c r="AT1329" s="736"/>
      <c r="AU1329" s="736"/>
      <c r="AV1329" s="736"/>
      <c r="AW1329" s="736"/>
      <c r="AX1329" s="736"/>
      <c r="AY1329" s="736"/>
      <c r="AZ1329" s="736"/>
      <c r="BA1329" s="736"/>
      <c r="BB1329" s="736"/>
      <c r="BC1329" s="736"/>
      <c r="BD1329" s="736"/>
      <c r="BE1329" s="736"/>
      <c r="BF1329" s="736"/>
      <c r="BG1329" s="736"/>
      <c r="BH1329" s="736"/>
      <c r="BI1329" s="736"/>
      <c r="BJ1329" s="736"/>
      <c r="BK1329" s="736"/>
      <c r="BL1329" s="736"/>
    </row>
    <row r="1330" spans="1:64" ht="18.75" x14ac:dyDescent="0.25">
      <c r="A1330" s="758"/>
      <c r="B1330" s="737"/>
      <c r="C1330" s="730"/>
      <c r="D1330" s="739"/>
      <c r="E1330" s="765"/>
      <c r="F1330" s="765"/>
      <c r="G1330" s="765"/>
      <c r="H1330" s="765"/>
      <c r="I1330" s="746" t="str">
        <f t="shared" si="61"/>
        <v/>
      </c>
      <c r="J1330" s="731"/>
      <c r="K1330" s="731" t="str">
        <f t="shared" si="60"/>
        <v/>
      </c>
      <c r="L1330" s="726"/>
      <c r="M1330" s="726"/>
      <c r="N1330" s="726"/>
      <c r="O1330" s="726"/>
      <c r="P1330" s="726"/>
      <c r="Q1330" s="726"/>
      <c r="R1330" s="726"/>
      <c r="S1330" s="726"/>
      <c r="T1330" s="726"/>
      <c r="U1330" s="726"/>
      <c r="V1330" s="726"/>
      <c r="W1330" s="726"/>
      <c r="X1330" s="726"/>
      <c r="Y1330" s="726"/>
      <c r="Z1330" s="726"/>
      <c r="AA1330" s="732"/>
      <c r="AB1330" s="732"/>
      <c r="AC1330" s="732"/>
      <c r="AD1330" s="732"/>
      <c r="AE1330" s="733"/>
      <c r="AF1330" s="734" t="str">
        <f t="shared" si="62"/>
        <v/>
      </c>
      <c r="AG1330" s="774"/>
      <c r="AH1330" s="778"/>
      <c r="AI1330" s="736"/>
      <c r="AJ1330" s="736"/>
      <c r="AK1330" s="736"/>
      <c r="AL1330" s="736"/>
      <c r="AM1330" s="736"/>
      <c r="AN1330" s="736"/>
      <c r="AO1330" s="736"/>
      <c r="AP1330" s="736"/>
      <c r="AQ1330" s="736"/>
      <c r="AR1330" s="736"/>
      <c r="AS1330" s="736"/>
      <c r="AT1330" s="736"/>
      <c r="AU1330" s="736"/>
      <c r="AV1330" s="736"/>
      <c r="AW1330" s="736"/>
      <c r="AX1330" s="736"/>
      <c r="AY1330" s="736"/>
      <c r="AZ1330" s="736"/>
      <c r="BA1330" s="736"/>
      <c r="BB1330" s="736"/>
      <c r="BC1330" s="736"/>
      <c r="BD1330" s="736"/>
      <c r="BE1330" s="736"/>
      <c r="BF1330" s="736"/>
      <c r="BG1330" s="736"/>
      <c r="BH1330" s="736"/>
      <c r="BI1330" s="736"/>
      <c r="BJ1330" s="736"/>
      <c r="BK1330" s="736"/>
      <c r="BL1330" s="736"/>
    </row>
    <row r="1331" spans="1:64" ht="18.75" x14ac:dyDescent="0.25">
      <c r="A1331" s="758"/>
      <c r="B1331" s="737"/>
      <c r="C1331" s="730"/>
      <c r="D1331" s="739"/>
      <c r="E1331" s="765"/>
      <c r="F1331" s="765"/>
      <c r="G1331" s="765"/>
      <c r="H1331" s="765"/>
      <c r="I1331" s="746" t="str">
        <f t="shared" si="61"/>
        <v/>
      </c>
      <c r="J1331" s="731"/>
      <c r="K1331" s="731" t="str">
        <f t="shared" si="60"/>
        <v/>
      </c>
      <c r="L1331" s="726"/>
      <c r="M1331" s="726"/>
      <c r="N1331" s="726"/>
      <c r="O1331" s="726"/>
      <c r="P1331" s="726"/>
      <c r="Q1331" s="726"/>
      <c r="R1331" s="726"/>
      <c r="S1331" s="726"/>
      <c r="T1331" s="726"/>
      <c r="U1331" s="726"/>
      <c r="V1331" s="726"/>
      <c r="W1331" s="726"/>
      <c r="X1331" s="726"/>
      <c r="Y1331" s="726"/>
      <c r="Z1331" s="726"/>
      <c r="AA1331" s="732"/>
      <c r="AB1331" s="732"/>
      <c r="AC1331" s="732"/>
      <c r="AD1331" s="732"/>
      <c r="AE1331" s="733"/>
      <c r="AF1331" s="734" t="str">
        <f t="shared" si="62"/>
        <v/>
      </c>
      <c r="AG1331" s="773"/>
    </row>
    <row r="1332" spans="1:64" ht="18.75" x14ac:dyDescent="0.25">
      <c r="A1332" s="758"/>
      <c r="B1332" s="737"/>
      <c r="C1332" s="730"/>
      <c r="D1332" s="739"/>
      <c r="E1332" s="765"/>
      <c r="F1332" s="765"/>
      <c r="G1332" s="765"/>
      <c r="H1332" s="765"/>
      <c r="I1332" s="746" t="str">
        <f t="shared" si="61"/>
        <v/>
      </c>
      <c r="J1332" s="731"/>
      <c r="K1332" s="731" t="str">
        <f t="shared" si="60"/>
        <v/>
      </c>
      <c r="L1332" s="726"/>
      <c r="M1332" s="726"/>
      <c r="N1332" s="726"/>
      <c r="O1332" s="726"/>
      <c r="P1332" s="726"/>
      <c r="Q1332" s="726"/>
      <c r="R1332" s="726"/>
      <c r="S1332" s="726"/>
      <c r="T1332" s="726"/>
      <c r="U1332" s="726"/>
      <c r="V1332" s="726"/>
      <c r="W1332" s="726"/>
      <c r="X1332" s="726"/>
      <c r="Y1332" s="726"/>
      <c r="Z1332" s="726"/>
      <c r="AA1332" s="732"/>
      <c r="AB1332" s="732"/>
      <c r="AC1332" s="732"/>
      <c r="AD1332" s="732"/>
      <c r="AE1332" s="733"/>
      <c r="AF1332" s="734" t="str">
        <f t="shared" si="62"/>
        <v/>
      </c>
      <c r="AG1332" s="774"/>
      <c r="AH1332" s="778"/>
      <c r="AI1332" s="736"/>
      <c r="AJ1332" s="736"/>
      <c r="AK1332" s="736"/>
      <c r="AL1332" s="736"/>
      <c r="AM1332" s="736"/>
      <c r="AN1332" s="736"/>
      <c r="AO1332" s="736"/>
      <c r="AP1332" s="736"/>
      <c r="AQ1332" s="736"/>
      <c r="AR1332" s="736"/>
      <c r="AS1332" s="736"/>
      <c r="AT1332" s="736"/>
      <c r="AU1332" s="736"/>
      <c r="AV1332" s="736"/>
      <c r="AW1332" s="736"/>
      <c r="AX1332" s="736"/>
      <c r="AY1332" s="736"/>
      <c r="AZ1332" s="736"/>
      <c r="BA1332" s="736"/>
      <c r="BB1332" s="736"/>
      <c r="BC1332" s="736"/>
      <c r="BD1332" s="736"/>
      <c r="BE1332" s="736"/>
      <c r="BF1332" s="736"/>
      <c r="BG1332" s="736"/>
      <c r="BH1332" s="736"/>
      <c r="BI1332" s="736"/>
      <c r="BJ1332" s="736"/>
      <c r="BK1332" s="736"/>
      <c r="BL1332" s="736"/>
    </row>
    <row r="1333" spans="1:64" ht="18.75" x14ac:dyDescent="0.25">
      <c r="A1333" s="758"/>
      <c r="B1333" s="737"/>
      <c r="C1333" s="730"/>
      <c r="D1333" s="739"/>
      <c r="E1333" s="765"/>
      <c r="F1333" s="765"/>
      <c r="G1333" s="765"/>
      <c r="H1333" s="765"/>
      <c r="I1333" s="746" t="str">
        <f t="shared" si="61"/>
        <v/>
      </c>
      <c r="J1333" s="731"/>
      <c r="K1333" s="731" t="str">
        <f t="shared" si="60"/>
        <v/>
      </c>
      <c r="L1333" s="726"/>
      <c r="M1333" s="726"/>
      <c r="N1333" s="726"/>
      <c r="O1333" s="726"/>
      <c r="P1333" s="726"/>
      <c r="Q1333" s="726"/>
      <c r="R1333" s="726"/>
      <c r="S1333" s="726"/>
      <c r="T1333" s="726"/>
      <c r="U1333" s="726"/>
      <c r="V1333" s="726"/>
      <c r="W1333" s="726"/>
      <c r="X1333" s="726"/>
      <c r="Y1333" s="726"/>
      <c r="Z1333" s="726"/>
      <c r="AA1333" s="732"/>
      <c r="AB1333" s="732"/>
      <c r="AC1333" s="732"/>
      <c r="AD1333" s="732"/>
      <c r="AE1333" s="733"/>
      <c r="AF1333" s="734" t="str">
        <f t="shared" si="62"/>
        <v/>
      </c>
      <c r="AG1333" s="774"/>
      <c r="AH1333" s="778"/>
      <c r="AI1333" s="736"/>
      <c r="AJ1333" s="736"/>
      <c r="AK1333" s="736"/>
      <c r="AL1333" s="736"/>
      <c r="AM1333" s="736"/>
      <c r="AN1333" s="736"/>
      <c r="AO1333" s="736"/>
      <c r="AP1333" s="736"/>
      <c r="AQ1333" s="736"/>
      <c r="AR1333" s="736"/>
      <c r="AS1333" s="736"/>
      <c r="AT1333" s="736"/>
      <c r="AU1333" s="736"/>
      <c r="AV1333" s="736"/>
      <c r="AW1333" s="736"/>
      <c r="AX1333" s="736"/>
      <c r="AY1333" s="736"/>
      <c r="AZ1333" s="736"/>
      <c r="BA1333" s="736"/>
      <c r="BB1333" s="736"/>
      <c r="BC1333" s="736"/>
      <c r="BD1333" s="736"/>
      <c r="BE1333" s="736"/>
      <c r="BF1333" s="736"/>
      <c r="BG1333" s="736"/>
      <c r="BH1333" s="736"/>
      <c r="BI1333" s="736"/>
      <c r="BJ1333" s="736"/>
      <c r="BK1333" s="736"/>
      <c r="BL1333" s="736"/>
    </row>
    <row r="1334" spans="1:64" ht="18.75" x14ac:dyDescent="0.25">
      <c r="A1334" s="758"/>
      <c r="B1334" s="737"/>
      <c r="C1334" s="730"/>
      <c r="D1334" s="739"/>
      <c r="E1334" s="765"/>
      <c r="F1334" s="765"/>
      <c r="G1334" s="765"/>
      <c r="H1334" s="765"/>
      <c r="I1334" s="746" t="str">
        <f t="shared" si="61"/>
        <v/>
      </c>
      <c r="J1334" s="731"/>
      <c r="K1334" s="731" t="str">
        <f t="shared" si="60"/>
        <v/>
      </c>
      <c r="L1334" s="726"/>
      <c r="M1334" s="726"/>
      <c r="N1334" s="726"/>
      <c r="O1334" s="726"/>
      <c r="P1334" s="726"/>
      <c r="Q1334" s="726"/>
      <c r="R1334" s="726"/>
      <c r="S1334" s="726"/>
      <c r="T1334" s="726"/>
      <c r="U1334" s="726"/>
      <c r="V1334" s="726"/>
      <c r="W1334" s="726"/>
      <c r="X1334" s="726"/>
      <c r="Y1334" s="726"/>
      <c r="Z1334" s="726"/>
      <c r="AA1334" s="732"/>
      <c r="AB1334" s="732"/>
      <c r="AC1334" s="732"/>
      <c r="AD1334" s="732"/>
      <c r="AE1334" s="733"/>
      <c r="AF1334" s="734" t="str">
        <f t="shared" si="62"/>
        <v/>
      </c>
      <c r="AG1334" s="774"/>
      <c r="AH1334" s="778"/>
      <c r="AI1334" s="736"/>
      <c r="AJ1334" s="736"/>
      <c r="AK1334" s="736"/>
      <c r="AL1334" s="736"/>
      <c r="AM1334" s="736"/>
      <c r="AN1334" s="736"/>
      <c r="AO1334" s="736"/>
      <c r="AP1334" s="736"/>
      <c r="AQ1334" s="736"/>
      <c r="AR1334" s="736"/>
      <c r="AS1334" s="736"/>
      <c r="AT1334" s="736"/>
      <c r="AU1334" s="736"/>
      <c r="AV1334" s="736"/>
      <c r="AW1334" s="736"/>
      <c r="AX1334" s="736"/>
      <c r="AY1334" s="736"/>
      <c r="AZ1334" s="736"/>
      <c r="BA1334" s="736"/>
      <c r="BB1334" s="736"/>
      <c r="BC1334" s="736"/>
      <c r="BD1334" s="736"/>
      <c r="BE1334" s="736"/>
      <c r="BF1334" s="736"/>
      <c r="BG1334" s="736"/>
      <c r="BH1334" s="736"/>
      <c r="BI1334" s="736"/>
      <c r="BJ1334" s="736"/>
      <c r="BK1334" s="736"/>
      <c r="BL1334" s="736"/>
    </row>
    <row r="1335" spans="1:64" ht="18.75" x14ac:dyDescent="0.25">
      <c r="A1335" s="758"/>
      <c r="B1335" s="737"/>
      <c r="C1335" s="730"/>
      <c r="D1335" s="739"/>
      <c r="E1335" s="765"/>
      <c r="F1335" s="765"/>
      <c r="G1335" s="765"/>
      <c r="H1335" s="765"/>
      <c r="I1335" s="746" t="str">
        <f t="shared" si="61"/>
        <v/>
      </c>
      <c r="J1335" s="731"/>
      <c r="K1335" s="731" t="str">
        <f t="shared" si="60"/>
        <v/>
      </c>
      <c r="L1335" s="726"/>
      <c r="M1335" s="726"/>
      <c r="N1335" s="726"/>
      <c r="O1335" s="726"/>
      <c r="P1335" s="726"/>
      <c r="Q1335" s="726"/>
      <c r="R1335" s="726"/>
      <c r="S1335" s="726"/>
      <c r="T1335" s="726"/>
      <c r="U1335" s="726"/>
      <c r="V1335" s="726"/>
      <c r="W1335" s="726"/>
      <c r="X1335" s="726"/>
      <c r="Y1335" s="726"/>
      <c r="Z1335" s="726"/>
      <c r="AA1335" s="732"/>
      <c r="AB1335" s="732"/>
      <c r="AC1335" s="732"/>
      <c r="AD1335" s="732"/>
      <c r="AE1335" s="733"/>
      <c r="AF1335" s="734" t="str">
        <f t="shared" si="62"/>
        <v/>
      </c>
      <c r="AG1335" s="774"/>
      <c r="AH1335" s="778"/>
      <c r="AI1335" s="736"/>
      <c r="AJ1335" s="736"/>
      <c r="AK1335" s="736"/>
      <c r="AL1335" s="736"/>
      <c r="AM1335" s="736"/>
      <c r="AN1335" s="736"/>
      <c r="AO1335" s="736"/>
      <c r="AP1335" s="736"/>
      <c r="AQ1335" s="736"/>
      <c r="AR1335" s="736"/>
      <c r="AS1335" s="736"/>
      <c r="AT1335" s="736"/>
      <c r="AU1335" s="736"/>
      <c r="AV1335" s="736"/>
      <c r="AW1335" s="736"/>
      <c r="AX1335" s="736"/>
      <c r="AY1335" s="736"/>
      <c r="AZ1335" s="736"/>
      <c r="BA1335" s="736"/>
      <c r="BB1335" s="736"/>
      <c r="BC1335" s="736"/>
      <c r="BD1335" s="736"/>
      <c r="BE1335" s="736"/>
      <c r="BF1335" s="736"/>
      <c r="BG1335" s="736"/>
      <c r="BH1335" s="736"/>
      <c r="BI1335" s="736"/>
      <c r="BJ1335" s="736"/>
      <c r="BK1335" s="736"/>
      <c r="BL1335" s="736"/>
    </row>
    <row r="1336" spans="1:64" ht="18.75" x14ac:dyDescent="0.25">
      <c r="A1336" s="758"/>
      <c r="B1336" s="737"/>
      <c r="C1336" s="730"/>
      <c r="D1336" s="739"/>
      <c r="E1336" s="765"/>
      <c r="F1336" s="765"/>
      <c r="G1336" s="765"/>
      <c r="H1336" s="765"/>
      <c r="I1336" s="746" t="str">
        <f t="shared" si="61"/>
        <v/>
      </c>
      <c r="J1336" s="731"/>
      <c r="K1336" s="731" t="str">
        <f t="shared" si="60"/>
        <v/>
      </c>
      <c r="L1336" s="726"/>
      <c r="M1336" s="726"/>
      <c r="N1336" s="726"/>
      <c r="O1336" s="726"/>
      <c r="P1336" s="726"/>
      <c r="Q1336" s="726"/>
      <c r="R1336" s="726"/>
      <c r="S1336" s="726"/>
      <c r="T1336" s="726"/>
      <c r="U1336" s="726"/>
      <c r="V1336" s="726"/>
      <c r="W1336" s="726"/>
      <c r="X1336" s="726"/>
      <c r="Y1336" s="726"/>
      <c r="Z1336" s="726"/>
      <c r="AA1336" s="732"/>
      <c r="AB1336" s="732"/>
      <c r="AC1336" s="732"/>
      <c r="AD1336" s="732"/>
      <c r="AE1336" s="733"/>
      <c r="AF1336" s="734" t="str">
        <f t="shared" si="62"/>
        <v/>
      </c>
      <c r="AG1336" s="774"/>
      <c r="AH1336" s="778"/>
      <c r="AI1336" s="736"/>
      <c r="AJ1336" s="736"/>
      <c r="AK1336" s="736"/>
      <c r="AL1336" s="736"/>
      <c r="AM1336" s="736"/>
      <c r="AN1336" s="736"/>
      <c r="AO1336" s="736"/>
      <c r="AP1336" s="736"/>
      <c r="AQ1336" s="736"/>
      <c r="AR1336" s="736"/>
      <c r="AS1336" s="736"/>
      <c r="AT1336" s="736"/>
      <c r="AU1336" s="736"/>
      <c r="AV1336" s="736"/>
      <c r="AW1336" s="736"/>
      <c r="AX1336" s="736"/>
      <c r="AY1336" s="736"/>
      <c r="AZ1336" s="736"/>
      <c r="BA1336" s="736"/>
      <c r="BB1336" s="736"/>
      <c r="BC1336" s="736"/>
      <c r="BD1336" s="736"/>
      <c r="BE1336" s="736"/>
      <c r="BF1336" s="736"/>
      <c r="BG1336" s="736"/>
      <c r="BH1336" s="736"/>
      <c r="BI1336" s="736"/>
      <c r="BJ1336" s="736"/>
      <c r="BK1336" s="736"/>
      <c r="BL1336" s="736"/>
    </row>
    <row r="1337" spans="1:64" ht="18.75" x14ac:dyDescent="0.25">
      <c r="A1337" s="758"/>
      <c r="B1337" s="737"/>
      <c r="C1337" s="730"/>
      <c r="D1337" s="739"/>
      <c r="E1337" s="765"/>
      <c r="F1337" s="765"/>
      <c r="G1337" s="765"/>
      <c r="H1337" s="765"/>
      <c r="I1337" s="746" t="str">
        <f t="shared" si="61"/>
        <v/>
      </c>
      <c r="J1337" s="731"/>
      <c r="K1337" s="731" t="str">
        <f t="shared" si="60"/>
        <v/>
      </c>
      <c r="L1337" s="726"/>
      <c r="M1337" s="726"/>
      <c r="N1337" s="726"/>
      <c r="O1337" s="726"/>
      <c r="P1337" s="726"/>
      <c r="Q1337" s="726"/>
      <c r="R1337" s="726"/>
      <c r="S1337" s="726"/>
      <c r="T1337" s="726"/>
      <c r="U1337" s="726"/>
      <c r="V1337" s="726"/>
      <c r="W1337" s="726"/>
      <c r="X1337" s="726"/>
      <c r="Y1337" s="726"/>
      <c r="Z1337" s="726"/>
      <c r="AA1337" s="732"/>
      <c r="AB1337" s="732"/>
      <c r="AC1337" s="732"/>
      <c r="AD1337" s="732"/>
      <c r="AE1337" s="733"/>
      <c r="AF1337" s="734" t="str">
        <f t="shared" si="62"/>
        <v/>
      </c>
      <c r="AG1337" s="774"/>
      <c r="AH1337" s="778"/>
      <c r="AI1337" s="736"/>
      <c r="AJ1337" s="736"/>
      <c r="AK1337" s="736"/>
      <c r="AL1337" s="736"/>
      <c r="AM1337" s="736"/>
      <c r="AN1337" s="736"/>
      <c r="AO1337" s="736"/>
      <c r="AP1337" s="736"/>
      <c r="AQ1337" s="736"/>
      <c r="AR1337" s="736"/>
      <c r="AS1337" s="736"/>
      <c r="AT1337" s="736"/>
      <c r="AU1337" s="736"/>
      <c r="AV1337" s="736"/>
      <c r="AW1337" s="736"/>
      <c r="AX1337" s="736"/>
      <c r="AY1337" s="736"/>
      <c r="AZ1337" s="736"/>
      <c r="BA1337" s="736"/>
      <c r="BB1337" s="736"/>
      <c r="BC1337" s="736"/>
      <c r="BD1337" s="736"/>
      <c r="BE1337" s="736"/>
      <c r="BF1337" s="736"/>
      <c r="BG1337" s="736"/>
      <c r="BH1337" s="736"/>
      <c r="BI1337" s="736"/>
      <c r="BJ1337" s="736"/>
      <c r="BK1337" s="736"/>
      <c r="BL1337" s="736"/>
    </row>
    <row r="1338" spans="1:64" ht="18.75" x14ac:dyDescent="0.25">
      <c r="A1338" s="758"/>
      <c r="B1338" s="737"/>
      <c r="C1338" s="730"/>
      <c r="D1338" s="739"/>
      <c r="E1338" s="765"/>
      <c r="F1338" s="765"/>
      <c r="G1338" s="765"/>
      <c r="H1338" s="765"/>
      <c r="I1338" s="746" t="str">
        <f t="shared" si="61"/>
        <v/>
      </c>
      <c r="J1338" s="731"/>
      <c r="K1338" s="731" t="str">
        <f t="shared" si="60"/>
        <v/>
      </c>
      <c r="L1338" s="726"/>
      <c r="M1338" s="726"/>
      <c r="N1338" s="726"/>
      <c r="O1338" s="726"/>
      <c r="P1338" s="726"/>
      <c r="Q1338" s="726"/>
      <c r="R1338" s="726"/>
      <c r="S1338" s="726"/>
      <c r="T1338" s="726"/>
      <c r="U1338" s="726"/>
      <c r="V1338" s="726"/>
      <c r="W1338" s="726"/>
      <c r="X1338" s="726"/>
      <c r="Y1338" s="726"/>
      <c r="Z1338" s="726"/>
      <c r="AA1338" s="732"/>
      <c r="AB1338" s="732"/>
      <c r="AC1338" s="732"/>
      <c r="AD1338" s="732"/>
      <c r="AE1338" s="733"/>
      <c r="AF1338" s="734" t="str">
        <f t="shared" si="62"/>
        <v/>
      </c>
      <c r="AG1338" s="773"/>
    </row>
    <row r="1339" spans="1:64" ht="18.75" x14ac:dyDescent="0.25">
      <c r="A1339" s="758"/>
      <c r="B1339" s="737"/>
      <c r="C1339" s="730"/>
      <c r="D1339" s="739"/>
      <c r="E1339" s="765"/>
      <c r="F1339" s="765"/>
      <c r="G1339" s="765"/>
      <c r="H1339" s="765"/>
      <c r="I1339" s="746" t="str">
        <f t="shared" si="61"/>
        <v/>
      </c>
      <c r="J1339" s="731"/>
      <c r="K1339" s="731" t="str">
        <f t="shared" si="60"/>
        <v/>
      </c>
      <c r="L1339" s="726"/>
      <c r="M1339" s="726"/>
      <c r="N1339" s="726"/>
      <c r="O1339" s="726"/>
      <c r="P1339" s="726"/>
      <c r="Q1339" s="726"/>
      <c r="R1339" s="726"/>
      <c r="S1339" s="726"/>
      <c r="T1339" s="726"/>
      <c r="U1339" s="726"/>
      <c r="V1339" s="726"/>
      <c r="W1339" s="726"/>
      <c r="X1339" s="726"/>
      <c r="Y1339" s="726"/>
      <c r="Z1339" s="726"/>
      <c r="AA1339" s="732"/>
      <c r="AB1339" s="732"/>
      <c r="AC1339" s="732"/>
      <c r="AD1339" s="732"/>
      <c r="AE1339" s="733"/>
      <c r="AF1339" s="734" t="str">
        <f t="shared" si="62"/>
        <v/>
      </c>
      <c r="AG1339" s="774"/>
      <c r="AH1339" s="778"/>
      <c r="AI1339" s="736"/>
      <c r="AJ1339" s="736"/>
      <c r="AK1339" s="736"/>
      <c r="AL1339" s="736"/>
      <c r="AM1339" s="736"/>
      <c r="AN1339" s="736"/>
      <c r="AO1339" s="736"/>
      <c r="AP1339" s="736"/>
      <c r="AQ1339" s="736"/>
      <c r="AR1339" s="736"/>
      <c r="AS1339" s="736"/>
      <c r="AT1339" s="736"/>
      <c r="AU1339" s="736"/>
      <c r="AV1339" s="736"/>
      <c r="AW1339" s="736"/>
      <c r="AX1339" s="736"/>
      <c r="AY1339" s="736"/>
      <c r="AZ1339" s="736"/>
      <c r="BA1339" s="736"/>
      <c r="BB1339" s="736"/>
      <c r="BC1339" s="736"/>
      <c r="BD1339" s="736"/>
      <c r="BE1339" s="736"/>
      <c r="BF1339" s="736"/>
      <c r="BG1339" s="736"/>
      <c r="BH1339" s="736"/>
      <c r="BI1339" s="736"/>
      <c r="BJ1339" s="736"/>
      <c r="BK1339" s="736"/>
      <c r="BL1339" s="736"/>
    </row>
    <row r="1340" spans="1:64" ht="18.75" x14ac:dyDescent="0.25">
      <c r="A1340" s="758"/>
      <c r="B1340" s="737"/>
      <c r="C1340" s="730"/>
      <c r="D1340" s="739"/>
      <c r="E1340" s="765"/>
      <c r="F1340" s="765"/>
      <c r="G1340" s="765"/>
      <c r="H1340" s="765"/>
      <c r="I1340" s="746" t="str">
        <f t="shared" si="61"/>
        <v/>
      </c>
      <c r="J1340" s="731"/>
      <c r="K1340" s="731" t="str">
        <f t="shared" si="60"/>
        <v/>
      </c>
      <c r="L1340" s="726"/>
      <c r="M1340" s="726"/>
      <c r="N1340" s="726"/>
      <c r="O1340" s="726"/>
      <c r="P1340" s="726"/>
      <c r="Q1340" s="726"/>
      <c r="R1340" s="726"/>
      <c r="S1340" s="726"/>
      <c r="T1340" s="726"/>
      <c r="U1340" s="726"/>
      <c r="V1340" s="726"/>
      <c r="W1340" s="726"/>
      <c r="X1340" s="726"/>
      <c r="Y1340" s="726"/>
      <c r="Z1340" s="726"/>
      <c r="AA1340" s="732"/>
      <c r="AB1340" s="732"/>
      <c r="AC1340" s="732"/>
      <c r="AD1340" s="732"/>
      <c r="AE1340" s="733"/>
      <c r="AF1340" s="734" t="str">
        <f t="shared" si="62"/>
        <v/>
      </c>
      <c r="AG1340" s="773"/>
    </row>
    <row r="1341" spans="1:64" ht="18.75" x14ac:dyDescent="0.25">
      <c r="A1341" s="758"/>
      <c r="B1341" s="737"/>
      <c r="C1341" s="730"/>
      <c r="D1341" s="739"/>
      <c r="E1341" s="765"/>
      <c r="F1341" s="765"/>
      <c r="G1341" s="765"/>
      <c r="H1341" s="765"/>
      <c r="I1341" s="746" t="str">
        <f t="shared" si="61"/>
        <v/>
      </c>
      <c r="J1341" s="731"/>
      <c r="K1341" s="731" t="str">
        <f t="shared" si="60"/>
        <v/>
      </c>
      <c r="L1341" s="726"/>
      <c r="M1341" s="726"/>
      <c r="N1341" s="726"/>
      <c r="O1341" s="726"/>
      <c r="P1341" s="726"/>
      <c r="Q1341" s="726"/>
      <c r="R1341" s="726"/>
      <c r="S1341" s="726"/>
      <c r="T1341" s="726"/>
      <c r="U1341" s="726"/>
      <c r="V1341" s="726"/>
      <c r="W1341" s="726"/>
      <c r="X1341" s="726"/>
      <c r="Y1341" s="726"/>
      <c r="Z1341" s="726"/>
      <c r="AA1341" s="732"/>
      <c r="AB1341" s="732"/>
      <c r="AC1341" s="732"/>
      <c r="AD1341" s="732"/>
      <c r="AE1341" s="733"/>
      <c r="AF1341" s="734" t="str">
        <f t="shared" si="62"/>
        <v/>
      </c>
      <c r="AG1341" s="773"/>
    </row>
    <row r="1342" spans="1:64" ht="18.75" x14ac:dyDescent="0.25">
      <c r="A1342" s="758"/>
      <c r="B1342" s="737"/>
      <c r="C1342" s="730"/>
      <c r="D1342" s="739"/>
      <c r="E1342" s="765"/>
      <c r="F1342" s="765"/>
      <c r="G1342" s="765"/>
      <c r="H1342" s="765"/>
      <c r="I1342" s="746" t="str">
        <f t="shared" si="61"/>
        <v/>
      </c>
      <c r="J1342" s="731"/>
      <c r="K1342" s="731" t="str">
        <f t="shared" si="60"/>
        <v/>
      </c>
      <c r="L1342" s="726"/>
      <c r="M1342" s="726"/>
      <c r="N1342" s="726"/>
      <c r="O1342" s="726"/>
      <c r="P1342" s="726"/>
      <c r="Q1342" s="726"/>
      <c r="R1342" s="726"/>
      <c r="S1342" s="726"/>
      <c r="T1342" s="726"/>
      <c r="U1342" s="726"/>
      <c r="V1342" s="726"/>
      <c r="W1342" s="726"/>
      <c r="X1342" s="726"/>
      <c r="Y1342" s="726"/>
      <c r="Z1342" s="726"/>
      <c r="AA1342" s="732"/>
      <c r="AB1342" s="732"/>
      <c r="AC1342" s="732"/>
      <c r="AD1342" s="732"/>
      <c r="AE1342" s="733"/>
      <c r="AF1342" s="734" t="str">
        <f t="shared" si="62"/>
        <v/>
      </c>
      <c r="AG1342" s="774"/>
      <c r="AH1342" s="778"/>
      <c r="AI1342" s="736"/>
      <c r="AJ1342" s="736"/>
      <c r="AK1342" s="736"/>
      <c r="AL1342" s="736"/>
      <c r="AM1342" s="736"/>
      <c r="AN1342" s="736"/>
      <c r="AO1342" s="736"/>
      <c r="AP1342" s="736"/>
      <c r="AQ1342" s="736"/>
      <c r="AR1342" s="736"/>
      <c r="AS1342" s="736"/>
      <c r="AT1342" s="736"/>
      <c r="AU1342" s="736"/>
      <c r="AV1342" s="736"/>
      <c r="AW1342" s="736"/>
      <c r="AX1342" s="736"/>
      <c r="AY1342" s="736"/>
      <c r="AZ1342" s="736"/>
      <c r="BA1342" s="736"/>
      <c r="BB1342" s="736"/>
      <c r="BC1342" s="736"/>
      <c r="BD1342" s="736"/>
      <c r="BE1342" s="736"/>
      <c r="BF1342" s="736"/>
      <c r="BG1342" s="736"/>
      <c r="BH1342" s="736"/>
      <c r="BI1342" s="736"/>
      <c r="BJ1342" s="736"/>
      <c r="BK1342" s="736"/>
      <c r="BL1342" s="736"/>
    </row>
    <row r="1343" spans="1:64" ht="18.75" x14ac:dyDescent="0.25">
      <c r="A1343" s="758"/>
      <c r="B1343" s="737"/>
      <c r="C1343" s="730"/>
      <c r="D1343" s="739"/>
      <c r="E1343" s="765"/>
      <c r="F1343" s="765"/>
      <c r="G1343" s="765"/>
      <c r="H1343" s="765"/>
      <c r="I1343" s="746" t="str">
        <f t="shared" si="61"/>
        <v/>
      </c>
      <c r="J1343" s="731"/>
      <c r="K1343" s="731" t="str">
        <f t="shared" si="60"/>
        <v/>
      </c>
      <c r="L1343" s="726"/>
      <c r="M1343" s="726"/>
      <c r="N1343" s="726"/>
      <c r="O1343" s="726"/>
      <c r="P1343" s="726"/>
      <c r="Q1343" s="726"/>
      <c r="R1343" s="726"/>
      <c r="S1343" s="726"/>
      <c r="T1343" s="726"/>
      <c r="U1343" s="726"/>
      <c r="V1343" s="726"/>
      <c r="W1343" s="726"/>
      <c r="X1343" s="726"/>
      <c r="Y1343" s="726"/>
      <c r="Z1343" s="726"/>
      <c r="AA1343" s="732"/>
      <c r="AB1343" s="732"/>
      <c r="AC1343" s="732"/>
      <c r="AD1343" s="732"/>
      <c r="AE1343" s="733"/>
      <c r="AF1343" s="734" t="str">
        <f t="shared" si="62"/>
        <v/>
      </c>
      <c r="AG1343" s="774"/>
      <c r="AH1343" s="778"/>
      <c r="AI1343" s="736"/>
      <c r="AJ1343" s="736"/>
      <c r="AK1343" s="736"/>
      <c r="AL1343" s="736"/>
      <c r="AM1343" s="736"/>
      <c r="AN1343" s="736"/>
      <c r="AO1343" s="736"/>
      <c r="AP1343" s="736"/>
      <c r="AQ1343" s="736"/>
      <c r="AR1343" s="736"/>
      <c r="AS1343" s="736"/>
      <c r="AT1343" s="736"/>
      <c r="AU1343" s="736"/>
      <c r="AV1343" s="736"/>
      <c r="AW1343" s="736"/>
      <c r="AX1343" s="736"/>
      <c r="AY1343" s="736"/>
      <c r="AZ1343" s="736"/>
      <c r="BA1343" s="736"/>
      <c r="BB1343" s="736"/>
      <c r="BC1343" s="736"/>
      <c r="BD1343" s="736"/>
      <c r="BE1343" s="736"/>
      <c r="BF1343" s="736"/>
      <c r="BG1343" s="736"/>
      <c r="BH1343" s="736"/>
      <c r="BI1343" s="736"/>
      <c r="BJ1343" s="736"/>
      <c r="BK1343" s="736"/>
      <c r="BL1343" s="736"/>
    </row>
    <row r="1344" spans="1:64" ht="18.75" x14ac:dyDescent="0.25">
      <c r="A1344" s="758"/>
      <c r="B1344" s="737"/>
      <c r="C1344" s="730"/>
      <c r="D1344" s="739"/>
      <c r="E1344" s="765"/>
      <c r="F1344" s="765"/>
      <c r="G1344" s="765"/>
      <c r="H1344" s="765"/>
      <c r="I1344" s="746" t="str">
        <f t="shared" si="61"/>
        <v/>
      </c>
      <c r="J1344" s="731"/>
      <c r="K1344" s="731" t="str">
        <f t="shared" si="60"/>
        <v/>
      </c>
      <c r="L1344" s="726"/>
      <c r="M1344" s="726"/>
      <c r="N1344" s="726"/>
      <c r="O1344" s="726"/>
      <c r="P1344" s="726"/>
      <c r="Q1344" s="726"/>
      <c r="R1344" s="726"/>
      <c r="S1344" s="726"/>
      <c r="T1344" s="726"/>
      <c r="U1344" s="726"/>
      <c r="V1344" s="726"/>
      <c r="W1344" s="726"/>
      <c r="X1344" s="726"/>
      <c r="Y1344" s="726"/>
      <c r="Z1344" s="726"/>
      <c r="AA1344" s="732"/>
      <c r="AB1344" s="732"/>
      <c r="AC1344" s="732"/>
      <c r="AD1344" s="732"/>
      <c r="AE1344" s="733"/>
      <c r="AF1344" s="734" t="str">
        <f t="shared" si="62"/>
        <v/>
      </c>
      <c r="AG1344" s="774"/>
      <c r="AH1344" s="778"/>
      <c r="AI1344" s="736"/>
      <c r="AJ1344" s="736"/>
      <c r="AK1344" s="736"/>
      <c r="AL1344" s="736"/>
      <c r="AM1344" s="736"/>
      <c r="AN1344" s="736"/>
      <c r="AO1344" s="736"/>
      <c r="AP1344" s="736"/>
      <c r="AQ1344" s="736"/>
      <c r="AR1344" s="736"/>
      <c r="AS1344" s="736"/>
      <c r="AT1344" s="736"/>
      <c r="AU1344" s="736"/>
      <c r="AV1344" s="736"/>
      <c r="AW1344" s="736"/>
      <c r="AX1344" s="736"/>
      <c r="AY1344" s="736"/>
      <c r="AZ1344" s="736"/>
      <c r="BA1344" s="736"/>
      <c r="BB1344" s="736"/>
      <c r="BC1344" s="736"/>
      <c r="BD1344" s="736"/>
      <c r="BE1344" s="736"/>
      <c r="BF1344" s="736"/>
      <c r="BG1344" s="736"/>
      <c r="BH1344" s="736"/>
      <c r="BI1344" s="736"/>
      <c r="BJ1344" s="736"/>
      <c r="BK1344" s="736"/>
      <c r="BL1344" s="736"/>
    </row>
    <row r="1345" spans="1:64" ht="18.75" x14ac:dyDescent="0.25">
      <c r="A1345" s="758"/>
      <c r="B1345" s="737"/>
      <c r="C1345" s="730"/>
      <c r="D1345" s="739"/>
      <c r="E1345" s="765"/>
      <c r="F1345" s="765"/>
      <c r="G1345" s="765"/>
      <c r="H1345" s="765"/>
      <c r="I1345" s="746" t="str">
        <f t="shared" si="61"/>
        <v/>
      </c>
      <c r="J1345" s="731"/>
      <c r="K1345" s="731" t="str">
        <f t="shared" si="60"/>
        <v/>
      </c>
      <c r="L1345" s="726"/>
      <c r="M1345" s="726"/>
      <c r="N1345" s="726"/>
      <c r="O1345" s="726"/>
      <c r="P1345" s="726"/>
      <c r="Q1345" s="726"/>
      <c r="R1345" s="726"/>
      <c r="S1345" s="726"/>
      <c r="T1345" s="726"/>
      <c r="U1345" s="726"/>
      <c r="V1345" s="726"/>
      <c r="W1345" s="726"/>
      <c r="X1345" s="726"/>
      <c r="Y1345" s="726"/>
      <c r="Z1345" s="726"/>
      <c r="AA1345" s="732"/>
      <c r="AB1345" s="732"/>
      <c r="AC1345" s="732"/>
      <c r="AD1345" s="732"/>
      <c r="AE1345" s="733"/>
      <c r="AF1345" s="734" t="str">
        <f t="shared" si="62"/>
        <v/>
      </c>
      <c r="AG1345" s="773"/>
    </row>
    <row r="1346" spans="1:64" ht="18.75" x14ac:dyDescent="0.25">
      <c r="A1346" s="758"/>
      <c r="B1346" s="737"/>
      <c r="C1346" s="730"/>
      <c r="D1346" s="739"/>
      <c r="E1346" s="765"/>
      <c r="F1346" s="765"/>
      <c r="G1346" s="765"/>
      <c r="H1346" s="765"/>
      <c r="I1346" s="746" t="str">
        <f t="shared" si="61"/>
        <v/>
      </c>
      <c r="J1346" s="731"/>
      <c r="K1346" s="731" t="str">
        <f t="shared" si="60"/>
        <v/>
      </c>
      <c r="L1346" s="726"/>
      <c r="M1346" s="726"/>
      <c r="N1346" s="726"/>
      <c r="O1346" s="726"/>
      <c r="P1346" s="726"/>
      <c r="Q1346" s="726"/>
      <c r="R1346" s="726"/>
      <c r="S1346" s="726"/>
      <c r="T1346" s="726"/>
      <c r="U1346" s="726"/>
      <c r="V1346" s="726"/>
      <c r="W1346" s="726"/>
      <c r="X1346" s="726"/>
      <c r="Y1346" s="726"/>
      <c r="Z1346" s="726"/>
      <c r="AA1346" s="732"/>
      <c r="AB1346" s="732"/>
      <c r="AC1346" s="732"/>
      <c r="AD1346" s="732"/>
      <c r="AE1346" s="733"/>
      <c r="AF1346" s="734" t="str">
        <f t="shared" si="62"/>
        <v/>
      </c>
      <c r="AG1346" s="773"/>
    </row>
    <row r="1347" spans="1:64" ht="18.75" x14ac:dyDescent="0.25">
      <c r="A1347" s="758"/>
      <c r="B1347" s="737"/>
      <c r="C1347" s="730"/>
      <c r="D1347" s="739"/>
      <c r="E1347" s="765"/>
      <c r="F1347" s="765"/>
      <c r="G1347" s="765"/>
      <c r="H1347" s="765"/>
      <c r="I1347" s="746" t="str">
        <f t="shared" si="61"/>
        <v/>
      </c>
      <c r="J1347" s="731"/>
      <c r="K1347" s="731" t="str">
        <f t="shared" si="60"/>
        <v/>
      </c>
      <c r="L1347" s="726"/>
      <c r="M1347" s="726"/>
      <c r="N1347" s="726"/>
      <c r="O1347" s="726"/>
      <c r="P1347" s="726"/>
      <c r="Q1347" s="726"/>
      <c r="R1347" s="726"/>
      <c r="S1347" s="726"/>
      <c r="T1347" s="726"/>
      <c r="U1347" s="726"/>
      <c r="V1347" s="726"/>
      <c r="W1347" s="726"/>
      <c r="X1347" s="726"/>
      <c r="Y1347" s="726"/>
      <c r="Z1347" s="726"/>
      <c r="AA1347" s="732"/>
      <c r="AB1347" s="732"/>
      <c r="AC1347" s="732"/>
      <c r="AD1347" s="732"/>
      <c r="AE1347" s="733"/>
      <c r="AF1347" s="734" t="str">
        <f t="shared" si="62"/>
        <v/>
      </c>
      <c r="AG1347" s="773"/>
    </row>
    <row r="1348" spans="1:64" ht="18.75" x14ac:dyDescent="0.25">
      <c r="A1348" s="758"/>
      <c r="B1348" s="737"/>
      <c r="C1348" s="730"/>
      <c r="D1348" s="739"/>
      <c r="E1348" s="765"/>
      <c r="F1348" s="765"/>
      <c r="G1348" s="765"/>
      <c r="H1348" s="765"/>
      <c r="I1348" s="746" t="str">
        <f t="shared" si="61"/>
        <v/>
      </c>
      <c r="J1348" s="731"/>
      <c r="K1348" s="731" t="str">
        <f t="shared" ref="K1348:K1411" si="63">IF(AA1348-AE1348 = 0,"",AA1348-AE1348)</f>
        <v/>
      </c>
      <c r="L1348" s="726"/>
      <c r="M1348" s="726"/>
      <c r="N1348" s="726"/>
      <c r="O1348" s="726"/>
      <c r="P1348" s="726"/>
      <c r="Q1348" s="726"/>
      <c r="R1348" s="726"/>
      <c r="S1348" s="726"/>
      <c r="T1348" s="726"/>
      <c r="U1348" s="726"/>
      <c r="V1348" s="726"/>
      <c r="W1348" s="726"/>
      <c r="X1348" s="726"/>
      <c r="Y1348" s="726"/>
      <c r="Z1348" s="726"/>
      <c r="AA1348" s="732"/>
      <c r="AB1348" s="732"/>
      <c r="AC1348" s="732"/>
      <c r="AD1348" s="732"/>
      <c r="AE1348" s="733"/>
      <c r="AF1348" s="734" t="str">
        <f t="shared" si="62"/>
        <v/>
      </c>
      <c r="AG1348" s="774"/>
      <c r="AH1348" s="778"/>
      <c r="AI1348" s="736"/>
      <c r="AJ1348" s="736"/>
      <c r="AK1348" s="736"/>
      <c r="AL1348" s="736"/>
      <c r="AM1348" s="736"/>
      <c r="AN1348" s="736"/>
      <c r="AO1348" s="736"/>
      <c r="AP1348" s="736"/>
      <c r="AQ1348" s="736"/>
      <c r="AR1348" s="736"/>
      <c r="AS1348" s="736"/>
      <c r="AT1348" s="736"/>
      <c r="AU1348" s="736"/>
      <c r="AV1348" s="736"/>
      <c r="AW1348" s="736"/>
      <c r="AX1348" s="736"/>
      <c r="AY1348" s="736"/>
      <c r="AZ1348" s="736"/>
      <c r="BA1348" s="736"/>
      <c r="BB1348" s="736"/>
      <c r="BC1348" s="736"/>
      <c r="BD1348" s="736"/>
      <c r="BE1348" s="736"/>
      <c r="BF1348" s="736"/>
      <c r="BG1348" s="736"/>
      <c r="BH1348" s="736"/>
      <c r="BI1348" s="736"/>
      <c r="BJ1348" s="736"/>
      <c r="BK1348" s="736"/>
      <c r="BL1348" s="736"/>
    </row>
    <row r="1349" spans="1:64" ht="18.75" x14ac:dyDescent="0.25">
      <c r="A1349" s="758"/>
      <c r="B1349" s="737"/>
      <c r="C1349" s="730"/>
      <c r="D1349" s="739"/>
      <c r="E1349" s="765"/>
      <c r="F1349" s="765"/>
      <c r="G1349" s="765"/>
      <c r="H1349" s="765"/>
      <c r="I1349" s="746" t="str">
        <f t="shared" ref="I1349:I1412" si="64">AF1349</f>
        <v/>
      </c>
      <c r="J1349" s="731"/>
      <c r="K1349" s="731" t="str">
        <f t="shared" si="63"/>
        <v/>
      </c>
      <c r="L1349" s="726"/>
      <c r="M1349" s="726"/>
      <c r="N1349" s="726"/>
      <c r="O1349" s="726"/>
      <c r="P1349" s="726"/>
      <c r="Q1349" s="726"/>
      <c r="R1349" s="726"/>
      <c r="S1349" s="726"/>
      <c r="T1349" s="726"/>
      <c r="U1349" s="726"/>
      <c r="V1349" s="726"/>
      <c r="W1349" s="726"/>
      <c r="X1349" s="726"/>
      <c r="Y1349" s="726"/>
      <c r="Z1349" s="726"/>
      <c r="AA1349" s="732"/>
      <c r="AB1349" s="732"/>
      <c r="AC1349" s="732"/>
      <c r="AD1349" s="732"/>
      <c r="AE1349" s="733"/>
      <c r="AF1349" s="734" t="str">
        <f t="shared" ref="AF1349:AF1412" si="65">IF(AE1349 &lt;&gt;"", AE1349/AA1349,"")</f>
        <v/>
      </c>
      <c r="AG1349" s="773"/>
    </row>
    <row r="1350" spans="1:64" ht="18.75" x14ac:dyDescent="0.25">
      <c r="A1350" s="758"/>
      <c r="B1350" s="737"/>
      <c r="C1350" s="730"/>
      <c r="D1350" s="739"/>
      <c r="E1350" s="765"/>
      <c r="F1350" s="765"/>
      <c r="G1350" s="765"/>
      <c r="H1350" s="765"/>
      <c r="I1350" s="746" t="str">
        <f t="shared" si="64"/>
        <v/>
      </c>
      <c r="J1350" s="731"/>
      <c r="K1350" s="731" t="str">
        <f t="shared" si="63"/>
        <v/>
      </c>
      <c r="L1350" s="726"/>
      <c r="M1350" s="726"/>
      <c r="N1350" s="726"/>
      <c r="O1350" s="726"/>
      <c r="P1350" s="726"/>
      <c r="Q1350" s="726"/>
      <c r="R1350" s="726"/>
      <c r="S1350" s="726"/>
      <c r="T1350" s="726"/>
      <c r="U1350" s="726"/>
      <c r="V1350" s="726"/>
      <c r="W1350" s="726"/>
      <c r="X1350" s="726"/>
      <c r="Y1350" s="726"/>
      <c r="Z1350" s="726"/>
      <c r="AA1350" s="732"/>
      <c r="AB1350" s="732"/>
      <c r="AC1350" s="732"/>
      <c r="AD1350" s="732"/>
      <c r="AE1350" s="733"/>
      <c r="AF1350" s="734" t="str">
        <f t="shared" si="65"/>
        <v/>
      </c>
      <c r="AG1350" s="773"/>
    </row>
    <row r="1351" spans="1:64" ht="18.75" x14ac:dyDescent="0.25">
      <c r="A1351" s="758"/>
      <c r="B1351" s="737"/>
      <c r="C1351" s="730"/>
      <c r="D1351" s="739"/>
      <c r="E1351" s="765"/>
      <c r="F1351" s="765"/>
      <c r="G1351" s="765"/>
      <c r="H1351" s="765"/>
      <c r="I1351" s="746" t="str">
        <f t="shared" si="64"/>
        <v/>
      </c>
      <c r="J1351" s="731"/>
      <c r="K1351" s="731" t="str">
        <f t="shared" si="63"/>
        <v/>
      </c>
      <c r="L1351" s="726"/>
      <c r="M1351" s="726"/>
      <c r="N1351" s="726"/>
      <c r="O1351" s="726"/>
      <c r="P1351" s="726"/>
      <c r="Q1351" s="726"/>
      <c r="R1351" s="726"/>
      <c r="S1351" s="726"/>
      <c r="T1351" s="726"/>
      <c r="U1351" s="726"/>
      <c r="V1351" s="726"/>
      <c r="W1351" s="726"/>
      <c r="X1351" s="726"/>
      <c r="Y1351" s="726"/>
      <c r="Z1351" s="726"/>
      <c r="AA1351" s="732"/>
      <c r="AB1351" s="732"/>
      <c r="AC1351" s="732"/>
      <c r="AD1351" s="732"/>
      <c r="AE1351" s="733"/>
      <c r="AF1351" s="734" t="str">
        <f t="shared" si="65"/>
        <v/>
      </c>
      <c r="AG1351" s="773"/>
    </row>
    <row r="1352" spans="1:64" ht="18.75" x14ac:dyDescent="0.25">
      <c r="A1352" s="758"/>
      <c r="B1352" s="737"/>
      <c r="C1352" s="730"/>
      <c r="D1352" s="739"/>
      <c r="E1352" s="765"/>
      <c r="F1352" s="765"/>
      <c r="G1352" s="765"/>
      <c r="H1352" s="765"/>
      <c r="I1352" s="746" t="str">
        <f t="shared" si="64"/>
        <v/>
      </c>
      <c r="J1352" s="731"/>
      <c r="K1352" s="731" t="str">
        <f t="shared" si="63"/>
        <v/>
      </c>
      <c r="L1352" s="726"/>
      <c r="M1352" s="726"/>
      <c r="N1352" s="726"/>
      <c r="O1352" s="726"/>
      <c r="P1352" s="726"/>
      <c r="Q1352" s="726"/>
      <c r="R1352" s="726"/>
      <c r="S1352" s="726"/>
      <c r="T1352" s="726"/>
      <c r="U1352" s="726"/>
      <c r="V1352" s="726"/>
      <c r="W1352" s="726"/>
      <c r="X1352" s="726"/>
      <c r="Y1352" s="726"/>
      <c r="Z1352" s="726"/>
      <c r="AA1352" s="732"/>
      <c r="AB1352" s="732"/>
      <c r="AC1352" s="732"/>
      <c r="AD1352" s="732"/>
      <c r="AE1352" s="733"/>
      <c r="AF1352" s="734" t="str">
        <f t="shared" si="65"/>
        <v/>
      </c>
      <c r="AG1352" s="773"/>
    </row>
    <row r="1353" spans="1:64" ht="18.75" x14ac:dyDescent="0.25">
      <c r="A1353" s="758"/>
      <c r="B1353" s="737"/>
      <c r="C1353" s="730"/>
      <c r="D1353" s="739"/>
      <c r="E1353" s="765"/>
      <c r="F1353" s="765"/>
      <c r="G1353" s="765"/>
      <c r="H1353" s="765"/>
      <c r="I1353" s="746" t="str">
        <f t="shared" si="64"/>
        <v/>
      </c>
      <c r="J1353" s="731"/>
      <c r="K1353" s="731" t="str">
        <f t="shared" si="63"/>
        <v/>
      </c>
      <c r="L1353" s="726"/>
      <c r="M1353" s="726"/>
      <c r="N1353" s="726"/>
      <c r="O1353" s="726"/>
      <c r="P1353" s="726"/>
      <c r="Q1353" s="726"/>
      <c r="R1353" s="726"/>
      <c r="S1353" s="726"/>
      <c r="T1353" s="726"/>
      <c r="U1353" s="726"/>
      <c r="V1353" s="726"/>
      <c r="W1353" s="726"/>
      <c r="X1353" s="726"/>
      <c r="Y1353" s="726"/>
      <c r="Z1353" s="726"/>
      <c r="AA1353" s="732"/>
      <c r="AB1353" s="732"/>
      <c r="AC1353" s="732"/>
      <c r="AD1353" s="732"/>
      <c r="AE1353" s="733"/>
      <c r="AF1353" s="734" t="str">
        <f t="shared" si="65"/>
        <v/>
      </c>
      <c r="AG1353" s="773"/>
    </row>
    <row r="1354" spans="1:64" ht="18.75" x14ac:dyDescent="0.25">
      <c r="A1354" s="758"/>
      <c r="B1354" s="737"/>
      <c r="C1354" s="730"/>
      <c r="D1354" s="739"/>
      <c r="E1354" s="765"/>
      <c r="F1354" s="765"/>
      <c r="G1354" s="765"/>
      <c r="H1354" s="765"/>
      <c r="I1354" s="746" t="str">
        <f t="shared" si="64"/>
        <v/>
      </c>
      <c r="J1354" s="731"/>
      <c r="K1354" s="731" t="str">
        <f t="shared" si="63"/>
        <v/>
      </c>
      <c r="L1354" s="726"/>
      <c r="M1354" s="726"/>
      <c r="N1354" s="726"/>
      <c r="O1354" s="726"/>
      <c r="P1354" s="726"/>
      <c r="Q1354" s="726"/>
      <c r="R1354" s="726"/>
      <c r="S1354" s="726"/>
      <c r="T1354" s="726"/>
      <c r="U1354" s="726"/>
      <c r="V1354" s="726"/>
      <c r="W1354" s="726"/>
      <c r="X1354" s="726"/>
      <c r="Y1354" s="726"/>
      <c r="Z1354" s="726"/>
      <c r="AA1354" s="732"/>
      <c r="AB1354" s="732"/>
      <c r="AC1354" s="732"/>
      <c r="AD1354" s="732"/>
      <c r="AE1354" s="733"/>
      <c r="AF1354" s="734" t="str">
        <f t="shared" si="65"/>
        <v/>
      </c>
      <c r="AG1354" s="773"/>
    </row>
    <row r="1355" spans="1:64" ht="18.75" x14ac:dyDescent="0.25">
      <c r="A1355" s="758"/>
      <c r="B1355" s="737"/>
      <c r="C1355" s="730"/>
      <c r="D1355" s="739"/>
      <c r="E1355" s="765"/>
      <c r="F1355" s="765"/>
      <c r="G1355" s="765"/>
      <c r="H1355" s="765"/>
      <c r="I1355" s="746" t="str">
        <f t="shared" si="64"/>
        <v/>
      </c>
      <c r="J1355" s="731"/>
      <c r="K1355" s="731" t="str">
        <f t="shared" si="63"/>
        <v/>
      </c>
      <c r="L1355" s="726"/>
      <c r="M1355" s="726"/>
      <c r="N1355" s="726"/>
      <c r="O1355" s="726"/>
      <c r="P1355" s="726"/>
      <c r="Q1355" s="726"/>
      <c r="R1355" s="726"/>
      <c r="S1355" s="726"/>
      <c r="T1355" s="726"/>
      <c r="U1355" s="726"/>
      <c r="V1355" s="726"/>
      <c r="W1355" s="726"/>
      <c r="X1355" s="726"/>
      <c r="Y1355" s="726"/>
      <c r="Z1355" s="726"/>
      <c r="AA1355" s="732"/>
      <c r="AB1355" s="732"/>
      <c r="AC1355" s="732"/>
      <c r="AD1355" s="732"/>
      <c r="AE1355" s="733"/>
      <c r="AF1355" s="734" t="str">
        <f t="shared" si="65"/>
        <v/>
      </c>
      <c r="AG1355" s="773"/>
    </row>
    <row r="1356" spans="1:64" ht="18.75" x14ac:dyDescent="0.25">
      <c r="A1356" s="758"/>
      <c r="B1356" s="737"/>
      <c r="C1356" s="730"/>
      <c r="D1356" s="739"/>
      <c r="E1356" s="765"/>
      <c r="F1356" s="765"/>
      <c r="G1356" s="765"/>
      <c r="H1356" s="765"/>
      <c r="I1356" s="746" t="str">
        <f t="shared" si="64"/>
        <v/>
      </c>
      <c r="J1356" s="731"/>
      <c r="K1356" s="731" t="str">
        <f t="shared" si="63"/>
        <v/>
      </c>
      <c r="L1356" s="726"/>
      <c r="M1356" s="726"/>
      <c r="N1356" s="726"/>
      <c r="O1356" s="726"/>
      <c r="P1356" s="726"/>
      <c r="Q1356" s="726"/>
      <c r="R1356" s="726"/>
      <c r="S1356" s="726"/>
      <c r="T1356" s="726"/>
      <c r="U1356" s="726"/>
      <c r="V1356" s="726"/>
      <c r="W1356" s="726"/>
      <c r="X1356" s="726"/>
      <c r="Y1356" s="726"/>
      <c r="Z1356" s="726"/>
      <c r="AA1356" s="732"/>
      <c r="AB1356" s="732"/>
      <c r="AC1356" s="732"/>
      <c r="AD1356" s="732"/>
      <c r="AE1356" s="733"/>
      <c r="AF1356" s="734" t="str">
        <f t="shared" si="65"/>
        <v/>
      </c>
      <c r="AG1356" s="773"/>
    </row>
    <row r="1357" spans="1:64" ht="18.75" x14ac:dyDescent="0.25">
      <c r="A1357" s="758"/>
      <c r="B1357" s="737"/>
      <c r="C1357" s="730"/>
      <c r="D1357" s="739"/>
      <c r="E1357" s="765"/>
      <c r="F1357" s="765"/>
      <c r="G1357" s="765"/>
      <c r="H1357" s="765"/>
      <c r="I1357" s="746" t="str">
        <f t="shared" si="64"/>
        <v/>
      </c>
      <c r="J1357" s="731"/>
      <c r="K1357" s="731" t="str">
        <f t="shared" si="63"/>
        <v/>
      </c>
      <c r="L1357" s="726"/>
      <c r="M1357" s="726"/>
      <c r="N1357" s="726"/>
      <c r="O1357" s="726"/>
      <c r="P1357" s="726"/>
      <c r="Q1357" s="726"/>
      <c r="R1357" s="726"/>
      <c r="S1357" s="726"/>
      <c r="T1357" s="726"/>
      <c r="U1357" s="726"/>
      <c r="V1357" s="726"/>
      <c r="W1357" s="726"/>
      <c r="X1357" s="726"/>
      <c r="Y1357" s="726"/>
      <c r="Z1357" s="726"/>
      <c r="AA1357" s="732"/>
      <c r="AB1357" s="732"/>
      <c r="AC1357" s="732"/>
      <c r="AD1357" s="732"/>
      <c r="AE1357" s="733"/>
      <c r="AF1357" s="734" t="str">
        <f t="shared" si="65"/>
        <v/>
      </c>
      <c r="AG1357" s="773"/>
    </row>
    <row r="1358" spans="1:64" ht="18.75" x14ac:dyDescent="0.25">
      <c r="A1358" s="758"/>
      <c r="B1358" s="737"/>
      <c r="C1358" s="730"/>
      <c r="D1358" s="739"/>
      <c r="E1358" s="765"/>
      <c r="F1358" s="765"/>
      <c r="G1358" s="765"/>
      <c r="H1358" s="765"/>
      <c r="I1358" s="746" t="str">
        <f t="shared" si="64"/>
        <v/>
      </c>
      <c r="J1358" s="731"/>
      <c r="K1358" s="731" t="str">
        <f t="shared" si="63"/>
        <v/>
      </c>
      <c r="L1358" s="726"/>
      <c r="M1358" s="726"/>
      <c r="N1358" s="726"/>
      <c r="O1358" s="726"/>
      <c r="P1358" s="726"/>
      <c r="Q1358" s="726"/>
      <c r="R1358" s="726"/>
      <c r="S1358" s="726"/>
      <c r="T1358" s="726"/>
      <c r="U1358" s="726"/>
      <c r="V1358" s="726"/>
      <c r="W1358" s="726"/>
      <c r="X1358" s="726"/>
      <c r="Y1358" s="726"/>
      <c r="Z1358" s="726"/>
      <c r="AA1358" s="732"/>
      <c r="AB1358" s="732"/>
      <c r="AC1358" s="732"/>
      <c r="AD1358" s="732"/>
      <c r="AE1358" s="733"/>
      <c r="AF1358" s="734" t="str">
        <f t="shared" si="65"/>
        <v/>
      </c>
      <c r="AG1358" s="773"/>
    </row>
    <row r="1359" spans="1:64" ht="18.75" x14ac:dyDescent="0.25">
      <c r="A1359" s="758"/>
      <c r="B1359" s="737"/>
      <c r="C1359" s="730"/>
      <c r="D1359" s="739"/>
      <c r="E1359" s="765"/>
      <c r="F1359" s="765"/>
      <c r="G1359" s="765"/>
      <c r="H1359" s="765"/>
      <c r="I1359" s="746" t="str">
        <f t="shared" si="64"/>
        <v/>
      </c>
      <c r="J1359" s="731"/>
      <c r="K1359" s="731" t="str">
        <f t="shared" si="63"/>
        <v/>
      </c>
      <c r="L1359" s="726"/>
      <c r="M1359" s="726"/>
      <c r="N1359" s="726"/>
      <c r="O1359" s="726"/>
      <c r="P1359" s="726"/>
      <c r="Q1359" s="726"/>
      <c r="R1359" s="726"/>
      <c r="S1359" s="726"/>
      <c r="T1359" s="726"/>
      <c r="U1359" s="726"/>
      <c r="V1359" s="726"/>
      <c r="W1359" s="726"/>
      <c r="X1359" s="726"/>
      <c r="Y1359" s="726"/>
      <c r="Z1359" s="726"/>
      <c r="AA1359" s="732"/>
      <c r="AB1359" s="732"/>
      <c r="AC1359" s="732"/>
      <c r="AD1359" s="732"/>
      <c r="AE1359" s="733"/>
      <c r="AF1359" s="734" t="str">
        <f t="shared" si="65"/>
        <v/>
      </c>
      <c r="AG1359" s="773"/>
    </row>
    <row r="1360" spans="1:64" ht="19.5" customHeight="1" x14ac:dyDescent="0.25">
      <c r="A1360" s="758"/>
      <c r="B1360" s="737"/>
      <c r="C1360" s="730"/>
      <c r="D1360" s="739"/>
      <c r="E1360" s="765"/>
      <c r="F1360" s="765"/>
      <c r="G1360" s="765"/>
      <c r="H1360" s="765"/>
      <c r="I1360" s="746" t="str">
        <f t="shared" si="64"/>
        <v/>
      </c>
      <c r="J1360" s="731"/>
      <c r="K1360" s="731" t="str">
        <f t="shared" si="63"/>
        <v/>
      </c>
      <c r="L1360" s="726"/>
      <c r="M1360" s="726"/>
      <c r="N1360" s="726"/>
      <c r="O1360" s="726"/>
      <c r="P1360" s="726"/>
      <c r="Q1360" s="726"/>
      <c r="R1360" s="726"/>
      <c r="S1360" s="726"/>
      <c r="T1360" s="726"/>
      <c r="U1360" s="726"/>
      <c r="V1360" s="726"/>
      <c r="W1360" s="726"/>
      <c r="X1360" s="726"/>
      <c r="Y1360" s="726"/>
      <c r="Z1360" s="726"/>
      <c r="AA1360" s="732"/>
      <c r="AB1360" s="732"/>
      <c r="AC1360" s="732"/>
      <c r="AD1360" s="732"/>
      <c r="AE1360" s="733"/>
      <c r="AF1360" s="734" t="str">
        <f t="shared" si="65"/>
        <v/>
      </c>
      <c r="AG1360" s="773"/>
    </row>
    <row r="1361" spans="1:64" ht="18.75" x14ac:dyDescent="0.25">
      <c r="A1361" s="758"/>
      <c r="B1361" s="737"/>
      <c r="C1361" s="730"/>
      <c r="D1361" s="739"/>
      <c r="E1361" s="765"/>
      <c r="F1361" s="765"/>
      <c r="G1361" s="765"/>
      <c r="H1361" s="765"/>
      <c r="I1361" s="746" t="str">
        <f t="shared" si="64"/>
        <v/>
      </c>
      <c r="J1361" s="731"/>
      <c r="K1361" s="731" t="str">
        <f t="shared" si="63"/>
        <v/>
      </c>
      <c r="L1361" s="726"/>
      <c r="M1361" s="726"/>
      <c r="N1361" s="726"/>
      <c r="O1361" s="726"/>
      <c r="P1361" s="726"/>
      <c r="Q1361" s="726"/>
      <c r="R1361" s="726"/>
      <c r="S1361" s="726"/>
      <c r="T1361" s="726"/>
      <c r="U1361" s="726"/>
      <c r="V1361" s="726"/>
      <c r="W1361" s="726"/>
      <c r="X1361" s="726"/>
      <c r="Y1361" s="726"/>
      <c r="Z1361" s="726"/>
      <c r="AA1361" s="732"/>
      <c r="AB1361" s="732"/>
      <c r="AC1361" s="732"/>
      <c r="AD1361" s="732"/>
      <c r="AE1361" s="733"/>
      <c r="AF1361" s="734" t="str">
        <f t="shared" si="65"/>
        <v/>
      </c>
      <c r="AG1361" s="773"/>
    </row>
    <row r="1362" spans="1:64" ht="18.75" x14ac:dyDescent="0.25">
      <c r="A1362" s="758"/>
      <c r="B1362" s="737"/>
      <c r="C1362" s="730"/>
      <c r="D1362" s="739"/>
      <c r="E1362" s="765"/>
      <c r="F1362" s="765"/>
      <c r="G1362" s="765"/>
      <c r="H1362" s="765"/>
      <c r="I1362" s="746" t="str">
        <f t="shared" si="64"/>
        <v/>
      </c>
      <c r="J1362" s="731"/>
      <c r="K1362" s="731" t="str">
        <f t="shared" si="63"/>
        <v/>
      </c>
      <c r="L1362" s="726"/>
      <c r="M1362" s="726"/>
      <c r="N1362" s="726"/>
      <c r="O1362" s="726"/>
      <c r="P1362" s="726"/>
      <c r="Q1362" s="726"/>
      <c r="R1362" s="726"/>
      <c r="S1362" s="726"/>
      <c r="T1362" s="726"/>
      <c r="U1362" s="726"/>
      <c r="V1362" s="726"/>
      <c r="W1362" s="726"/>
      <c r="X1362" s="726"/>
      <c r="Y1362" s="726"/>
      <c r="Z1362" s="726"/>
      <c r="AA1362" s="732"/>
      <c r="AB1362" s="732"/>
      <c r="AC1362" s="732"/>
      <c r="AD1362" s="732"/>
      <c r="AE1362" s="733"/>
      <c r="AF1362" s="734" t="str">
        <f t="shared" si="65"/>
        <v/>
      </c>
      <c r="AG1362" s="773"/>
    </row>
    <row r="1363" spans="1:64" ht="19.5" customHeight="1" x14ac:dyDescent="0.25">
      <c r="A1363" s="758"/>
      <c r="B1363" s="737"/>
      <c r="C1363" s="730"/>
      <c r="D1363" s="739"/>
      <c r="E1363" s="765"/>
      <c r="F1363" s="765"/>
      <c r="G1363" s="765"/>
      <c r="H1363" s="765"/>
      <c r="I1363" s="746" t="str">
        <f t="shared" si="64"/>
        <v/>
      </c>
      <c r="J1363" s="731"/>
      <c r="K1363" s="731" t="str">
        <f t="shared" si="63"/>
        <v/>
      </c>
      <c r="L1363" s="726"/>
      <c r="M1363" s="726"/>
      <c r="N1363" s="726"/>
      <c r="O1363" s="726"/>
      <c r="P1363" s="726"/>
      <c r="Q1363" s="726"/>
      <c r="R1363" s="726"/>
      <c r="S1363" s="726"/>
      <c r="T1363" s="726"/>
      <c r="U1363" s="726"/>
      <c r="V1363" s="726"/>
      <c r="W1363" s="726"/>
      <c r="X1363" s="726"/>
      <c r="Y1363" s="726"/>
      <c r="Z1363" s="726"/>
      <c r="AA1363" s="732"/>
      <c r="AB1363" s="732"/>
      <c r="AC1363" s="732"/>
      <c r="AD1363" s="732"/>
      <c r="AE1363" s="733"/>
      <c r="AF1363" s="734" t="str">
        <f t="shared" si="65"/>
        <v/>
      </c>
      <c r="AG1363" s="775"/>
      <c r="AH1363" s="779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36"/>
      <c r="BE1363" s="36"/>
      <c r="BF1363" s="36"/>
      <c r="BG1363" s="36"/>
      <c r="BH1363" s="36"/>
      <c r="BI1363" s="36"/>
      <c r="BJ1363" s="36"/>
      <c r="BK1363" s="36"/>
      <c r="BL1363" s="36"/>
    </row>
    <row r="1364" spans="1:64" ht="19.5" customHeight="1" x14ac:dyDescent="0.25">
      <c r="A1364" s="758"/>
      <c r="B1364" s="737"/>
      <c r="C1364" s="730"/>
      <c r="D1364" s="739"/>
      <c r="E1364" s="765"/>
      <c r="F1364" s="765"/>
      <c r="G1364" s="765"/>
      <c r="H1364" s="765"/>
      <c r="I1364" s="746" t="str">
        <f t="shared" si="64"/>
        <v/>
      </c>
      <c r="J1364" s="731"/>
      <c r="K1364" s="731" t="str">
        <f t="shared" si="63"/>
        <v/>
      </c>
      <c r="L1364" s="726"/>
      <c r="M1364" s="726"/>
      <c r="N1364" s="726"/>
      <c r="O1364" s="726"/>
      <c r="P1364" s="726"/>
      <c r="Q1364" s="726"/>
      <c r="R1364" s="726"/>
      <c r="S1364" s="726"/>
      <c r="T1364" s="726"/>
      <c r="U1364" s="726"/>
      <c r="V1364" s="726"/>
      <c r="W1364" s="726"/>
      <c r="X1364" s="726"/>
      <c r="Y1364" s="726"/>
      <c r="Z1364" s="726"/>
      <c r="AA1364" s="732"/>
      <c r="AB1364" s="732"/>
      <c r="AC1364" s="732"/>
      <c r="AD1364" s="732"/>
      <c r="AE1364" s="733"/>
      <c r="AF1364" s="734" t="str">
        <f t="shared" si="65"/>
        <v/>
      </c>
      <c r="AG1364" s="775"/>
      <c r="AH1364" s="779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36"/>
      <c r="BE1364" s="36"/>
      <c r="BF1364" s="36"/>
      <c r="BG1364" s="36"/>
      <c r="BH1364" s="36"/>
      <c r="BI1364" s="36"/>
      <c r="BJ1364" s="36"/>
      <c r="BK1364" s="36"/>
      <c r="BL1364" s="36"/>
    </row>
    <row r="1365" spans="1:64" ht="18.75" x14ac:dyDescent="0.25">
      <c r="A1365" s="758"/>
      <c r="B1365" s="737"/>
      <c r="C1365" s="730"/>
      <c r="D1365" s="739"/>
      <c r="E1365" s="765"/>
      <c r="F1365" s="765"/>
      <c r="G1365" s="765"/>
      <c r="H1365" s="765"/>
      <c r="I1365" s="746" t="str">
        <f t="shared" si="64"/>
        <v/>
      </c>
      <c r="J1365" s="731"/>
      <c r="K1365" s="731" t="str">
        <f t="shared" si="63"/>
        <v/>
      </c>
      <c r="L1365" s="726"/>
      <c r="M1365" s="726"/>
      <c r="N1365" s="726"/>
      <c r="O1365" s="726"/>
      <c r="P1365" s="726"/>
      <c r="Q1365" s="726"/>
      <c r="R1365" s="726"/>
      <c r="S1365" s="726"/>
      <c r="T1365" s="726"/>
      <c r="U1365" s="726"/>
      <c r="V1365" s="726"/>
      <c r="W1365" s="726"/>
      <c r="X1365" s="726"/>
      <c r="Y1365" s="726"/>
      <c r="Z1365" s="726"/>
      <c r="AA1365" s="732"/>
      <c r="AB1365" s="732"/>
      <c r="AC1365" s="732"/>
      <c r="AD1365" s="732"/>
      <c r="AE1365" s="733"/>
      <c r="AF1365" s="734" t="str">
        <f t="shared" si="65"/>
        <v/>
      </c>
      <c r="AG1365" s="773"/>
    </row>
    <row r="1366" spans="1:64" ht="18.75" x14ac:dyDescent="0.25">
      <c r="A1366" s="758"/>
      <c r="B1366" s="737"/>
      <c r="C1366" s="730"/>
      <c r="D1366" s="739"/>
      <c r="E1366" s="765"/>
      <c r="F1366" s="765"/>
      <c r="G1366" s="765"/>
      <c r="H1366" s="765"/>
      <c r="I1366" s="746" t="str">
        <f t="shared" si="64"/>
        <v/>
      </c>
      <c r="J1366" s="731"/>
      <c r="K1366" s="731" t="str">
        <f t="shared" si="63"/>
        <v/>
      </c>
      <c r="L1366" s="726"/>
      <c r="M1366" s="726"/>
      <c r="N1366" s="726"/>
      <c r="O1366" s="726"/>
      <c r="P1366" s="726"/>
      <c r="Q1366" s="726"/>
      <c r="R1366" s="726"/>
      <c r="S1366" s="726"/>
      <c r="T1366" s="726"/>
      <c r="U1366" s="726"/>
      <c r="V1366" s="726"/>
      <c r="W1366" s="726"/>
      <c r="X1366" s="726"/>
      <c r="Y1366" s="726"/>
      <c r="Z1366" s="726"/>
      <c r="AA1366" s="732"/>
      <c r="AB1366" s="732"/>
      <c r="AC1366" s="732"/>
      <c r="AD1366" s="732"/>
      <c r="AE1366" s="733"/>
      <c r="AF1366" s="734" t="str">
        <f t="shared" si="65"/>
        <v/>
      </c>
      <c r="AG1366" s="773"/>
    </row>
    <row r="1367" spans="1:64" ht="18.75" x14ac:dyDescent="0.25">
      <c r="A1367" s="758"/>
      <c r="B1367" s="737"/>
      <c r="C1367" s="730"/>
      <c r="D1367" s="739"/>
      <c r="E1367" s="765"/>
      <c r="F1367" s="765"/>
      <c r="G1367" s="765"/>
      <c r="H1367" s="765"/>
      <c r="I1367" s="746" t="str">
        <f t="shared" si="64"/>
        <v/>
      </c>
      <c r="J1367" s="731"/>
      <c r="K1367" s="731" t="str">
        <f t="shared" si="63"/>
        <v/>
      </c>
      <c r="L1367" s="726"/>
      <c r="M1367" s="726"/>
      <c r="N1367" s="726"/>
      <c r="O1367" s="726"/>
      <c r="P1367" s="726"/>
      <c r="Q1367" s="726"/>
      <c r="R1367" s="726"/>
      <c r="S1367" s="726"/>
      <c r="T1367" s="726"/>
      <c r="U1367" s="726"/>
      <c r="V1367" s="726"/>
      <c r="W1367" s="726"/>
      <c r="X1367" s="726"/>
      <c r="Y1367" s="726"/>
      <c r="Z1367" s="726"/>
      <c r="AA1367" s="732"/>
      <c r="AB1367" s="732"/>
      <c r="AC1367" s="732"/>
      <c r="AD1367" s="732"/>
      <c r="AE1367" s="733"/>
      <c r="AF1367" s="734" t="str">
        <f t="shared" si="65"/>
        <v/>
      </c>
      <c r="AG1367" s="773"/>
    </row>
    <row r="1368" spans="1:64" ht="18.75" x14ac:dyDescent="0.25">
      <c r="A1368" s="758"/>
      <c r="B1368" s="737"/>
      <c r="C1368" s="730"/>
      <c r="D1368" s="739"/>
      <c r="E1368" s="765"/>
      <c r="F1368" s="765"/>
      <c r="G1368" s="765"/>
      <c r="H1368" s="765"/>
      <c r="I1368" s="746" t="str">
        <f t="shared" si="64"/>
        <v/>
      </c>
      <c r="J1368" s="731"/>
      <c r="K1368" s="731" t="str">
        <f t="shared" si="63"/>
        <v/>
      </c>
      <c r="L1368" s="726"/>
      <c r="M1368" s="726"/>
      <c r="N1368" s="726"/>
      <c r="O1368" s="726"/>
      <c r="P1368" s="726"/>
      <c r="Q1368" s="726"/>
      <c r="R1368" s="726"/>
      <c r="S1368" s="726"/>
      <c r="T1368" s="726"/>
      <c r="U1368" s="726"/>
      <c r="V1368" s="726"/>
      <c r="W1368" s="726"/>
      <c r="X1368" s="726"/>
      <c r="Y1368" s="726"/>
      <c r="Z1368" s="726"/>
      <c r="AA1368" s="732"/>
      <c r="AB1368" s="732"/>
      <c r="AC1368" s="732"/>
      <c r="AD1368" s="732"/>
      <c r="AE1368" s="733"/>
      <c r="AF1368" s="734" t="str">
        <f t="shared" si="65"/>
        <v/>
      </c>
      <c r="AG1368" s="773"/>
    </row>
    <row r="1369" spans="1:64" ht="18.75" x14ac:dyDescent="0.25">
      <c r="A1369" s="758"/>
      <c r="B1369" s="737"/>
      <c r="C1369" s="730"/>
      <c r="D1369" s="739"/>
      <c r="E1369" s="765"/>
      <c r="F1369" s="765"/>
      <c r="G1369" s="765"/>
      <c r="H1369" s="765"/>
      <c r="I1369" s="746" t="str">
        <f t="shared" si="64"/>
        <v/>
      </c>
      <c r="J1369" s="731"/>
      <c r="K1369" s="731" t="str">
        <f t="shared" si="63"/>
        <v/>
      </c>
      <c r="L1369" s="726"/>
      <c r="M1369" s="726"/>
      <c r="N1369" s="726"/>
      <c r="O1369" s="726"/>
      <c r="P1369" s="726"/>
      <c r="Q1369" s="726"/>
      <c r="R1369" s="726"/>
      <c r="S1369" s="726"/>
      <c r="T1369" s="726"/>
      <c r="U1369" s="726"/>
      <c r="V1369" s="726"/>
      <c r="W1369" s="726"/>
      <c r="X1369" s="726"/>
      <c r="Y1369" s="726"/>
      <c r="Z1369" s="726"/>
      <c r="AA1369" s="732"/>
      <c r="AB1369" s="732"/>
      <c r="AC1369" s="732"/>
      <c r="AD1369" s="732"/>
      <c r="AE1369" s="733"/>
      <c r="AF1369" s="734" t="str">
        <f t="shared" si="65"/>
        <v/>
      </c>
      <c r="AG1369" s="773"/>
    </row>
    <row r="1370" spans="1:64" ht="18.75" x14ac:dyDescent="0.25">
      <c r="A1370" s="758"/>
      <c r="B1370" s="737"/>
      <c r="C1370" s="730"/>
      <c r="D1370" s="739"/>
      <c r="E1370" s="765"/>
      <c r="F1370" s="765"/>
      <c r="G1370" s="765"/>
      <c r="H1370" s="765"/>
      <c r="I1370" s="746" t="str">
        <f t="shared" si="64"/>
        <v/>
      </c>
      <c r="J1370" s="731"/>
      <c r="K1370" s="731" t="str">
        <f t="shared" si="63"/>
        <v/>
      </c>
      <c r="L1370" s="726"/>
      <c r="M1370" s="726"/>
      <c r="N1370" s="726"/>
      <c r="O1370" s="726"/>
      <c r="P1370" s="726"/>
      <c r="Q1370" s="726"/>
      <c r="R1370" s="726"/>
      <c r="S1370" s="726"/>
      <c r="T1370" s="726"/>
      <c r="U1370" s="726"/>
      <c r="V1370" s="726"/>
      <c r="W1370" s="726"/>
      <c r="X1370" s="726"/>
      <c r="Y1370" s="726"/>
      <c r="Z1370" s="726"/>
      <c r="AA1370" s="732"/>
      <c r="AB1370" s="732"/>
      <c r="AC1370" s="732"/>
      <c r="AD1370" s="732"/>
      <c r="AE1370" s="733"/>
      <c r="AF1370" s="734" t="str">
        <f t="shared" si="65"/>
        <v/>
      </c>
      <c r="AG1370" s="773"/>
    </row>
    <row r="1371" spans="1:64" ht="18.75" x14ac:dyDescent="0.25">
      <c r="A1371" s="758"/>
      <c r="B1371" s="737"/>
      <c r="C1371" s="730"/>
      <c r="D1371" s="739"/>
      <c r="E1371" s="765"/>
      <c r="F1371" s="765"/>
      <c r="G1371" s="765"/>
      <c r="H1371" s="765"/>
      <c r="I1371" s="746" t="str">
        <f t="shared" si="64"/>
        <v/>
      </c>
      <c r="J1371" s="731"/>
      <c r="K1371" s="731" t="str">
        <f t="shared" si="63"/>
        <v/>
      </c>
      <c r="L1371" s="726"/>
      <c r="M1371" s="726"/>
      <c r="N1371" s="726"/>
      <c r="O1371" s="726"/>
      <c r="P1371" s="726"/>
      <c r="Q1371" s="726"/>
      <c r="R1371" s="726"/>
      <c r="S1371" s="726"/>
      <c r="T1371" s="726"/>
      <c r="U1371" s="726"/>
      <c r="V1371" s="726"/>
      <c r="W1371" s="726"/>
      <c r="X1371" s="726"/>
      <c r="Y1371" s="726"/>
      <c r="Z1371" s="726"/>
      <c r="AA1371" s="732"/>
      <c r="AB1371" s="732"/>
      <c r="AC1371" s="732"/>
      <c r="AD1371" s="732"/>
      <c r="AE1371" s="733"/>
      <c r="AF1371" s="734" t="str">
        <f t="shared" si="65"/>
        <v/>
      </c>
      <c r="AG1371" s="775"/>
      <c r="AH1371" s="779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  <c r="AW1371" s="36"/>
      <c r="AX1371" s="36"/>
      <c r="AY1371" s="36"/>
      <c r="AZ1371" s="36"/>
      <c r="BA1371" s="36"/>
      <c r="BB1371" s="36"/>
      <c r="BC1371" s="36"/>
      <c r="BD1371" s="36"/>
      <c r="BE1371" s="36"/>
      <c r="BF1371" s="36"/>
      <c r="BG1371" s="36"/>
      <c r="BH1371" s="36"/>
      <c r="BI1371" s="36"/>
      <c r="BJ1371" s="36"/>
      <c r="BK1371" s="36"/>
      <c r="BL1371" s="36"/>
    </row>
    <row r="1372" spans="1:64" ht="18.75" x14ac:dyDescent="0.25">
      <c r="A1372" s="758"/>
      <c r="B1372" s="737"/>
      <c r="C1372" s="730"/>
      <c r="D1372" s="739"/>
      <c r="E1372" s="765"/>
      <c r="F1372" s="765"/>
      <c r="G1372" s="765"/>
      <c r="H1372" s="765"/>
      <c r="I1372" s="746" t="str">
        <f t="shared" si="64"/>
        <v/>
      </c>
      <c r="J1372" s="731"/>
      <c r="K1372" s="731" t="str">
        <f t="shared" si="63"/>
        <v/>
      </c>
      <c r="L1372" s="726"/>
      <c r="M1372" s="726"/>
      <c r="N1372" s="726"/>
      <c r="O1372" s="726"/>
      <c r="P1372" s="726"/>
      <c r="Q1372" s="726"/>
      <c r="R1372" s="726"/>
      <c r="S1372" s="726"/>
      <c r="T1372" s="726"/>
      <c r="U1372" s="726"/>
      <c r="V1372" s="726"/>
      <c r="W1372" s="726"/>
      <c r="X1372" s="726"/>
      <c r="Y1372" s="726"/>
      <c r="Z1372" s="726"/>
      <c r="AA1372" s="732"/>
      <c r="AB1372" s="732"/>
      <c r="AC1372" s="732"/>
      <c r="AD1372" s="732"/>
      <c r="AE1372" s="733"/>
      <c r="AF1372" s="734" t="str">
        <f t="shared" si="65"/>
        <v/>
      </c>
      <c r="AG1372" s="773"/>
    </row>
    <row r="1373" spans="1:64" ht="18.75" x14ac:dyDescent="0.25">
      <c r="A1373" s="758"/>
      <c r="B1373" s="737"/>
      <c r="C1373" s="730"/>
      <c r="D1373" s="739"/>
      <c r="E1373" s="765"/>
      <c r="F1373" s="765"/>
      <c r="G1373" s="765"/>
      <c r="H1373" s="765"/>
      <c r="I1373" s="746" t="str">
        <f t="shared" si="64"/>
        <v/>
      </c>
      <c r="J1373" s="731"/>
      <c r="K1373" s="731" t="str">
        <f t="shared" si="63"/>
        <v/>
      </c>
      <c r="L1373" s="726"/>
      <c r="M1373" s="726"/>
      <c r="N1373" s="726"/>
      <c r="O1373" s="726"/>
      <c r="P1373" s="726"/>
      <c r="Q1373" s="726"/>
      <c r="R1373" s="726"/>
      <c r="S1373" s="726"/>
      <c r="T1373" s="726"/>
      <c r="U1373" s="726"/>
      <c r="V1373" s="726"/>
      <c r="W1373" s="726"/>
      <c r="X1373" s="726"/>
      <c r="Y1373" s="726"/>
      <c r="Z1373" s="726"/>
      <c r="AA1373" s="732"/>
      <c r="AB1373" s="732"/>
      <c r="AC1373" s="732"/>
      <c r="AD1373" s="732"/>
      <c r="AE1373" s="733"/>
      <c r="AF1373" s="734" t="str">
        <f t="shared" si="65"/>
        <v/>
      </c>
      <c r="AG1373" s="773"/>
    </row>
    <row r="1374" spans="1:64" ht="18.75" x14ac:dyDescent="0.25">
      <c r="A1374" s="758"/>
      <c r="B1374" s="737"/>
      <c r="C1374" s="730"/>
      <c r="D1374" s="739"/>
      <c r="E1374" s="765"/>
      <c r="F1374" s="765"/>
      <c r="G1374" s="765"/>
      <c r="H1374" s="765"/>
      <c r="I1374" s="746" t="str">
        <f t="shared" si="64"/>
        <v/>
      </c>
      <c r="J1374" s="731"/>
      <c r="K1374" s="731" t="str">
        <f t="shared" si="63"/>
        <v/>
      </c>
      <c r="L1374" s="726"/>
      <c r="M1374" s="726"/>
      <c r="N1374" s="726"/>
      <c r="O1374" s="726"/>
      <c r="P1374" s="726"/>
      <c r="Q1374" s="726"/>
      <c r="R1374" s="726"/>
      <c r="S1374" s="726"/>
      <c r="T1374" s="726"/>
      <c r="U1374" s="726"/>
      <c r="V1374" s="726"/>
      <c r="W1374" s="726"/>
      <c r="X1374" s="726"/>
      <c r="Y1374" s="726"/>
      <c r="Z1374" s="726"/>
      <c r="AA1374" s="732"/>
      <c r="AB1374" s="732"/>
      <c r="AC1374" s="732"/>
      <c r="AD1374" s="732"/>
      <c r="AE1374" s="733"/>
      <c r="AF1374" s="734" t="str">
        <f t="shared" si="65"/>
        <v/>
      </c>
      <c r="AG1374" s="773"/>
    </row>
    <row r="1375" spans="1:64" ht="18.75" x14ac:dyDescent="0.25">
      <c r="A1375" s="758"/>
      <c r="B1375" s="737"/>
      <c r="C1375" s="730"/>
      <c r="D1375" s="739"/>
      <c r="E1375" s="765"/>
      <c r="F1375" s="765"/>
      <c r="G1375" s="765"/>
      <c r="H1375" s="765"/>
      <c r="I1375" s="746" t="str">
        <f t="shared" si="64"/>
        <v/>
      </c>
      <c r="J1375" s="731"/>
      <c r="K1375" s="731" t="str">
        <f t="shared" si="63"/>
        <v/>
      </c>
      <c r="L1375" s="726"/>
      <c r="M1375" s="726"/>
      <c r="N1375" s="726"/>
      <c r="O1375" s="726"/>
      <c r="P1375" s="726"/>
      <c r="Q1375" s="726"/>
      <c r="R1375" s="726"/>
      <c r="S1375" s="726"/>
      <c r="T1375" s="726"/>
      <c r="U1375" s="726"/>
      <c r="V1375" s="726"/>
      <c r="W1375" s="726"/>
      <c r="X1375" s="726"/>
      <c r="Y1375" s="726"/>
      <c r="Z1375" s="726"/>
      <c r="AA1375" s="732"/>
      <c r="AB1375" s="732"/>
      <c r="AC1375" s="732"/>
      <c r="AD1375" s="732"/>
      <c r="AE1375" s="733"/>
      <c r="AF1375" s="734" t="str">
        <f t="shared" si="65"/>
        <v/>
      </c>
      <c r="AG1375" s="773"/>
    </row>
    <row r="1376" spans="1:64" ht="18.75" x14ac:dyDescent="0.25">
      <c r="A1376" s="758"/>
      <c r="B1376" s="737"/>
      <c r="C1376" s="730"/>
      <c r="D1376" s="739"/>
      <c r="E1376" s="765"/>
      <c r="F1376" s="765"/>
      <c r="G1376" s="765"/>
      <c r="H1376" s="765"/>
      <c r="I1376" s="746" t="str">
        <f t="shared" si="64"/>
        <v/>
      </c>
      <c r="J1376" s="731"/>
      <c r="K1376" s="731" t="str">
        <f t="shared" si="63"/>
        <v/>
      </c>
      <c r="L1376" s="726"/>
      <c r="M1376" s="726"/>
      <c r="N1376" s="726"/>
      <c r="O1376" s="726"/>
      <c r="P1376" s="726"/>
      <c r="Q1376" s="726"/>
      <c r="R1376" s="726"/>
      <c r="S1376" s="726"/>
      <c r="T1376" s="726"/>
      <c r="U1376" s="726"/>
      <c r="V1376" s="726"/>
      <c r="W1376" s="726"/>
      <c r="X1376" s="726"/>
      <c r="Y1376" s="726"/>
      <c r="Z1376" s="726"/>
      <c r="AA1376" s="732"/>
      <c r="AB1376" s="732"/>
      <c r="AC1376" s="732"/>
      <c r="AD1376" s="732"/>
      <c r="AE1376" s="733"/>
      <c r="AF1376" s="734" t="str">
        <f t="shared" si="65"/>
        <v/>
      </c>
      <c r="AG1376" s="773"/>
    </row>
    <row r="1377" spans="1:64" ht="19.5" customHeight="1" x14ac:dyDescent="0.25">
      <c r="A1377" s="758"/>
      <c r="B1377" s="737"/>
      <c r="C1377" s="730"/>
      <c r="D1377" s="739"/>
      <c r="E1377" s="765"/>
      <c r="F1377" s="765"/>
      <c r="G1377" s="765"/>
      <c r="H1377" s="765"/>
      <c r="I1377" s="746" t="str">
        <f t="shared" si="64"/>
        <v/>
      </c>
      <c r="J1377" s="731"/>
      <c r="K1377" s="731" t="str">
        <f t="shared" si="63"/>
        <v/>
      </c>
      <c r="L1377" s="726"/>
      <c r="M1377" s="726"/>
      <c r="N1377" s="726"/>
      <c r="O1377" s="726"/>
      <c r="P1377" s="726"/>
      <c r="Q1377" s="726"/>
      <c r="R1377" s="726"/>
      <c r="S1377" s="726"/>
      <c r="T1377" s="726"/>
      <c r="U1377" s="726"/>
      <c r="V1377" s="726"/>
      <c r="W1377" s="726"/>
      <c r="X1377" s="726"/>
      <c r="Y1377" s="726"/>
      <c r="Z1377" s="726"/>
      <c r="AA1377" s="732"/>
      <c r="AB1377" s="732"/>
      <c r="AC1377" s="732"/>
      <c r="AD1377" s="732"/>
      <c r="AE1377" s="733"/>
      <c r="AF1377" s="734" t="str">
        <f t="shared" si="65"/>
        <v/>
      </c>
      <c r="AG1377" s="775"/>
      <c r="AH1377" s="779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36"/>
      <c r="AZ1377" s="36"/>
      <c r="BA1377" s="36"/>
      <c r="BB1377" s="36"/>
      <c r="BC1377" s="36"/>
      <c r="BD1377" s="36"/>
      <c r="BE1377" s="36"/>
      <c r="BF1377" s="36"/>
      <c r="BG1377" s="36"/>
      <c r="BH1377" s="36"/>
      <c r="BI1377" s="36"/>
      <c r="BJ1377" s="36"/>
      <c r="BK1377" s="36"/>
      <c r="BL1377" s="36"/>
    </row>
    <row r="1378" spans="1:64" ht="19.5" customHeight="1" x14ac:dyDescent="0.25">
      <c r="A1378" s="758"/>
      <c r="B1378" s="737"/>
      <c r="C1378" s="730"/>
      <c r="D1378" s="739"/>
      <c r="E1378" s="765"/>
      <c r="F1378" s="765"/>
      <c r="G1378" s="765"/>
      <c r="H1378" s="765"/>
      <c r="I1378" s="746" t="str">
        <f t="shared" si="64"/>
        <v/>
      </c>
      <c r="J1378" s="731"/>
      <c r="K1378" s="731" t="str">
        <f t="shared" si="63"/>
        <v/>
      </c>
      <c r="L1378" s="726"/>
      <c r="M1378" s="726"/>
      <c r="N1378" s="726"/>
      <c r="O1378" s="726"/>
      <c r="P1378" s="726"/>
      <c r="Q1378" s="726"/>
      <c r="R1378" s="726"/>
      <c r="S1378" s="726"/>
      <c r="T1378" s="726"/>
      <c r="U1378" s="726"/>
      <c r="V1378" s="726"/>
      <c r="W1378" s="726"/>
      <c r="X1378" s="726"/>
      <c r="Y1378" s="726"/>
      <c r="Z1378" s="726"/>
      <c r="AA1378" s="732"/>
      <c r="AB1378" s="732"/>
      <c r="AC1378" s="732"/>
      <c r="AD1378" s="732"/>
      <c r="AE1378" s="733"/>
      <c r="AF1378" s="734" t="str">
        <f t="shared" si="65"/>
        <v/>
      </c>
      <c r="AG1378" s="775"/>
      <c r="AH1378" s="779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36"/>
      <c r="AZ1378" s="36"/>
      <c r="BA1378" s="36"/>
      <c r="BB1378" s="36"/>
      <c r="BC1378" s="36"/>
      <c r="BD1378" s="36"/>
      <c r="BE1378" s="36"/>
      <c r="BF1378" s="36"/>
      <c r="BG1378" s="36"/>
      <c r="BH1378" s="36"/>
      <c r="BI1378" s="36"/>
      <c r="BJ1378" s="36"/>
      <c r="BK1378" s="36"/>
      <c r="BL1378" s="36"/>
    </row>
    <row r="1379" spans="1:64" ht="18.75" x14ac:dyDescent="0.25">
      <c r="A1379" s="758"/>
      <c r="B1379" s="737"/>
      <c r="C1379" s="730"/>
      <c r="D1379" s="739"/>
      <c r="E1379" s="765"/>
      <c r="F1379" s="765"/>
      <c r="G1379" s="765"/>
      <c r="H1379" s="765"/>
      <c r="I1379" s="746" t="str">
        <f t="shared" si="64"/>
        <v/>
      </c>
      <c r="J1379" s="731"/>
      <c r="K1379" s="731" t="str">
        <f t="shared" si="63"/>
        <v/>
      </c>
      <c r="L1379" s="726"/>
      <c r="M1379" s="726"/>
      <c r="N1379" s="726"/>
      <c r="O1379" s="726"/>
      <c r="P1379" s="726"/>
      <c r="Q1379" s="726"/>
      <c r="R1379" s="726"/>
      <c r="S1379" s="726"/>
      <c r="T1379" s="726"/>
      <c r="U1379" s="726"/>
      <c r="V1379" s="726"/>
      <c r="W1379" s="726"/>
      <c r="X1379" s="726"/>
      <c r="Y1379" s="726"/>
      <c r="Z1379" s="726"/>
      <c r="AA1379" s="732"/>
      <c r="AB1379" s="732"/>
      <c r="AC1379" s="732"/>
      <c r="AD1379" s="732"/>
      <c r="AE1379" s="733"/>
      <c r="AF1379" s="734" t="str">
        <f t="shared" si="65"/>
        <v/>
      </c>
      <c r="AG1379" s="773"/>
    </row>
    <row r="1380" spans="1:64" ht="18.75" x14ac:dyDescent="0.25">
      <c r="A1380" s="758"/>
      <c r="B1380" s="737"/>
      <c r="C1380" s="730"/>
      <c r="D1380" s="739"/>
      <c r="E1380" s="765"/>
      <c r="F1380" s="765"/>
      <c r="G1380" s="765"/>
      <c r="H1380" s="765"/>
      <c r="I1380" s="746" t="str">
        <f t="shared" si="64"/>
        <v/>
      </c>
      <c r="J1380" s="731"/>
      <c r="K1380" s="731" t="str">
        <f t="shared" si="63"/>
        <v/>
      </c>
      <c r="L1380" s="726"/>
      <c r="M1380" s="726"/>
      <c r="N1380" s="726"/>
      <c r="O1380" s="726"/>
      <c r="P1380" s="726"/>
      <c r="Q1380" s="726"/>
      <c r="R1380" s="726"/>
      <c r="S1380" s="726"/>
      <c r="T1380" s="726"/>
      <c r="U1380" s="726"/>
      <c r="V1380" s="726"/>
      <c r="W1380" s="726"/>
      <c r="X1380" s="726"/>
      <c r="Y1380" s="726"/>
      <c r="Z1380" s="726"/>
      <c r="AA1380" s="732"/>
      <c r="AB1380" s="732"/>
      <c r="AC1380" s="732"/>
      <c r="AD1380" s="732"/>
      <c r="AE1380" s="733"/>
      <c r="AF1380" s="734" t="str">
        <f t="shared" si="65"/>
        <v/>
      </c>
      <c r="AG1380" s="773"/>
    </row>
    <row r="1381" spans="1:64" ht="18.75" x14ac:dyDescent="0.25">
      <c r="A1381" s="758"/>
      <c r="B1381" s="737"/>
      <c r="C1381" s="730"/>
      <c r="D1381" s="739"/>
      <c r="E1381" s="765"/>
      <c r="F1381" s="765"/>
      <c r="G1381" s="765"/>
      <c r="H1381" s="765"/>
      <c r="I1381" s="746" t="str">
        <f t="shared" si="64"/>
        <v/>
      </c>
      <c r="J1381" s="731"/>
      <c r="K1381" s="731" t="str">
        <f t="shared" si="63"/>
        <v/>
      </c>
      <c r="L1381" s="726"/>
      <c r="M1381" s="726"/>
      <c r="N1381" s="726"/>
      <c r="O1381" s="726"/>
      <c r="P1381" s="726"/>
      <c r="Q1381" s="726"/>
      <c r="R1381" s="726"/>
      <c r="S1381" s="726"/>
      <c r="T1381" s="726"/>
      <c r="U1381" s="726"/>
      <c r="V1381" s="726"/>
      <c r="W1381" s="726"/>
      <c r="X1381" s="726"/>
      <c r="Y1381" s="726"/>
      <c r="Z1381" s="726"/>
      <c r="AA1381" s="732"/>
      <c r="AB1381" s="732"/>
      <c r="AC1381" s="732"/>
      <c r="AD1381" s="732"/>
      <c r="AE1381" s="733"/>
      <c r="AF1381" s="734" t="str">
        <f t="shared" si="65"/>
        <v/>
      </c>
      <c r="AG1381" s="773"/>
    </row>
    <row r="1382" spans="1:64" ht="18.75" x14ac:dyDescent="0.25">
      <c r="A1382" s="758"/>
      <c r="B1382" s="737"/>
      <c r="C1382" s="730"/>
      <c r="D1382" s="739"/>
      <c r="E1382" s="765"/>
      <c r="F1382" s="765"/>
      <c r="G1382" s="765"/>
      <c r="H1382" s="765"/>
      <c r="I1382" s="746" t="str">
        <f t="shared" si="64"/>
        <v/>
      </c>
      <c r="J1382" s="731"/>
      <c r="K1382" s="731" t="str">
        <f t="shared" si="63"/>
        <v/>
      </c>
      <c r="L1382" s="726"/>
      <c r="M1382" s="726"/>
      <c r="N1382" s="726"/>
      <c r="O1382" s="726"/>
      <c r="P1382" s="726"/>
      <c r="Q1382" s="726"/>
      <c r="R1382" s="726"/>
      <c r="S1382" s="726"/>
      <c r="T1382" s="726"/>
      <c r="U1382" s="726"/>
      <c r="V1382" s="726"/>
      <c r="W1382" s="726"/>
      <c r="X1382" s="726"/>
      <c r="Y1382" s="726"/>
      <c r="Z1382" s="726"/>
      <c r="AA1382" s="732"/>
      <c r="AB1382" s="732"/>
      <c r="AC1382" s="732"/>
      <c r="AD1382" s="732"/>
      <c r="AE1382" s="733"/>
      <c r="AF1382" s="734" t="str">
        <f t="shared" si="65"/>
        <v/>
      </c>
      <c r="AG1382" s="773"/>
    </row>
    <row r="1383" spans="1:64" ht="18.75" x14ac:dyDescent="0.25">
      <c r="A1383" s="758"/>
      <c r="B1383" s="737"/>
      <c r="C1383" s="730"/>
      <c r="D1383" s="739"/>
      <c r="E1383" s="765"/>
      <c r="F1383" s="765"/>
      <c r="G1383" s="765"/>
      <c r="H1383" s="765"/>
      <c r="I1383" s="746" t="str">
        <f t="shared" si="64"/>
        <v/>
      </c>
      <c r="J1383" s="731"/>
      <c r="K1383" s="731" t="str">
        <f t="shared" si="63"/>
        <v/>
      </c>
      <c r="L1383" s="726"/>
      <c r="M1383" s="726"/>
      <c r="N1383" s="726"/>
      <c r="O1383" s="726"/>
      <c r="P1383" s="726"/>
      <c r="Q1383" s="726"/>
      <c r="R1383" s="726"/>
      <c r="S1383" s="726"/>
      <c r="T1383" s="726"/>
      <c r="U1383" s="726"/>
      <c r="V1383" s="726"/>
      <c r="W1383" s="726"/>
      <c r="X1383" s="726"/>
      <c r="Y1383" s="726"/>
      <c r="Z1383" s="726"/>
      <c r="AA1383" s="732"/>
      <c r="AB1383" s="732"/>
      <c r="AC1383" s="732"/>
      <c r="AD1383" s="732"/>
      <c r="AE1383" s="733"/>
      <c r="AF1383" s="734" t="str">
        <f t="shared" si="65"/>
        <v/>
      </c>
      <c r="AG1383" s="773"/>
    </row>
    <row r="1384" spans="1:64" ht="18.75" x14ac:dyDescent="0.25">
      <c r="A1384" s="758"/>
      <c r="B1384" s="737"/>
      <c r="C1384" s="730"/>
      <c r="D1384" s="739"/>
      <c r="E1384" s="765"/>
      <c r="F1384" s="765"/>
      <c r="G1384" s="765"/>
      <c r="H1384" s="765"/>
      <c r="I1384" s="746" t="str">
        <f t="shared" si="64"/>
        <v/>
      </c>
      <c r="J1384" s="731"/>
      <c r="K1384" s="731" t="str">
        <f t="shared" si="63"/>
        <v/>
      </c>
      <c r="L1384" s="726"/>
      <c r="M1384" s="726"/>
      <c r="N1384" s="726"/>
      <c r="O1384" s="726"/>
      <c r="P1384" s="726"/>
      <c r="Q1384" s="726"/>
      <c r="R1384" s="726"/>
      <c r="S1384" s="726"/>
      <c r="T1384" s="726"/>
      <c r="U1384" s="726"/>
      <c r="V1384" s="726"/>
      <c r="W1384" s="726"/>
      <c r="X1384" s="726"/>
      <c r="Y1384" s="726"/>
      <c r="Z1384" s="726"/>
      <c r="AA1384" s="732"/>
      <c r="AB1384" s="732"/>
      <c r="AC1384" s="732"/>
      <c r="AD1384" s="732"/>
      <c r="AE1384" s="733"/>
      <c r="AF1384" s="734" t="str">
        <f t="shared" si="65"/>
        <v/>
      </c>
      <c r="AG1384" s="773"/>
    </row>
    <row r="1385" spans="1:64" ht="18.75" x14ac:dyDescent="0.25">
      <c r="A1385" s="758"/>
      <c r="B1385" s="737"/>
      <c r="C1385" s="730"/>
      <c r="D1385" s="739"/>
      <c r="E1385" s="765"/>
      <c r="F1385" s="765"/>
      <c r="G1385" s="765"/>
      <c r="H1385" s="765"/>
      <c r="I1385" s="746" t="str">
        <f t="shared" si="64"/>
        <v/>
      </c>
      <c r="J1385" s="731"/>
      <c r="K1385" s="731" t="str">
        <f t="shared" si="63"/>
        <v/>
      </c>
      <c r="L1385" s="726"/>
      <c r="M1385" s="726"/>
      <c r="N1385" s="726"/>
      <c r="O1385" s="726"/>
      <c r="P1385" s="726"/>
      <c r="Q1385" s="726"/>
      <c r="R1385" s="726"/>
      <c r="S1385" s="726"/>
      <c r="T1385" s="726"/>
      <c r="U1385" s="726"/>
      <c r="V1385" s="726"/>
      <c r="W1385" s="726"/>
      <c r="X1385" s="726"/>
      <c r="Y1385" s="726"/>
      <c r="Z1385" s="726"/>
      <c r="AA1385" s="732"/>
      <c r="AB1385" s="732"/>
      <c r="AC1385" s="732"/>
      <c r="AD1385" s="732"/>
      <c r="AE1385" s="733"/>
      <c r="AF1385" s="734" t="str">
        <f t="shared" si="65"/>
        <v/>
      </c>
      <c r="AG1385" s="775"/>
      <c r="AH1385" s="779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E1385" s="36"/>
      <c r="BF1385" s="36"/>
      <c r="BG1385" s="36"/>
      <c r="BH1385" s="36"/>
      <c r="BI1385" s="36"/>
      <c r="BJ1385" s="36"/>
      <c r="BK1385" s="36"/>
      <c r="BL1385" s="36"/>
    </row>
    <row r="1386" spans="1:64" ht="18.75" x14ac:dyDescent="0.25">
      <c r="A1386" s="758"/>
      <c r="B1386" s="737"/>
      <c r="C1386" s="730"/>
      <c r="D1386" s="739"/>
      <c r="E1386" s="765"/>
      <c r="F1386" s="765"/>
      <c r="G1386" s="765"/>
      <c r="H1386" s="765"/>
      <c r="I1386" s="746" t="str">
        <f t="shared" si="64"/>
        <v/>
      </c>
      <c r="J1386" s="731"/>
      <c r="K1386" s="731" t="str">
        <f t="shared" si="63"/>
        <v/>
      </c>
      <c r="L1386" s="726"/>
      <c r="M1386" s="726"/>
      <c r="N1386" s="726"/>
      <c r="O1386" s="726"/>
      <c r="P1386" s="726"/>
      <c r="Q1386" s="726"/>
      <c r="R1386" s="726"/>
      <c r="S1386" s="726"/>
      <c r="T1386" s="726"/>
      <c r="U1386" s="726"/>
      <c r="V1386" s="726"/>
      <c r="W1386" s="726"/>
      <c r="X1386" s="726"/>
      <c r="Y1386" s="726"/>
      <c r="Z1386" s="726"/>
      <c r="AA1386" s="732"/>
      <c r="AB1386" s="732"/>
      <c r="AC1386" s="732"/>
      <c r="AD1386" s="732"/>
      <c r="AE1386" s="733"/>
      <c r="AF1386" s="734" t="str">
        <f t="shared" si="65"/>
        <v/>
      </c>
      <c r="AG1386" s="773"/>
    </row>
    <row r="1387" spans="1:64" ht="18.75" x14ac:dyDescent="0.25">
      <c r="A1387" s="758"/>
      <c r="B1387" s="737"/>
      <c r="C1387" s="730"/>
      <c r="D1387" s="739"/>
      <c r="E1387" s="765"/>
      <c r="F1387" s="765"/>
      <c r="G1387" s="765"/>
      <c r="H1387" s="765"/>
      <c r="I1387" s="746" t="str">
        <f t="shared" si="64"/>
        <v/>
      </c>
      <c r="J1387" s="731"/>
      <c r="K1387" s="731" t="str">
        <f t="shared" si="63"/>
        <v/>
      </c>
      <c r="L1387" s="726"/>
      <c r="M1387" s="726"/>
      <c r="N1387" s="726"/>
      <c r="O1387" s="726"/>
      <c r="P1387" s="726"/>
      <c r="Q1387" s="726"/>
      <c r="R1387" s="726"/>
      <c r="S1387" s="726"/>
      <c r="T1387" s="726"/>
      <c r="U1387" s="726"/>
      <c r="V1387" s="726"/>
      <c r="W1387" s="726"/>
      <c r="X1387" s="726"/>
      <c r="Y1387" s="726"/>
      <c r="Z1387" s="726"/>
      <c r="AA1387" s="732"/>
      <c r="AB1387" s="732"/>
      <c r="AC1387" s="732"/>
      <c r="AD1387" s="732"/>
      <c r="AE1387" s="733"/>
      <c r="AF1387" s="734" t="str">
        <f t="shared" si="65"/>
        <v/>
      </c>
      <c r="AG1387" s="773"/>
    </row>
    <row r="1388" spans="1:64" ht="18.75" x14ac:dyDescent="0.25">
      <c r="A1388" s="758"/>
      <c r="B1388" s="737"/>
      <c r="C1388" s="730"/>
      <c r="D1388" s="739"/>
      <c r="E1388" s="765"/>
      <c r="F1388" s="765"/>
      <c r="G1388" s="765"/>
      <c r="H1388" s="765"/>
      <c r="I1388" s="746" t="str">
        <f t="shared" si="64"/>
        <v/>
      </c>
      <c r="J1388" s="731"/>
      <c r="K1388" s="731" t="str">
        <f t="shared" si="63"/>
        <v/>
      </c>
      <c r="L1388" s="726"/>
      <c r="M1388" s="726"/>
      <c r="N1388" s="726"/>
      <c r="O1388" s="726"/>
      <c r="P1388" s="726"/>
      <c r="Q1388" s="726"/>
      <c r="R1388" s="726"/>
      <c r="S1388" s="726"/>
      <c r="T1388" s="726"/>
      <c r="U1388" s="726"/>
      <c r="V1388" s="726"/>
      <c r="W1388" s="726"/>
      <c r="X1388" s="726"/>
      <c r="Y1388" s="726"/>
      <c r="Z1388" s="726"/>
      <c r="AA1388" s="732"/>
      <c r="AB1388" s="732"/>
      <c r="AC1388" s="732"/>
      <c r="AD1388" s="732"/>
      <c r="AE1388" s="733"/>
      <c r="AF1388" s="734" t="str">
        <f t="shared" si="65"/>
        <v/>
      </c>
      <c r="AG1388" s="773"/>
    </row>
    <row r="1389" spans="1:64" ht="18.75" x14ac:dyDescent="0.25">
      <c r="A1389" s="758"/>
      <c r="B1389" s="737"/>
      <c r="C1389" s="730"/>
      <c r="D1389" s="739"/>
      <c r="E1389" s="765"/>
      <c r="F1389" s="765"/>
      <c r="G1389" s="765"/>
      <c r="H1389" s="765"/>
      <c r="I1389" s="746" t="str">
        <f t="shared" si="64"/>
        <v/>
      </c>
      <c r="J1389" s="731"/>
      <c r="K1389" s="731" t="str">
        <f t="shared" si="63"/>
        <v/>
      </c>
      <c r="L1389" s="726"/>
      <c r="M1389" s="726"/>
      <c r="N1389" s="726"/>
      <c r="O1389" s="726"/>
      <c r="P1389" s="726"/>
      <c r="Q1389" s="726"/>
      <c r="R1389" s="726"/>
      <c r="S1389" s="726"/>
      <c r="T1389" s="726"/>
      <c r="U1389" s="726"/>
      <c r="V1389" s="726"/>
      <c r="W1389" s="726"/>
      <c r="X1389" s="726"/>
      <c r="Y1389" s="726"/>
      <c r="Z1389" s="726"/>
      <c r="AA1389" s="732"/>
      <c r="AB1389" s="732"/>
      <c r="AC1389" s="732"/>
      <c r="AD1389" s="732"/>
      <c r="AE1389" s="733"/>
      <c r="AF1389" s="734" t="str">
        <f t="shared" si="65"/>
        <v/>
      </c>
      <c r="AG1389" s="773"/>
    </row>
    <row r="1390" spans="1:64" ht="18.75" x14ac:dyDescent="0.25">
      <c r="A1390" s="758"/>
      <c r="B1390" s="737"/>
      <c r="C1390" s="730"/>
      <c r="D1390" s="739"/>
      <c r="E1390" s="765"/>
      <c r="F1390" s="765"/>
      <c r="G1390" s="765"/>
      <c r="H1390" s="765"/>
      <c r="I1390" s="746" t="str">
        <f t="shared" si="64"/>
        <v/>
      </c>
      <c r="J1390" s="731"/>
      <c r="K1390" s="731" t="str">
        <f t="shared" si="63"/>
        <v/>
      </c>
      <c r="L1390" s="726"/>
      <c r="M1390" s="726"/>
      <c r="N1390" s="726"/>
      <c r="O1390" s="726"/>
      <c r="P1390" s="726"/>
      <c r="Q1390" s="726"/>
      <c r="R1390" s="726"/>
      <c r="S1390" s="726"/>
      <c r="T1390" s="726"/>
      <c r="U1390" s="726"/>
      <c r="V1390" s="726"/>
      <c r="W1390" s="726"/>
      <c r="X1390" s="726"/>
      <c r="Y1390" s="726"/>
      <c r="Z1390" s="726"/>
      <c r="AA1390" s="732"/>
      <c r="AB1390" s="732"/>
      <c r="AC1390" s="732"/>
      <c r="AD1390" s="732"/>
      <c r="AE1390" s="733"/>
      <c r="AF1390" s="734" t="str">
        <f t="shared" si="65"/>
        <v/>
      </c>
      <c r="AG1390" s="773"/>
    </row>
    <row r="1391" spans="1:64" ht="18.75" x14ac:dyDescent="0.25">
      <c r="A1391" s="758"/>
      <c r="B1391" s="737"/>
      <c r="C1391" s="730"/>
      <c r="D1391" s="739"/>
      <c r="E1391" s="765"/>
      <c r="F1391" s="765"/>
      <c r="G1391" s="765"/>
      <c r="H1391" s="765"/>
      <c r="I1391" s="746" t="str">
        <f t="shared" si="64"/>
        <v/>
      </c>
      <c r="J1391" s="731"/>
      <c r="K1391" s="731" t="str">
        <f t="shared" si="63"/>
        <v/>
      </c>
      <c r="L1391" s="726"/>
      <c r="M1391" s="726"/>
      <c r="N1391" s="726"/>
      <c r="O1391" s="726"/>
      <c r="P1391" s="726"/>
      <c r="Q1391" s="726"/>
      <c r="R1391" s="726"/>
      <c r="S1391" s="726"/>
      <c r="T1391" s="726"/>
      <c r="U1391" s="726"/>
      <c r="V1391" s="726"/>
      <c r="W1391" s="726"/>
      <c r="X1391" s="726"/>
      <c r="Y1391" s="726"/>
      <c r="Z1391" s="726"/>
      <c r="AA1391" s="732"/>
      <c r="AB1391" s="732"/>
      <c r="AC1391" s="732"/>
      <c r="AD1391" s="732"/>
      <c r="AE1391" s="733"/>
      <c r="AF1391" s="734" t="str">
        <f t="shared" si="65"/>
        <v/>
      </c>
      <c r="AG1391" s="773"/>
    </row>
    <row r="1392" spans="1:64" ht="19.5" customHeight="1" x14ac:dyDescent="0.25">
      <c r="A1392" s="758"/>
      <c r="B1392" s="737"/>
      <c r="C1392" s="730"/>
      <c r="D1392" s="739"/>
      <c r="E1392" s="765"/>
      <c r="F1392" s="765"/>
      <c r="G1392" s="765"/>
      <c r="H1392" s="765"/>
      <c r="I1392" s="746" t="str">
        <f t="shared" si="64"/>
        <v/>
      </c>
      <c r="J1392" s="731"/>
      <c r="K1392" s="731" t="str">
        <f t="shared" si="63"/>
        <v/>
      </c>
      <c r="L1392" s="726"/>
      <c r="M1392" s="726"/>
      <c r="N1392" s="726"/>
      <c r="O1392" s="726"/>
      <c r="P1392" s="726"/>
      <c r="Q1392" s="726"/>
      <c r="R1392" s="726"/>
      <c r="S1392" s="726"/>
      <c r="T1392" s="726"/>
      <c r="U1392" s="726"/>
      <c r="V1392" s="726"/>
      <c r="W1392" s="726"/>
      <c r="X1392" s="726"/>
      <c r="Y1392" s="726"/>
      <c r="Z1392" s="726"/>
      <c r="AA1392" s="732"/>
      <c r="AB1392" s="732"/>
      <c r="AC1392" s="732"/>
      <c r="AD1392" s="732"/>
      <c r="AE1392" s="733"/>
      <c r="AF1392" s="734" t="str">
        <f t="shared" si="65"/>
        <v/>
      </c>
      <c r="AG1392" s="775"/>
      <c r="AH1392" s="779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  <c r="AW1392" s="36"/>
      <c r="AX1392" s="36"/>
      <c r="AY1392" s="36"/>
      <c r="AZ1392" s="36"/>
      <c r="BA1392" s="36"/>
      <c r="BB1392" s="36"/>
      <c r="BC1392" s="36"/>
      <c r="BD1392" s="36"/>
      <c r="BE1392" s="36"/>
      <c r="BF1392" s="36"/>
      <c r="BG1392" s="36"/>
      <c r="BH1392" s="36"/>
      <c r="BI1392" s="36"/>
      <c r="BJ1392" s="36"/>
      <c r="BK1392" s="36"/>
      <c r="BL1392" s="36"/>
    </row>
    <row r="1393" spans="1:64" ht="19.5" customHeight="1" x14ac:dyDescent="0.25">
      <c r="A1393" s="758"/>
      <c r="B1393" s="737"/>
      <c r="C1393" s="730"/>
      <c r="D1393" s="739"/>
      <c r="E1393" s="765"/>
      <c r="F1393" s="765"/>
      <c r="G1393" s="765"/>
      <c r="H1393" s="765"/>
      <c r="I1393" s="746" t="str">
        <f t="shared" si="64"/>
        <v/>
      </c>
      <c r="J1393" s="731"/>
      <c r="K1393" s="731" t="str">
        <f t="shared" si="63"/>
        <v/>
      </c>
      <c r="L1393" s="726"/>
      <c r="M1393" s="726"/>
      <c r="N1393" s="726"/>
      <c r="O1393" s="726"/>
      <c r="P1393" s="726"/>
      <c r="Q1393" s="726"/>
      <c r="R1393" s="726"/>
      <c r="S1393" s="726"/>
      <c r="T1393" s="726"/>
      <c r="U1393" s="726"/>
      <c r="V1393" s="726"/>
      <c r="W1393" s="726"/>
      <c r="X1393" s="726"/>
      <c r="Y1393" s="726"/>
      <c r="Z1393" s="726"/>
      <c r="AA1393" s="732"/>
      <c r="AB1393" s="732"/>
      <c r="AC1393" s="732"/>
      <c r="AD1393" s="732"/>
      <c r="AE1393" s="733"/>
      <c r="AF1393" s="734" t="str">
        <f t="shared" si="65"/>
        <v/>
      </c>
      <c r="AG1393" s="775"/>
      <c r="AH1393" s="779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  <c r="AW1393" s="36"/>
      <c r="AX1393" s="36"/>
      <c r="AY1393" s="36"/>
      <c r="AZ1393" s="36"/>
      <c r="BA1393" s="36"/>
      <c r="BB1393" s="36"/>
      <c r="BC1393" s="36"/>
      <c r="BD1393" s="36"/>
      <c r="BE1393" s="36"/>
      <c r="BF1393" s="36"/>
      <c r="BG1393" s="36"/>
      <c r="BH1393" s="36"/>
      <c r="BI1393" s="36"/>
      <c r="BJ1393" s="36"/>
      <c r="BK1393" s="36"/>
      <c r="BL1393" s="36"/>
    </row>
    <row r="1394" spans="1:64" ht="18.75" x14ac:dyDescent="0.25">
      <c r="A1394" s="758"/>
      <c r="B1394" s="737"/>
      <c r="C1394" s="730"/>
      <c r="D1394" s="739"/>
      <c r="E1394" s="765"/>
      <c r="F1394" s="765"/>
      <c r="G1394" s="765"/>
      <c r="H1394" s="765"/>
      <c r="I1394" s="746" t="str">
        <f t="shared" si="64"/>
        <v/>
      </c>
      <c r="J1394" s="731"/>
      <c r="K1394" s="731" t="str">
        <f t="shared" si="63"/>
        <v/>
      </c>
      <c r="L1394" s="726"/>
      <c r="M1394" s="726"/>
      <c r="N1394" s="726"/>
      <c r="O1394" s="726"/>
      <c r="P1394" s="726"/>
      <c r="Q1394" s="726"/>
      <c r="R1394" s="726"/>
      <c r="S1394" s="726"/>
      <c r="T1394" s="726"/>
      <c r="U1394" s="726"/>
      <c r="V1394" s="726"/>
      <c r="W1394" s="726"/>
      <c r="X1394" s="726"/>
      <c r="Y1394" s="726"/>
      <c r="Z1394" s="726"/>
      <c r="AA1394" s="732"/>
      <c r="AB1394" s="732"/>
      <c r="AC1394" s="732"/>
      <c r="AD1394" s="732"/>
      <c r="AE1394" s="733"/>
      <c r="AF1394" s="734" t="str">
        <f t="shared" si="65"/>
        <v/>
      </c>
      <c r="AG1394" s="773"/>
    </row>
    <row r="1395" spans="1:64" ht="18.75" x14ac:dyDescent="0.25">
      <c r="A1395" s="758"/>
      <c r="B1395" s="737"/>
      <c r="C1395" s="730"/>
      <c r="D1395" s="739"/>
      <c r="E1395" s="765"/>
      <c r="F1395" s="765"/>
      <c r="G1395" s="765"/>
      <c r="H1395" s="765"/>
      <c r="I1395" s="746" t="str">
        <f t="shared" si="64"/>
        <v/>
      </c>
      <c r="J1395" s="731"/>
      <c r="K1395" s="731" t="str">
        <f t="shared" si="63"/>
        <v/>
      </c>
      <c r="L1395" s="726"/>
      <c r="M1395" s="726"/>
      <c r="N1395" s="726"/>
      <c r="O1395" s="726"/>
      <c r="P1395" s="726"/>
      <c r="Q1395" s="726"/>
      <c r="R1395" s="726"/>
      <c r="S1395" s="726"/>
      <c r="T1395" s="726"/>
      <c r="U1395" s="726"/>
      <c r="V1395" s="726"/>
      <c r="W1395" s="726"/>
      <c r="X1395" s="726"/>
      <c r="Y1395" s="726"/>
      <c r="Z1395" s="726"/>
      <c r="AA1395" s="732"/>
      <c r="AB1395" s="732"/>
      <c r="AC1395" s="732"/>
      <c r="AD1395" s="732"/>
      <c r="AE1395" s="733"/>
      <c r="AF1395" s="734" t="str">
        <f t="shared" si="65"/>
        <v/>
      </c>
      <c r="AG1395" s="773"/>
    </row>
    <row r="1396" spans="1:64" ht="18.75" x14ac:dyDescent="0.25">
      <c r="A1396" s="758"/>
      <c r="B1396" s="737"/>
      <c r="C1396" s="730"/>
      <c r="D1396" s="739"/>
      <c r="E1396" s="765"/>
      <c r="F1396" s="765"/>
      <c r="G1396" s="765"/>
      <c r="H1396" s="765"/>
      <c r="I1396" s="746" t="str">
        <f t="shared" si="64"/>
        <v/>
      </c>
      <c r="J1396" s="731"/>
      <c r="K1396" s="731" t="str">
        <f t="shared" si="63"/>
        <v/>
      </c>
      <c r="L1396" s="726"/>
      <c r="M1396" s="726"/>
      <c r="N1396" s="726"/>
      <c r="O1396" s="726"/>
      <c r="P1396" s="726"/>
      <c r="Q1396" s="726"/>
      <c r="R1396" s="726"/>
      <c r="S1396" s="726"/>
      <c r="T1396" s="726"/>
      <c r="U1396" s="726"/>
      <c r="V1396" s="726"/>
      <c r="W1396" s="726"/>
      <c r="X1396" s="726"/>
      <c r="Y1396" s="726"/>
      <c r="Z1396" s="726"/>
      <c r="AA1396" s="732"/>
      <c r="AB1396" s="732"/>
      <c r="AC1396" s="732"/>
      <c r="AD1396" s="732"/>
      <c r="AE1396" s="733"/>
      <c r="AF1396" s="734" t="str">
        <f t="shared" si="65"/>
        <v/>
      </c>
      <c r="AG1396" s="773"/>
    </row>
    <row r="1397" spans="1:64" ht="18.75" x14ac:dyDescent="0.25">
      <c r="A1397" s="758"/>
      <c r="B1397" s="737"/>
      <c r="C1397" s="730"/>
      <c r="D1397" s="739"/>
      <c r="E1397" s="765"/>
      <c r="F1397" s="765"/>
      <c r="G1397" s="765"/>
      <c r="H1397" s="765"/>
      <c r="I1397" s="746" t="str">
        <f t="shared" si="64"/>
        <v/>
      </c>
      <c r="J1397" s="731"/>
      <c r="K1397" s="731" t="str">
        <f t="shared" si="63"/>
        <v/>
      </c>
      <c r="L1397" s="726"/>
      <c r="M1397" s="726"/>
      <c r="N1397" s="726"/>
      <c r="O1397" s="726"/>
      <c r="P1397" s="726"/>
      <c r="Q1397" s="726"/>
      <c r="R1397" s="726"/>
      <c r="S1397" s="726"/>
      <c r="T1397" s="726"/>
      <c r="U1397" s="726"/>
      <c r="V1397" s="726"/>
      <c r="W1397" s="726"/>
      <c r="X1397" s="726"/>
      <c r="Y1397" s="726"/>
      <c r="Z1397" s="726"/>
      <c r="AA1397" s="732"/>
      <c r="AB1397" s="732"/>
      <c r="AC1397" s="732"/>
      <c r="AD1397" s="732"/>
      <c r="AE1397" s="733"/>
      <c r="AF1397" s="734" t="str">
        <f t="shared" si="65"/>
        <v/>
      </c>
      <c r="AG1397" s="773"/>
    </row>
    <row r="1398" spans="1:64" ht="18.75" x14ac:dyDescent="0.25">
      <c r="A1398" s="758"/>
      <c r="B1398" s="737"/>
      <c r="C1398" s="730"/>
      <c r="D1398" s="739"/>
      <c r="E1398" s="765"/>
      <c r="F1398" s="765"/>
      <c r="G1398" s="765"/>
      <c r="H1398" s="765"/>
      <c r="I1398" s="746" t="str">
        <f t="shared" si="64"/>
        <v/>
      </c>
      <c r="J1398" s="731"/>
      <c r="K1398" s="731" t="str">
        <f t="shared" si="63"/>
        <v/>
      </c>
      <c r="L1398" s="726"/>
      <c r="M1398" s="726"/>
      <c r="N1398" s="726"/>
      <c r="O1398" s="726"/>
      <c r="P1398" s="726"/>
      <c r="Q1398" s="726"/>
      <c r="R1398" s="726"/>
      <c r="S1398" s="726"/>
      <c r="T1398" s="726"/>
      <c r="U1398" s="726"/>
      <c r="V1398" s="726"/>
      <c r="W1398" s="726"/>
      <c r="X1398" s="726"/>
      <c r="Y1398" s="726"/>
      <c r="Z1398" s="726"/>
      <c r="AA1398" s="732"/>
      <c r="AB1398" s="732"/>
      <c r="AC1398" s="732"/>
      <c r="AD1398" s="732"/>
      <c r="AE1398" s="733"/>
      <c r="AF1398" s="734" t="str">
        <f t="shared" si="65"/>
        <v/>
      </c>
      <c r="AG1398" s="773"/>
    </row>
    <row r="1399" spans="1:64" ht="18.75" x14ac:dyDescent="0.25">
      <c r="A1399" s="758"/>
      <c r="B1399" s="737"/>
      <c r="C1399" s="730"/>
      <c r="D1399" s="739"/>
      <c r="E1399" s="765"/>
      <c r="F1399" s="765"/>
      <c r="G1399" s="765"/>
      <c r="H1399" s="765"/>
      <c r="I1399" s="746" t="str">
        <f t="shared" si="64"/>
        <v/>
      </c>
      <c r="J1399" s="731"/>
      <c r="K1399" s="731" t="str">
        <f t="shared" si="63"/>
        <v/>
      </c>
      <c r="L1399" s="726"/>
      <c r="M1399" s="726"/>
      <c r="N1399" s="726"/>
      <c r="O1399" s="726"/>
      <c r="P1399" s="726"/>
      <c r="Q1399" s="726"/>
      <c r="R1399" s="726"/>
      <c r="S1399" s="726"/>
      <c r="T1399" s="726"/>
      <c r="U1399" s="726"/>
      <c r="V1399" s="726"/>
      <c r="W1399" s="726"/>
      <c r="X1399" s="726"/>
      <c r="Y1399" s="726"/>
      <c r="Z1399" s="726"/>
      <c r="AA1399" s="732"/>
      <c r="AB1399" s="732"/>
      <c r="AC1399" s="732"/>
      <c r="AD1399" s="732"/>
      <c r="AE1399" s="733"/>
      <c r="AF1399" s="734" t="str">
        <f t="shared" si="65"/>
        <v/>
      </c>
      <c r="AG1399" s="773"/>
    </row>
    <row r="1400" spans="1:64" ht="18.75" x14ac:dyDescent="0.25">
      <c r="A1400" s="758"/>
      <c r="B1400" s="737"/>
      <c r="C1400" s="730"/>
      <c r="D1400" s="739"/>
      <c r="E1400" s="765"/>
      <c r="F1400" s="765"/>
      <c r="G1400" s="765"/>
      <c r="H1400" s="765"/>
      <c r="I1400" s="746" t="str">
        <f t="shared" si="64"/>
        <v/>
      </c>
      <c r="J1400" s="731"/>
      <c r="K1400" s="731" t="str">
        <f t="shared" si="63"/>
        <v/>
      </c>
      <c r="L1400" s="726"/>
      <c r="M1400" s="726"/>
      <c r="N1400" s="726"/>
      <c r="O1400" s="726"/>
      <c r="P1400" s="726"/>
      <c r="Q1400" s="726"/>
      <c r="R1400" s="726"/>
      <c r="S1400" s="726"/>
      <c r="T1400" s="726"/>
      <c r="U1400" s="726"/>
      <c r="V1400" s="726"/>
      <c r="W1400" s="726"/>
      <c r="X1400" s="726"/>
      <c r="Y1400" s="726"/>
      <c r="Z1400" s="726"/>
      <c r="AA1400" s="732"/>
      <c r="AB1400" s="732"/>
      <c r="AC1400" s="732"/>
      <c r="AD1400" s="732"/>
      <c r="AE1400" s="733"/>
      <c r="AF1400" s="734" t="str">
        <f t="shared" si="65"/>
        <v/>
      </c>
      <c r="AG1400" s="775"/>
      <c r="AH1400" s="779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36"/>
      <c r="BA1400" s="36"/>
      <c r="BB1400" s="36"/>
      <c r="BC1400" s="36"/>
      <c r="BD1400" s="36"/>
      <c r="BE1400" s="36"/>
      <c r="BF1400" s="36"/>
      <c r="BG1400" s="36"/>
      <c r="BH1400" s="36"/>
      <c r="BI1400" s="36"/>
      <c r="BJ1400" s="36"/>
      <c r="BK1400" s="36"/>
      <c r="BL1400" s="36"/>
    </row>
    <row r="1401" spans="1:64" ht="18.75" x14ac:dyDescent="0.25">
      <c r="A1401" s="758"/>
      <c r="B1401" s="737"/>
      <c r="C1401" s="730"/>
      <c r="D1401" s="739"/>
      <c r="E1401" s="765"/>
      <c r="F1401" s="765"/>
      <c r="G1401" s="765"/>
      <c r="H1401" s="765"/>
      <c r="I1401" s="746" t="str">
        <f t="shared" si="64"/>
        <v/>
      </c>
      <c r="J1401" s="731"/>
      <c r="K1401" s="731" t="str">
        <f t="shared" si="63"/>
        <v/>
      </c>
      <c r="L1401" s="726"/>
      <c r="M1401" s="726"/>
      <c r="N1401" s="726"/>
      <c r="O1401" s="726"/>
      <c r="P1401" s="726"/>
      <c r="Q1401" s="726"/>
      <c r="R1401" s="726"/>
      <c r="S1401" s="726"/>
      <c r="T1401" s="726"/>
      <c r="U1401" s="726"/>
      <c r="V1401" s="726"/>
      <c r="W1401" s="726"/>
      <c r="X1401" s="726"/>
      <c r="Y1401" s="726"/>
      <c r="Z1401" s="726"/>
      <c r="AA1401" s="732"/>
      <c r="AB1401" s="732"/>
      <c r="AC1401" s="732"/>
      <c r="AD1401" s="732"/>
      <c r="AE1401" s="733"/>
      <c r="AF1401" s="734" t="str">
        <f t="shared" si="65"/>
        <v/>
      </c>
      <c r="AG1401" s="773"/>
    </row>
    <row r="1402" spans="1:64" ht="18.75" x14ac:dyDescent="0.25">
      <c r="A1402" s="758"/>
      <c r="B1402" s="737"/>
      <c r="C1402" s="730"/>
      <c r="D1402" s="739"/>
      <c r="E1402" s="765"/>
      <c r="F1402" s="765"/>
      <c r="G1402" s="765"/>
      <c r="H1402" s="765"/>
      <c r="I1402" s="746" t="str">
        <f t="shared" si="64"/>
        <v/>
      </c>
      <c r="J1402" s="731"/>
      <c r="K1402" s="731" t="str">
        <f t="shared" si="63"/>
        <v/>
      </c>
      <c r="L1402" s="726"/>
      <c r="M1402" s="726"/>
      <c r="N1402" s="726"/>
      <c r="O1402" s="726"/>
      <c r="P1402" s="726"/>
      <c r="Q1402" s="726"/>
      <c r="R1402" s="726"/>
      <c r="S1402" s="726"/>
      <c r="T1402" s="726"/>
      <c r="U1402" s="726"/>
      <c r="V1402" s="726"/>
      <c r="W1402" s="726"/>
      <c r="X1402" s="726"/>
      <c r="Y1402" s="726"/>
      <c r="Z1402" s="726"/>
      <c r="AA1402" s="732"/>
      <c r="AB1402" s="732"/>
      <c r="AC1402" s="732"/>
      <c r="AD1402" s="732"/>
      <c r="AE1402" s="733"/>
      <c r="AF1402" s="734" t="str">
        <f t="shared" si="65"/>
        <v/>
      </c>
      <c r="AG1402" s="773"/>
    </row>
    <row r="1403" spans="1:64" ht="18.75" x14ac:dyDescent="0.25">
      <c r="A1403" s="758"/>
      <c r="B1403" s="737"/>
      <c r="C1403" s="730"/>
      <c r="D1403" s="739"/>
      <c r="E1403" s="765"/>
      <c r="F1403" s="765"/>
      <c r="G1403" s="765"/>
      <c r="H1403" s="765"/>
      <c r="I1403" s="746" t="str">
        <f t="shared" si="64"/>
        <v/>
      </c>
      <c r="J1403" s="731"/>
      <c r="K1403" s="731" t="str">
        <f t="shared" si="63"/>
        <v/>
      </c>
      <c r="L1403" s="726"/>
      <c r="M1403" s="726"/>
      <c r="N1403" s="726"/>
      <c r="O1403" s="726"/>
      <c r="P1403" s="726"/>
      <c r="Q1403" s="726"/>
      <c r="R1403" s="726"/>
      <c r="S1403" s="726"/>
      <c r="T1403" s="726"/>
      <c r="U1403" s="726"/>
      <c r="V1403" s="726"/>
      <c r="W1403" s="726"/>
      <c r="X1403" s="726"/>
      <c r="Y1403" s="726"/>
      <c r="Z1403" s="726"/>
      <c r="AA1403" s="732"/>
      <c r="AB1403" s="732"/>
      <c r="AC1403" s="732"/>
      <c r="AD1403" s="732"/>
      <c r="AE1403" s="733"/>
      <c r="AF1403" s="734" t="str">
        <f t="shared" si="65"/>
        <v/>
      </c>
      <c r="AG1403" s="773"/>
    </row>
    <row r="1404" spans="1:64" ht="18.75" x14ac:dyDescent="0.25">
      <c r="A1404" s="758"/>
      <c r="B1404" s="737"/>
      <c r="C1404" s="730"/>
      <c r="D1404" s="739"/>
      <c r="E1404" s="765"/>
      <c r="F1404" s="765"/>
      <c r="G1404" s="765"/>
      <c r="H1404" s="765"/>
      <c r="I1404" s="746" t="str">
        <f t="shared" si="64"/>
        <v/>
      </c>
      <c r="J1404" s="731"/>
      <c r="K1404" s="731" t="str">
        <f t="shared" si="63"/>
        <v/>
      </c>
      <c r="L1404" s="726"/>
      <c r="M1404" s="726"/>
      <c r="N1404" s="726"/>
      <c r="O1404" s="726"/>
      <c r="P1404" s="726"/>
      <c r="Q1404" s="726"/>
      <c r="R1404" s="726"/>
      <c r="S1404" s="726"/>
      <c r="T1404" s="726"/>
      <c r="U1404" s="726"/>
      <c r="V1404" s="726"/>
      <c r="W1404" s="726"/>
      <c r="X1404" s="726"/>
      <c r="Y1404" s="726"/>
      <c r="Z1404" s="726"/>
      <c r="AA1404" s="732"/>
      <c r="AB1404" s="732"/>
      <c r="AC1404" s="732"/>
      <c r="AD1404" s="732"/>
      <c r="AE1404" s="733"/>
      <c r="AF1404" s="734" t="str">
        <f t="shared" si="65"/>
        <v/>
      </c>
      <c r="AG1404" s="773"/>
    </row>
    <row r="1405" spans="1:64" ht="18.75" x14ac:dyDescent="0.25">
      <c r="A1405" s="758"/>
      <c r="B1405" s="737"/>
      <c r="C1405" s="730"/>
      <c r="D1405" s="739"/>
      <c r="E1405" s="765"/>
      <c r="F1405" s="765"/>
      <c r="G1405" s="765"/>
      <c r="H1405" s="765"/>
      <c r="I1405" s="746" t="str">
        <f t="shared" si="64"/>
        <v/>
      </c>
      <c r="J1405" s="731"/>
      <c r="K1405" s="731" t="str">
        <f t="shared" si="63"/>
        <v/>
      </c>
      <c r="L1405" s="726"/>
      <c r="M1405" s="726"/>
      <c r="N1405" s="726"/>
      <c r="O1405" s="726"/>
      <c r="P1405" s="726"/>
      <c r="Q1405" s="726"/>
      <c r="R1405" s="726"/>
      <c r="S1405" s="726"/>
      <c r="T1405" s="726"/>
      <c r="U1405" s="726"/>
      <c r="V1405" s="726"/>
      <c r="W1405" s="726"/>
      <c r="X1405" s="726"/>
      <c r="Y1405" s="726"/>
      <c r="Z1405" s="726"/>
      <c r="AA1405" s="732"/>
      <c r="AB1405" s="732"/>
      <c r="AC1405" s="732"/>
      <c r="AD1405" s="732"/>
      <c r="AE1405" s="733"/>
      <c r="AF1405" s="734" t="str">
        <f t="shared" si="65"/>
        <v/>
      </c>
      <c r="AG1405" s="773"/>
    </row>
    <row r="1406" spans="1:64" ht="19.5" customHeight="1" x14ac:dyDescent="0.25">
      <c r="A1406" s="758"/>
      <c r="B1406" s="737"/>
      <c r="C1406" s="730"/>
      <c r="D1406" s="739"/>
      <c r="E1406" s="765"/>
      <c r="F1406" s="765"/>
      <c r="G1406" s="765"/>
      <c r="H1406" s="765"/>
      <c r="I1406" s="746" t="str">
        <f t="shared" si="64"/>
        <v/>
      </c>
      <c r="J1406" s="731"/>
      <c r="K1406" s="731" t="str">
        <f t="shared" si="63"/>
        <v/>
      </c>
      <c r="L1406" s="726"/>
      <c r="M1406" s="726"/>
      <c r="N1406" s="726"/>
      <c r="O1406" s="726"/>
      <c r="P1406" s="726"/>
      <c r="Q1406" s="726"/>
      <c r="R1406" s="726"/>
      <c r="S1406" s="726"/>
      <c r="T1406" s="726"/>
      <c r="U1406" s="726"/>
      <c r="V1406" s="726"/>
      <c r="W1406" s="726"/>
      <c r="X1406" s="726"/>
      <c r="Y1406" s="726"/>
      <c r="Z1406" s="726"/>
      <c r="AA1406" s="732"/>
      <c r="AB1406" s="732"/>
      <c r="AC1406" s="732"/>
      <c r="AD1406" s="732"/>
      <c r="AE1406" s="733"/>
      <c r="AF1406" s="734" t="str">
        <f t="shared" si="65"/>
        <v/>
      </c>
      <c r="AG1406" s="772"/>
      <c r="AH1406" s="777"/>
      <c r="AI1406" s="735"/>
      <c r="AJ1406" s="735"/>
      <c r="AK1406" s="735"/>
      <c r="AL1406" s="735"/>
      <c r="AM1406" s="735"/>
      <c r="AN1406" s="735"/>
      <c r="AO1406" s="735"/>
      <c r="AP1406" s="735"/>
      <c r="AQ1406" s="735"/>
      <c r="AR1406" s="735"/>
      <c r="AS1406" s="735"/>
      <c r="AT1406" s="735"/>
      <c r="AU1406" s="735"/>
      <c r="AV1406" s="735"/>
      <c r="AW1406" s="735"/>
      <c r="AX1406" s="735"/>
      <c r="AY1406" s="735"/>
      <c r="AZ1406" s="735"/>
      <c r="BA1406" s="735"/>
      <c r="BB1406" s="735"/>
      <c r="BC1406" s="735"/>
      <c r="BD1406" s="735"/>
      <c r="BE1406" s="735"/>
      <c r="BF1406" s="735"/>
      <c r="BG1406" s="735"/>
      <c r="BH1406" s="735"/>
      <c r="BI1406" s="735"/>
      <c r="BJ1406" s="735"/>
      <c r="BK1406" s="735"/>
      <c r="BL1406" s="735"/>
    </row>
    <row r="1407" spans="1:64" ht="19.5" customHeight="1" x14ac:dyDescent="0.25">
      <c r="A1407" s="758"/>
      <c r="B1407" s="737"/>
      <c r="C1407" s="730"/>
      <c r="D1407" s="739"/>
      <c r="E1407" s="765"/>
      <c r="F1407" s="765"/>
      <c r="G1407" s="765"/>
      <c r="H1407" s="765"/>
      <c r="I1407" s="746" t="str">
        <f t="shared" si="64"/>
        <v/>
      </c>
      <c r="J1407" s="731"/>
      <c r="K1407" s="731" t="str">
        <f t="shared" si="63"/>
        <v/>
      </c>
      <c r="L1407" s="726"/>
      <c r="M1407" s="726"/>
      <c r="N1407" s="726"/>
      <c r="O1407" s="726"/>
      <c r="P1407" s="726"/>
      <c r="Q1407" s="726"/>
      <c r="R1407" s="726"/>
      <c r="S1407" s="726"/>
      <c r="T1407" s="726"/>
      <c r="U1407" s="726"/>
      <c r="V1407" s="726"/>
      <c r="W1407" s="726"/>
      <c r="X1407" s="726"/>
      <c r="Y1407" s="726"/>
      <c r="Z1407" s="726"/>
      <c r="AA1407" s="732"/>
      <c r="AB1407" s="732"/>
      <c r="AC1407" s="732"/>
      <c r="AD1407" s="732"/>
      <c r="AE1407" s="733"/>
      <c r="AF1407" s="734" t="str">
        <f t="shared" si="65"/>
        <v/>
      </c>
      <c r="AG1407" s="772"/>
      <c r="AH1407" s="777"/>
      <c r="AI1407" s="735"/>
      <c r="AJ1407" s="735"/>
      <c r="AK1407" s="735"/>
      <c r="AL1407" s="735"/>
      <c r="AM1407" s="735"/>
      <c r="AN1407" s="735"/>
      <c r="AO1407" s="735"/>
      <c r="AP1407" s="735"/>
      <c r="AQ1407" s="735"/>
      <c r="AR1407" s="735"/>
      <c r="AS1407" s="735"/>
      <c r="AT1407" s="735"/>
      <c r="AU1407" s="735"/>
      <c r="AV1407" s="735"/>
      <c r="AW1407" s="735"/>
      <c r="AX1407" s="735"/>
      <c r="AY1407" s="735"/>
      <c r="AZ1407" s="735"/>
      <c r="BA1407" s="735"/>
      <c r="BB1407" s="735"/>
      <c r="BC1407" s="735"/>
      <c r="BD1407" s="735"/>
      <c r="BE1407" s="735"/>
      <c r="BF1407" s="735"/>
      <c r="BG1407" s="735"/>
      <c r="BH1407" s="735"/>
      <c r="BI1407" s="735"/>
      <c r="BJ1407" s="735"/>
      <c r="BK1407" s="735"/>
      <c r="BL1407" s="735"/>
    </row>
    <row r="1408" spans="1:64" ht="19.5" customHeight="1" x14ac:dyDescent="0.25">
      <c r="A1408" s="758"/>
      <c r="B1408" s="737"/>
      <c r="C1408" s="730"/>
      <c r="D1408" s="739"/>
      <c r="E1408" s="765"/>
      <c r="F1408" s="765"/>
      <c r="G1408" s="765"/>
      <c r="H1408" s="765"/>
      <c r="I1408" s="746" t="str">
        <f t="shared" si="64"/>
        <v/>
      </c>
      <c r="J1408" s="731"/>
      <c r="K1408" s="731" t="str">
        <f t="shared" si="63"/>
        <v/>
      </c>
      <c r="L1408" s="726"/>
      <c r="M1408" s="726"/>
      <c r="N1408" s="726"/>
      <c r="O1408" s="726"/>
      <c r="P1408" s="726"/>
      <c r="Q1408" s="726"/>
      <c r="R1408" s="726"/>
      <c r="S1408" s="726"/>
      <c r="T1408" s="726"/>
      <c r="U1408" s="726"/>
      <c r="V1408" s="726"/>
      <c r="W1408" s="726"/>
      <c r="X1408" s="726"/>
      <c r="Y1408" s="726"/>
      <c r="Z1408" s="726"/>
      <c r="AA1408" s="732"/>
      <c r="AB1408" s="732"/>
      <c r="AC1408" s="732"/>
      <c r="AD1408" s="732"/>
      <c r="AE1408" s="733"/>
      <c r="AF1408" s="734" t="str">
        <f t="shared" si="65"/>
        <v/>
      </c>
      <c r="AG1408" s="772"/>
      <c r="AH1408" s="777"/>
      <c r="AI1408" s="735"/>
      <c r="AJ1408" s="735"/>
      <c r="AK1408" s="735"/>
      <c r="AL1408" s="735"/>
      <c r="AM1408" s="735"/>
      <c r="AN1408" s="735"/>
      <c r="AO1408" s="735"/>
      <c r="AP1408" s="735"/>
      <c r="AQ1408" s="735"/>
      <c r="AR1408" s="735"/>
      <c r="AS1408" s="735"/>
      <c r="AT1408" s="735"/>
      <c r="AU1408" s="735"/>
      <c r="AV1408" s="735"/>
      <c r="AW1408" s="735"/>
      <c r="AX1408" s="735"/>
      <c r="AY1408" s="735"/>
      <c r="AZ1408" s="735"/>
      <c r="BA1408" s="735"/>
      <c r="BB1408" s="735"/>
      <c r="BC1408" s="735"/>
      <c r="BD1408" s="735"/>
      <c r="BE1408" s="735"/>
      <c r="BF1408" s="735"/>
      <c r="BG1408" s="735"/>
      <c r="BH1408" s="735"/>
      <c r="BI1408" s="735"/>
      <c r="BJ1408" s="735"/>
      <c r="BK1408" s="735"/>
      <c r="BL1408" s="735"/>
    </row>
    <row r="1409" spans="1:33" ht="18.75" x14ac:dyDescent="0.25">
      <c r="A1409" s="758"/>
      <c r="B1409" s="737"/>
      <c r="C1409" s="730"/>
      <c r="D1409" s="739"/>
      <c r="E1409" s="765"/>
      <c r="F1409" s="765"/>
      <c r="G1409" s="765"/>
      <c r="H1409" s="765"/>
      <c r="I1409" s="746" t="str">
        <f t="shared" si="64"/>
        <v/>
      </c>
      <c r="J1409" s="731"/>
      <c r="K1409" s="731" t="str">
        <f t="shared" si="63"/>
        <v/>
      </c>
      <c r="L1409" s="726"/>
      <c r="M1409" s="726"/>
      <c r="N1409" s="726"/>
      <c r="O1409" s="726"/>
      <c r="P1409" s="726"/>
      <c r="Q1409" s="726"/>
      <c r="R1409" s="726"/>
      <c r="S1409" s="726"/>
      <c r="T1409" s="726"/>
      <c r="U1409" s="726"/>
      <c r="V1409" s="726"/>
      <c r="W1409" s="726"/>
      <c r="X1409" s="726"/>
      <c r="Y1409" s="726"/>
      <c r="Z1409" s="726"/>
      <c r="AA1409" s="732"/>
      <c r="AB1409" s="732"/>
      <c r="AC1409" s="732"/>
      <c r="AD1409" s="732"/>
      <c r="AE1409" s="733"/>
      <c r="AF1409" s="734" t="str">
        <f t="shared" si="65"/>
        <v/>
      </c>
      <c r="AG1409" s="773"/>
    </row>
    <row r="1410" spans="1:33" ht="18.75" x14ac:dyDescent="0.25">
      <c r="A1410" s="758"/>
      <c r="B1410" s="737"/>
      <c r="C1410" s="730"/>
      <c r="D1410" s="739"/>
      <c r="E1410" s="765"/>
      <c r="F1410" s="765"/>
      <c r="G1410" s="765"/>
      <c r="H1410" s="765"/>
      <c r="I1410" s="746" t="str">
        <f t="shared" si="64"/>
        <v/>
      </c>
      <c r="J1410" s="731"/>
      <c r="K1410" s="731" t="str">
        <f t="shared" si="63"/>
        <v/>
      </c>
      <c r="L1410" s="726"/>
      <c r="M1410" s="726"/>
      <c r="N1410" s="726"/>
      <c r="O1410" s="726"/>
      <c r="P1410" s="726"/>
      <c r="Q1410" s="726"/>
      <c r="R1410" s="726"/>
      <c r="S1410" s="726"/>
      <c r="T1410" s="726"/>
      <c r="U1410" s="726"/>
      <c r="V1410" s="726"/>
      <c r="W1410" s="726"/>
      <c r="X1410" s="726"/>
      <c r="Y1410" s="726"/>
      <c r="Z1410" s="726"/>
      <c r="AA1410" s="732"/>
      <c r="AB1410" s="732"/>
      <c r="AC1410" s="732"/>
      <c r="AD1410" s="732"/>
      <c r="AE1410" s="733"/>
      <c r="AF1410" s="734" t="str">
        <f t="shared" si="65"/>
        <v/>
      </c>
      <c r="AG1410" s="773"/>
    </row>
    <row r="1411" spans="1:33" ht="18.75" x14ac:dyDescent="0.25">
      <c r="A1411" s="758"/>
      <c r="B1411" s="737"/>
      <c r="C1411" s="730"/>
      <c r="D1411" s="739"/>
      <c r="E1411" s="765"/>
      <c r="F1411" s="765"/>
      <c r="G1411" s="765"/>
      <c r="H1411" s="765"/>
      <c r="I1411" s="746" t="str">
        <f t="shared" si="64"/>
        <v/>
      </c>
      <c r="J1411" s="731"/>
      <c r="K1411" s="731" t="str">
        <f t="shared" si="63"/>
        <v/>
      </c>
      <c r="L1411" s="726"/>
      <c r="M1411" s="726"/>
      <c r="N1411" s="726"/>
      <c r="O1411" s="726"/>
      <c r="P1411" s="726"/>
      <c r="Q1411" s="726"/>
      <c r="R1411" s="726"/>
      <c r="S1411" s="726"/>
      <c r="T1411" s="726"/>
      <c r="U1411" s="726"/>
      <c r="V1411" s="726"/>
      <c r="W1411" s="726"/>
      <c r="X1411" s="726"/>
      <c r="Y1411" s="726"/>
      <c r="Z1411" s="726"/>
      <c r="AA1411" s="732"/>
      <c r="AB1411" s="732"/>
      <c r="AC1411" s="732"/>
      <c r="AD1411" s="732"/>
      <c r="AE1411" s="733"/>
      <c r="AF1411" s="734" t="str">
        <f t="shared" si="65"/>
        <v/>
      </c>
      <c r="AG1411" s="773"/>
    </row>
    <row r="1412" spans="1:33" ht="18.75" x14ac:dyDescent="0.25">
      <c r="A1412" s="758"/>
      <c r="B1412" s="737"/>
      <c r="C1412" s="730"/>
      <c r="D1412" s="739"/>
      <c r="E1412" s="765"/>
      <c r="F1412" s="765"/>
      <c r="G1412" s="765"/>
      <c r="H1412" s="765"/>
      <c r="I1412" s="746" t="str">
        <f t="shared" si="64"/>
        <v/>
      </c>
      <c r="J1412" s="731"/>
      <c r="K1412" s="731" t="str">
        <f t="shared" ref="K1412:K1475" si="66">IF(AA1412-AE1412 = 0,"",AA1412-AE1412)</f>
        <v/>
      </c>
      <c r="L1412" s="726"/>
      <c r="M1412" s="726"/>
      <c r="N1412" s="726"/>
      <c r="O1412" s="726"/>
      <c r="P1412" s="726"/>
      <c r="Q1412" s="726"/>
      <c r="R1412" s="726"/>
      <c r="S1412" s="726"/>
      <c r="T1412" s="726"/>
      <c r="U1412" s="726"/>
      <c r="V1412" s="726"/>
      <c r="W1412" s="726"/>
      <c r="X1412" s="726"/>
      <c r="Y1412" s="726"/>
      <c r="Z1412" s="726"/>
      <c r="AA1412" s="732"/>
      <c r="AB1412" s="732"/>
      <c r="AC1412" s="732"/>
      <c r="AD1412" s="732"/>
      <c r="AE1412" s="733"/>
      <c r="AF1412" s="734" t="str">
        <f t="shared" si="65"/>
        <v/>
      </c>
      <c r="AG1412" s="773"/>
    </row>
    <row r="1413" spans="1:33" ht="18.75" x14ac:dyDescent="0.25">
      <c r="A1413" s="758"/>
      <c r="B1413" s="737"/>
      <c r="C1413" s="730"/>
      <c r="D1413" s="739"/>
      <c r="E1413" s="765"/>
      <c r="F1413" s="765"/>
      <c r="G1413" s="765"/>
      <c r="H1413" s="765"/>
      <c r="I1413" s="746" t="str">
        <f t="shared" ref="I1413:I1476" si="67">AF1413</f>
        <v/>
      </c>
      <c r="J1413" s="731"/>
      <c r="K1413" s="731" t="str">
        <f t="shared" si="66"/>
        <v/>
      </c>
      <c r="L1413" s="726"/>
      <c r="M1413" s="726"/>
      <c r="N1413" s="726"/>
      <c r="O1413" s="726"/>
      <c r="P1413" s="726"/>
      <c r="Q1413" s="726"/>
      <c r="R1413" s="726"/>
      <c r="S1413" s="726"/>
      <c r="T1413" s="726"/>
      <c r="U1413" s="726"/>
      <c r="V1413" s="726"/>
      <c r="W1413" s="726"/>
      <c r="X1413" s="726"/>
      <c r="Y1413" s="726"/>
      <c r="Z1413" s="726"/>
      <c r="AA1413" s="732"/>
      <c r="AB1413" s="732"/>
      <c r="AC1413" s="732"/>
      <c r="AD1413" s="732"/>
      <c r="AE1413" s="733"/>
      <c r="AF1413" s="734" t="str">
        <f t="shared" ref="AF1413:AF1476" si="68">IF(AE1413 &lt;&gt;"", AE1413/AA1413,"")</f>
        <v/>
      </c>
      <c r="AG1413" s="773"/>
    </row>
    <row r="1414" spans="1:33" ht="18.75" x14ac:dyDescent="0.25">
      <c r="A1414" s="758"/>
      <c r="B1414" s="737"/>
      <c r="C1414" s="730"/>
      <c r="D1414" s="739"/>
      <c r="E1414" s="765"/>
      <c r="F1414" s="765"/>
      <c r="G1414" s="765"/>
      <c r="H1414" s="765"/>
      <c r="I1414" s="746" t="str">
        <f t="shared" si="67"/>
        <v/>
      </c>
      <c r="J1414" s="731"/>
      <c r="K1414" s="731" t="str">
        <f t="shared" si="66"/>
        <v/>
      </c>
      <c r="L1414" s="726"/>
      <c r="M1414" s="726"/>
      <c r="N1414" s="726"/>
      <c r="O1414" s="726"/>
      <c r="P1414" s="726"/>
      <c r="Q1414" s="726"/>
      <c r="R1414" s="726"/>
      <c r="S1414" s="726"/>
      <c r="T1414" s="726"/>
      <c r="U1414" s="726"/>
      <c r="V1414" s="726"/>
      <c r="W1414" s="726"/>
      <c r="X1414" s="726"/>
      <c r="Y1414" s="726"/>
      <c r="Z1414" s="726"/>
      <c r="AA1414" s="732"/>
      <c r="AB1414" s="732"/>
      <c r="AC1414" s="732"/>
      <c r="AD1414" s="732"/>
      <c r="AE1414" s="733"/>
      <c r="AF1414" s="734" t="str">
        <f t="shared" si="68"/>
        <v/>
      </c>
      <c r="AG1414" s="773"/>
    </row>
    <row r="1415" spans="1:33" ht="18.75" x14ac:dyDescent="0.25">
      <c r="A1415" s="758"/>
      <c r="B1415" s="737"/>
      <c r="C1415" s="730"/>
      <c r="D1415" s="739"/>
      <c r="E1415" s="765"/>
      <c r="F1415" s="765"/>
      <c r="G1415" s="765"/>
      <c r="H1415" s="765"/>
      <c r="I1415" s="746" t="str">
        <f t="shared" si="67"/>
        <v/>
      </c>
      <c r="J1415" s="731"/>
      <c r="K1415" s="731" t="str">
        <f t="shared" si="66"/>
        <v/>
      </c>
      <c r="L1415" s="726"/>
      <c r="M1415" s="726"/>
      <c r="N1415" s="726"/>
      <c r="O1415" s="726"/>
      <c r="P1415" s="726"/>
      <c r="Q1415" s="726"/>
      <c r="R1415" s="726"/>
      <c r="S1415" s="726"/>
      <c r="T1415" s="726"/>
      <c r="U1415" s="726"/>
      <c r="V1415" s="726"/>
      <c r="W1415" s="726"/>
      <c r="X1415" s="726"/>
      <c r="Y1415" s="726"/>
      <c r="Z1415" s="726"/>
      <c r="AA1415" s="732"/>
      <c r="AB1415" s="732"/>
      <c r="AC1415" s="732"/>
      <c r="AD1415" s="732"/>
      <c r="AE1415" s="733"/>
      <c r="AF1415" s="734" t="str">
        <f t="shared" si="68"/>
        <v/>
      </c>
      <c r="AG1415" s="773"/>
    </row>
    <row r="1416" spans="1:33" ht="18.75" x14ac:dyDescent="0.25">
      <c r="A1416" s="758"/>
      <c r="B1416" s="737"/>
      <c r="C1416" s="730"/>
      <c r="D1416" s="739"/>
      <c r="E1416" s="765"/>
      <c r="F1416" s="765"/>
      <c r="G1416" s="765"/>
      <c r="H1416" s="765"/>
      <c r="I1416" s="746" t="str">
        <f t="shared" si="67"/>
        <v/>
      </c>
      <c r="J1416" s="731"/>
      <c r="K1416" s="731" t="str">
        <f t="shared" si="66"/>
        <v/>
      </c>
      <c r="L1416" s="726"/>
      <c r="M1416" s="726"/>
      <c r="N1416" s="726"/>
      <c r="O1416" s="726"/>
      <c r="P1416" s="726"/>
      <c r="Q1416" s="726"/>
      <c r="R1416" s="726"/>
      <c r="S1416" s="726"/>
      <c r="T1416" s="726"/>
      <c r="U1416" s="726"/>
      <c r="V1416" s="726"/>
      <c r="W1416" s="726"/>
      <c r="X1416" s="726"/>
      <c r="Y1416" s="726"/>
      <c r="Z1416" s="726"/>
      <c r="AA1416" s="732"/>
      <c r="AB1416" s="732"/>
      <c r="AC1416" s="732"/>
      <c r="AD1416" s="732"/>
      <c r="AE1416" s="733"/>
      <c r="AF1416" s="734" t="str">
        <f t="shared" si="68"/>
        <v/>
      </c>
      <c r="AG1416" s="773"/>
    </row>
    <row r="1417" spans="1:33" ht="18.75" x14ac:dyDescent="0.25">
      <c r="A1417" s="758"/>
      <c r="B1417" s="737"/>
      <c r="C1417" s="730"/>
      <c r="D1417" s="739"/>
      <c r="E1417" s="765"/>
      <c r="F1417" s="765"/>
      <c r="G1417" s="765"/>
      <c r="H1417" s="765"/>
      <c r="I1417" s="746" t="str">
        <f t="shared" si="67"/>
        <v/>
      </c>
      <c r="J1417" s="731"/>
      <c r="K1417" s="731" t="str">
        <f t="shared" si="66"/>
        <v/>
      </c>
      <c r="L1417" s="726"/>
      <c r="M1417" s="726"/>
      <c r="N1417" s="726"/>
      <c r="O1417" s="726"/>
      <c r="P1417" s="726"/>
      <c r="Q1417" s="726"/>
      <c r="R1417" s="726"/>
      <c r="S1417" s="726"/>
      <c r="T1417" s="726"/>
      <c r="U1417" s="726"/>
      <c r="V1417" s="726"/>
      <c r="W1417" s="726"/>
      <c r="X1417" s="726"/>
      <c r="Y1417" s="726"/>
      <c r="Z1417" s="726"/>
      <c r="AA1417" s="732"/>
      <c r="AB1417" s="732"/>
      <c r="AC1417" s="732"/>
      <c r="AD1417" s="732"/>
      <c r="AE1417" s="733"/>
      <c r="AF1417" s="734" t="str">
        <f t="shared" si="68"/>
        <v/>
      </c>
      <c r="AG1417" s="773"/>
    </row>
    <row r="1418" spans="1:33" ht="18.75" x14ac:dyDescent="0.25">
      <c r="A1418" s="758"/>
      <c r="B1418" s="737"/>
      <c r="C1418" s="730"/>
      <c r="D1418" s="739"/>
      <c r="E1418" s="765"/>
      <c r="F1418" s="765"/>
      <c r="G1418" s="765"/>
      <c r="H1418" s="765"/>
      <c r="I1418" s="746" t="str">
        <f t="shared" si="67"/>
        <v/>
      </c>
      <c r="J1418" s="731"/>
      <c r="K1418" s="731" t="str">
        <f t="shared" si="66"/>
        <v/>
      </c>
      <c r="L1418" s="726"/>
      <c r="M1418" s="726"/>
      <c r="N1418" s="726"/>
      <c r="O1418" s="726"/>
      <c r="P1418" s="726"/>
      <c r="Q1418" s="726"/>
      <c r="R1418" s="726"/>
      <c r="S1418" s="726"/>
      <c r="T1418" s="726"/>
      <c r="U1418" s="726"/>
      <c r="V1418" s="726"/>
      <c r="W1418" s="726"/>
      <c r="X1418" s="726"/>
      <c r="Y1418" s="726"/>
      <c r="Z1418" s="726"/>
      <c r="AA1418" s="732"/>
      <c r="AB1418" s="732"/>
      <c r="AC1418" s="732"/>
      <c r="AD1418" s="732"/>
      <c r="AE1418" s="733"/>
      <c r="AF1418" s="734" t="str">
        <f t="shared" si="68"/>
        <v/>
      </c>
      <c r="AG1418" s="773"/>
    </row>
    <row r="1419" spans="1:33" ht="18.75" x14ac:dyDescent="0.25">
      <c r="A1419" s="758"/>
      <c r="B1419" s="737"/>
      <c r="C1419" s="730"/>
      <c r="D1419" s="739"/>
      <c r="E1419" s="765"/>
      <c r="F1419" s="765"/>
      <c r="G1419" s="765"/>
      <c r="H1419" s="765"/>
      <c r="I1419" s="746" t="str">
        <f t="shared" si="67"/>
        <v/>
      </c>
      <c r="J1419" s="731"/>
      <c r="K1419" s="731" t="str">
        <f t="shared" si="66"/>
        <v/>
      </c>
      <c r="L1419" s="726"/>
      <c r="M1419" s="726"/>
      <c r="N1419" s="726"/>
      <c r="O1419" s="726"/>
      <c r="P1419" s="726"/>
      <c r="Q1419" s="726"/>
      <c r="R1419" s="726"/>
      <c r="S1419" s="726"/>
      <c r="T1419" s="726"/>
      <c r="U1419" s="726"/>
      <c r="V1419" s="726"/>
      <c r="W1419" s="726"/>
      <c r="X1419" s="726"/>
      <c r="Y1419" s="726"/>
      <c r="Z1419" s="726"/>
      <c r="AA1419" s="732"/>
      <c r="AB1419" s="732"/>
      <c r="AC1419" s="732"/>
      <c r="AD1419" s="732"/>
      <c r="AE1419" s="733"/>
      <c r="AF1419" s="734" t="str">
        <f t="shared" si="68"/>
        <v/>
      </c>
      <c r="AG1419" s="773"/>
    </row>
    <row r="1420" spans="1:33" ht="18.75" x14ac:dyDescent="0.25">
      <c r="A1420" s="758"/>
      <c r="B1420" s="737"/>
      <c r="C1420" s="730"/>
      <c r="D1420" s="739"/>
      <c r="E1420" s="765"/>
      <c r="F1420" s="765"/>
      <c r="G1420" s="765"/>
      <c r="H1420" s="765"/>
      <c r="I1420" s="746" t="str">
        <f t="shared" si="67"/>
        <v/>
      </c>
      <c r="J1420" s="731"/>
      <c r="K1420" s="731" t="str">
        <f t="shared" si="66"/>
        <v/>
      </c>
      <c r="L1420" s="726"/>
      <c r="M1420" s="726"/>
      <c r="N1420" s="726"/>
      <c r="O1420" s="726"/>
      <c r="P1420" s="726"/>
      <c r="Q1420" s="726"/>
      <c r="R1420" s="726"/>
      <c r="S1420" s="726"/>
      <c r="T1420" s="726"/>
      <c r="U1420" s="726"/>
      <c r="V1420" s="726"/>
      <c r="W1420" s="726"/>
      <c r="X1420" s="726"/>
      <c r="Y1420" s="726"/>
      <c r="Z1420" s="726"/>
      <c r="AA1420" s="732"/>
      <c r="AB1420" s="732"/>
      <c r="AC1420" s="732"/>
      <c r="AD1420" s="732"/>
      <c r="AE1420" s="733"/>
      <c r="AF1420" s="734" t="str">
        <f t="shared" si="68"/>
        <v/>
      </c>
      <c r="AG1420" s="773"/>
    </row>
    <row r="1421" spans="1:33" ht="18.75" x14ac:dyDescent="0.25">
      <c r="A1421" s="758"/>
      <c r="B1421" s="737"/>
      <c r="C1421" s="730"/>
      <c r="D1421" s="739"/>
      <c r="E1421" s="765"/>
      <c r="F1421" s="765"/>
      <c r="G1421" s="765"/>
      <c r="H1421" s="765"/>
      <c r="I1421" s="746" t="str">
        <f t="shared" si="67"/>
        <v/>
      </c>
      <c r="J1421" s="731"/>
      <c r="K1421" s="731" t="str">
        <f t="shared" si="66"/>
        <v/>
      </c>
      <c r="L1421" s="726"/>
      <c r="M1421" s="726"/>
      <c r="N1421" s="726"/>
      <c r="O1421" s="726"/>
      <c r="P1421" s="726"/>
      <c r="Q1421" s="726"/>
      <c r="R1421" s="726"/>
      <c r="S1421" s="726"/>
      <c r="T1421" s="726"/>
      <c r="U1421" s="726"/>
      <c r="V1421" s="726"/>
      <c r="W1421" s="726"/>
      <c r="X1421" s="726"/>
      <c r="Y1421" s="726"/>
      <c r="Z1421" s="726"/>
      <c r="AA1421" s="732"/>
      <c r="AB1421" s="732"/>
      <c r="AC1421" s="732"/>
      <c r="AD1421" s="732"/>
      <c r="AE1421" s="733"/>
      <c r="AF1421" s="734" t="str">
        <f t="shared" si="68"/>
        <v/>
      </c>
      <c r="AG1421" s="773"/>
    </row>
    <row r="1422" spans="1:33" ht="18.75" x14ac:dyDescent="0.25">
      <c r="A1422" s="758"/>
      <c r="B1422" s="737"/>
      <c r="C1422" s="730"/>
      <c r="D1422" s="739"/>
      <c r="E1422" s="765"/>
      <c r="F1422" s="765"/>
      <c r="G1422" s="765"/>
      <c r="H1422" s="765"/>
      <c r="I1422" s="746" t="str">
        <f t="shared" si="67"/>
        <v/>
      </c>
      <c r="J1422" s="731"/>
      <c r="K1422" s="731" t="str">
        <f t="shared" si="66"/>
        <v/>
      </c>
      <c r="L1422" s="726"/>
      <c r="M1422" s="726"/>
      <c r="N1422" s="726"/>
      <c r="O1422" s="726"/>
      <c r="P1422" s="726"/>
      <c r="Q1422" s="726"/>
      <c r="R1422" s="726"/>
      <c r="S1422" s="726"/>
      <c r="T1422" s="726"/>
      <c r="U1422" s="726"/>
      <c r="V1422" s="726"/>
      <c r="W1422" s="726"/>
      <c r="X1422" s="726"/>
      <c r="Y1422" s="726"/>
      <c r="Z1422" s="726"/>
      <c r="AA1422" s="732"/>
      <c r="AB1422" s="732"/>
      <c r="AC1422" s="732"/>
      <c r="AD1422" s="732"/>
      <c r="AE1422" s="733"/>
      <c r="AF1422" s="734" t="str">
        <f t="shared" si="68"/>
        <v/>
      </c>
      <c r="AG1422" s="773"/>
    </row>
    <row r="1423" spans="1:33" ht="18.75" x14ac:dyDescent="0.25">
      <c r="A1423" s="758"/>
      <c r="B1423" s="737"/>
      <c r="C1423" s="730"/>
      <c r="D1423" s="739"/>
      <c r="E1423" s="765"/>
      <c r="F1423" s="765"/>
      <c r="G1423" s="765"/>
      <c r="H1423" s="765"/>
      <c r="I1423" s="746" t="str">
        <f t="shared" si="67"/>
        <v/>
      </c>
      <c r="J1423" s="731"/>
      <c r="K1423" s="731" t="str">
        <f t="shared" si="66"/>
        <v/>
      </c>
      <c r="L1423" s="726"/>
      <c r="M1423" s="726"/>
      <c r="N1423" s="726"/>
      <c r="O1423" s="726"/>
      <c r="P1423" s="726"/>
      <c r="Q1423" s="726"/>
      <c r="R1423" s="726"/>
      <c r="S1423" s="726"/>
      <c r="T1423" s="726"/>
      <c r="U1423" s="726"/>
      <c r="V1423" s="726"/>
      <c r="W1423" s="726"/>
      <c r="X1423" s="726"/>
      <c r="Y1423" s="726"/>
      <c r="Z1423" s="726"/>
      <c r="AA1423" s="732"/>
      <c r="AB1423" s="732"/>
      <c r="AC1423" s="732"/>
      <c r="AD1423" s="732"/>
      <c r="AE1423" s="733"/>
      <c r="AF1423" s="734" t="str">
        <f t="shared" si="68"/>
        <v/>
      </c>
      <c r="AG1423" s="773"/>
    </row>
    <row r="1424" spans="1:33" ht="18.75" x14ac:dyDescent="0.25">
      <c r="A1424" s="758"/>
      <c r="B1424" s="737"/>
      <c r="C1424" s="730"/>
      <c r="D1424" s="739"/>
      <c r="E1424" s="765"/>
      <c r="F1424" s="765"/>
      <c r="G1424" s="765"/>
      <c r="H1424" s="765"/>
      <c r="I1424" s="746" t="str">
        <f t="shared" si="67"/>
        <v/>
      </c>
      <c r="J1424" s="731"/>
      <c r="K1424" s="731" t="str">
        <f t="shared" si="66"/>
        <v/>
      </c>
      <c r="L1424" s="726"/>
      <c r="M1424" s="726"/>
      <c r="N1424" s="726"/>
      <c r="O1424" s="726"/>
      <c r="P1424" s="726"/>
      <c r="Q1424" s="726"/>
      <c r="R1424" s="726"/>
      <c r="S1424" s="726"/>
      <c r="T1424" s="726"/>
      <c r="U1424" s="726"/>
      <c r="V1424" s="726"/>
      <c r="W1424" s="726"/>
      <c r="X1424" s="726"/>
      <c r="Y1424" s="726"/>
      <c r="Z1424" s="726"/>
      <c r="AA1424" s="732"/>
      <c r="AB1424" s="732"/>
      <c r="AC1424" s="732"/>
      <c r="AD1424" s="732"/>
      <c r="AE1424" s="733"/>
      <c r="AF1424" s="734" t="str">
        <f t="shared" si="68"/>
        <v/>
      </c>
      <c r="AG1424" s="773"/>
    </row>
    <row r="1425" spans="1:64" ht="18.75" x14ac:dyDescent="0.25">
      <c r="A1425" s="758"/>
      <c r="B1425" s="737"/>
      <c r="C1425" s="730"/>
      <c r="D1425" s="739"/>
      <c r="E1425" s="765"/>
      <c r="F1425" s="765"/>
      <c r="G1425" s="765"/>
      <c r="H1425" s="765"/>
      <c r="I1425" s="746" t="str">
        <f t="shared" si="67"/>
        <v/>
      </c>
      <c r="J1425" s="731"/>
      <c r="K1425" s="731" t="str">
        <f t="shared" si="66"/>
        <v/>
      </c>
      <c r="L1425" s="726"/>
      <c r="M1425" s="726"/>
      <c r="N1425" s="726"/>
      <c r="O1425" s="726"/>
      <c r="P1425" s="726"/>
      <c r="Q1425" s="726"/>
      <c r="R1425" s="726"/>
      <c r="S1425" s="726"/>
      <c r="T1425" s="726"/>
      <c r="U1425" s="726"/>
      <c r="V1425" s="726"/>
      <c r="W1425" s="726"/>
      <c r="X1425" s="726"/>
      <c r="Y1425" s="726"/>
      <c r="Z1425" s="726"/>
      <c r="AA1425" s="732"/>
      <c r="AB1425" s="732"/>
      <c r="AC1425" s="732"/>
      <c r="AD1425" s="732"/>
      <c r="AE1425" s="733"/>
      <c r="AF1425" s="734" t="str">
        <f t="shared" si="68"/>
        <v/>
      </c>
      <c r="AG1425" s="773"/>
    </row>
    <row r="1426" spans="1:64" ht="18.75" x14ac:dyDescent="0.25">
      <c r="A1426" s="758"/>
      <c r="B1426" s="737"/>
      <c r="C1426" s="730"/>
      <c r="D1426" s="739"/>
      <c r="E1426" s="765"/>
      <c r="F1426" s="765"/>
      <c r="G1426" s="765"/>
      <c r="H1426" s="765"/>
      <c r="I1426" s="746" t="str">
        <f t="shared" si="67"/>
        <v/>
      </c>
      <c r="J1426" s="731"/>
      <c r="K1426" s="731" t="str">
        <f t="shared" si="66"/>
        <v/>
      </c>
      <c r="L1426" s="726"/>
      <c r="M1426" s="726"/>
      <c r="N1426" s="726"/>
      <c r="O1426" s="726"/>
      <c r="P1426" s="726"/>
      <c r="Q1426" s="726"/>
      <c r="R1426" s="726"/>
      <c r="S1426" s="726"/>
      <c r="T1426" s="726"/>
      <c r="U1426" s="726"/>
      <c r="V1426" s="726"/>
      <c r="W1426" s="726"/>
      <c r="X1426" s="726"/>
      <c r="Y1426" s="726"/>
      <c r="Z1426" s="726"/>
      <c r="AA1426" s="732"/>
      <c r="AB1426" s="732"/>
      <c r="AC1426" s="732"/>
      <c r="AD1426" s="732"/>
      <c r="AE1426" s="733"/>
      <c r="AF1426" s="734" t="str">
        <f t="shared" si="68"/>
        <v/>
      </c>
      <c r="AG1426" s="774"/>
      <c r="AH1426" s="778"/>
      <c r="AI1426" s="736"/>
      <c r="AJ1426" s="736"/>
      <c r="AK1426" s="736"/>
      <c r="AL1426" s="736"/>
      <c r="AM1426" s="736"/>
      <c r="AN1426" s="736"/>
      <c r="AO1426" s="736"/>
      <c r="AP1426" s="736"/>
      <c r="AQ1426" s="736"/>
      <c r="AR1426" s="736"/>
      <c r="AS1426" s="736"/>
      <c r="AT1426" s="736"/>
      <c r="AU1426" s="736"/>
      <c r="AV1426" s="736"/>
      <c r="AW1426" s="736"/>
      <c r="AX1426" s="736"/>
      <c r="AY1426" s="736"/>
      <c r="AZ1426" s="736"/>
      <c r="BA1426" s="736"/>
      <c r="BB1426" s="736"/>
      <c r="BC1426" s="736"/>
      <c r="BD1426" s="736"/>
      <c r="BE1426" s="736"/>
      <c r="BF1426" s="736"/>
      <c r="BG1426" s="736"/>
      <c r="BH1426" s="736"/>
      <c r="BI1426" s="736"/>
      <c r="BJ1426" s="736"/>
      <c r="BK1426" s="736"/>
      <c r="BL1426" s="736"/>
    </row>
    <row r="1427" spans="1:64" ht="18.75" x14ac:dyDescent="0.25">
      <c r="A1427" s="758"/>
      <c r="B1427" s="737"/>
      <c r="C1427" s="730"/>
      <c r="D1427" s="739"/>
      <c r="E1427" s="765"/>
      <c r="F1427" s="765"/>
      <c r="G1427" s="765"/>
      <c r="H1427" s="765"/>
      <c r="I1427" s="746" t="str">
        <f t="shared" si="67"/>
        <v/>
      </c>
      <c r="J1427" s="731"/>
      <c r="K1427" s="731" t="str">
        <f t="shared" si="66"/>
        <v/>
      </c>
      <c r="L1427" s="726"/>
      <c r="M1427" s="726"/>
      <c r="N1427" s="726"/>
      <c r="O1427" s="726"/>
      <c r="P1427" s="726"/>
      <c r="Q1427" s="726"/>
      <c r="R1427" s="726"/>
      <c r="S1427" s="726"/>
      <c r="T1427" s="726"/>
      <c r="U1427" s="726"/>
      <c r="V1427" s="726"/>
      <c r="W1427" s="726"/>
      <c r="X1427" s="726"/>
      <c r="Y1427" s="726"/>
      <c r="Z1427" s="726"/>
      <c r="AA1427" s="732"/>
      <c r="AB1427" s="732"/>
      <c r="AC1427" s="732"/>
      <c r="AD1427" s="732"/>
      <c r="AE1427" s="733"/>
      <c r="AF1427" s="734" t="str">
        <f t="shared" si="68"/>
        <v/>
      </c>
      <c r="AG1427" s="774"/>
      <c r="AH1427" s="778"/>
      <c r="AI1427" s="736"/>
      <c r="AJ1427" s="736"/>
      <c r="AK1427" s="736"/>
      <c r="AL1427" s="736"/>
      <c r="AM1427" s="736"/>
      <c r="AN1427" s="736"/>
      <c r="AO1427" s="736"/>
      <c r="AP1427" s="736"/>
      <c r="AQ1427" s="736"/>
      <c r="AR1427" s="736"/>
      <c r="AS1427" s="736"/>
      <c r="AT1427" s="736"/>
      <c r="AU1427" s="736"/>
      <c r="AV1427" s="736"/>
      <c r="AW1427" s="736"/>
      <c r="AX1427" s="736"/>
      <c r="AY1427" s="736"/>
      <c r="AZ1427" s="736"/>
      <c r="BA1427" s="736"/>
      <c r="BB1427" s="736"/>
      <c r="BC1427" s="736"/>
      <c r="BD1427" s="736"/>
      <c r="BE1427" s="736"/>
      <c r="BF1427" s="736"/>
      <c r="BG1427" s="736"/>
      <c r="BH1427" s="736"/>
      <c r="BI1427" s="736"/>
      <c r="BJ1427" s="736"/>
      <c r="BK1427" s="736"/>
      <c r="BL1427" s="736"/>
    </row>
    <row r="1428" spans="1:64" ht="18.75" x14ac:dyDescent="0.25">
      <c r="A1428" s="758"/>
      <c r="B1428" s="737"/>
      <c r="C1428" s="730"/>
      <c r="D1428" s="739"/>
      <c r="E1428" s="765"/>
      <c r="F1428" s="765"/>
      <c r="G1428" s="765"/>
      <c r="H1428" s="765"/>
      <c r="I1428" s="746" t="str">
        <f t="shared" si="67"/>
        <v/>
      </c>
      <c r="J1428" s="731"/>
      <c r="K1428" s="731" t="str">
        <f t="shared" si="66"/>
        <v/>
      </c>
      <c r="L1428" s="726"/>
      <c r="M1428" s="726"/>
      <c r="N1428" s="726"/>
      <c r="O1428" s="726"/>
      <c r="P1428" s="726"/>
      <c r="Q1428" s="726"/>
      <c r="R1428" s="726"/>
      <c r="S1428" s="726"/>
      <c r="T1428" s="726"/>
      <c r="U1428" s="726"/>
      <c r="V1428" s="726"/>
      <c r="W1428" s="726"/>
      <c r="X1428" s="726"/>
      <c r="Y1428" s="726"/>
      <c r="Z1428" s="726"/>
      <c r="AA1428" s="732"/>
      <c r="AB1428" s="732"/>
      <c r="AC1428" s="732"/>
      <c r="AD1428" s="732"/>
      <c r="AE1428" s="733"/>
      <c r="AF1428" s="734" t="str">
        <f t="shared" si="68"/>
        <v/>
      </c>
      <c r="AG1428" s="773"/>
    </row>
    <row r="1429" spans="1:64" ht="18.75" x14ac:dyDescent="0.25">
      <c r="A1429" s="758"/>
      <c r="B1429" s="737"/>
      <c r="C1429" s="730"/>
      <c r="D1429" s="739"/>
      <c r="E1429" s="765"/>
      <c r="F1429" s="765"/>
      <c r="G1429" s="765"/>
      <c r="H1429" s="765"/>
      <c r="I1429" s="746" t="str">
        <f t="shared" si="67"/>
        <v/>
      </c>
      <c r="J1429" s="731"/>
      <c r="K1429" s="731" t="str">
        <f t="shared" si="66"/>
        <v/>
      </c>
      <c r="L1429" s="726"/>
      <c r="M1429" s="726"/>
      <c r="N1429" s="726"/>
      <c r="O1429" s="726"/>
      <c r="P1429" s="726"/>
      <c r="Q1429" s="726"/>
      <c r="R1429" s="726"/>
      <c r="S1429" s="726"/>
      <c r="T1429" s="726"/>
      <c r="U1429" s="726"/>
      <c r="V1429" s="726"/>
      <c r="W1429" s="726"/>
      <c r="X1429" s="726"/>
      <c r="Y1429" s="726"/>
      <c r="Z1429" s="726"/>
      <c r="AA1429" s="732"/>
      <c r="AB1429" s="732"/>
      <c r="AC1429" s="732"/>
      <c r="AD1429" s="732"/>
      <c r="AE1429" s="733"/>
      <c r="AF1429" s="734" t="str">
        <f t="shared" si="68"/>
        <v/>
      </c>
      <c r="AG1429" s="773"/>
    </row>
    <row r="1430" spans="1:64" ht="18.75" x14ac:dyDescent="0.25">
      <c r="A1430" s="758"/>
      <c r="B1430" s="737"/>
      <c r="C1430" s="730"/>
      <c r="D1430" s="739"/>
      <c r="E1430" s="765"/>
      <c r="F1430" s="765"/>
      <c r="G1430" s="765"/>
      <c r="H1430" s="765"/>
      <c r="I1430" s="746" t="str">
        <f t="shared" si="67"/>
        <v/>
      </c>
      <c r="J1430" s="731"/>
      <c r="K1430" s="731" t="str">
        <f t="shared" si="66"/>
        <v/>
      </c>
      <c r="L1430" s="726"/>
      <c r="M1430" s="726"/>
      <c r="N1430" s="726"/>
      <c r="O1430" s="726"/>
      <c r="P1430" s="726"/>
      <c r="Q1430" s="726"/>
      <c r="R1430" s="726"/>
      <c r="S1430" s="726"/>
      <c r="T1430" s="726"/>
      <c r="U1430" s="726"/>
      <c r="V1430" s="726"/>
      <c r="W1430" s="726"/>
      <c r="X1430" s="726"/>
      <c r="Y1430" s="726"/>
      <c r="Z1430" s="726"/>
      <c r="AA1430" s="732"/>
      <c r="AB1430" s="732"/>
      <c r="AC1430" s="732"/>
      <c r="AD1430" s="732"/>
      <c r="AE1430" s="733"/>
      <c r="AF1430" s="734" t="str">
        <f t="shared" si="68"/>
        <v/>
      </c>
      <c r="AG1430" s="774"/>
      <c r="AH1430" s="778"/>
      <c r="AI1430" s="736"/>
      <c r="AJ1430" s="736"/>
      <c r="AK1430" s="736"/>
      <c r="AL1430" s="736"/>
      <c r="AM1430" s="736"/>
      <c r="AN1430" s="736"/>
      <c r="AO1430" s="736"/>
      <c r="AP1430" s="736"/>
      <c r="AQ1430" s="736"/>
      <c r="AR1430" s="736"/>
      <c r="AS1430" s="736"/>
      <c r="AT1430" s="736"/>
      <c r="AU1430" s="736"/>
      <c r="AV1430" s="736"/>
      <c r="AW1430" s="736"/>
      <c r="AX1430" s="736"/>
      <c r="AY1430" s="736"/>
      <c r="AZ1430" s="736"/>
      <c r="BA1430" s="736"/>
      <c r="BB1430" s="736"/>
      <c r="BC1430" s="736"/>
      <c r="BD1430" s="736"/>
      <c r="BE1430" s="736"/>
      <c r="BF1430" s="736"/>
      <c r="BG1430" s="736"/>
      <c r="BH1430" s="736"/>
      <c r="BI1430" s="736"/>
      <c r="BJ1430" s="736"/>
      <c r="BK1430" s="736"/>
      <c r="BL1430" s="736"/>
    </row>
    <row r="1431" spans="1:64" ht="18.75" x14ac:dyDescent="0.25">
      <c r="A1431" s="758"/>
      <c r="B1431" s="737"/>
      <c r="C1431" s="730"/>
      <c r="D1431" s="739"/>
      <c r="E1431" s="765"/>
      <c r="F1431" s="765"/>
      <c r="G1431" s="765"/>
      <c r="H1431" s="765"/>
      <c r="I1431" s="746" t="str">
        <f t="shared" si="67"/>
        <v/>
      </c>
      <c r="J1431" s="731"/>
      <c r="K1431" s="731" t="str">
        <f t="shared" si="66"/>
        <v/>
      </c>
      <c r="L1431" s="726"/>
      <c r="M1431" s="726"/>
      <c r="N1431" s="726"/>
      <c r="O1431" s="726"/>
      <c r="P1431" s="726"/>
      <c r="Q1431" s="726"/>
      <c r="R1431" s="726"/>
      <c r="S1431" s="726"/>
      <c r="T1431" s="726"/>
      <c r="U1431" s="726"/>
      <c r="V1431" s="726"/>
      <c r="W1431" s="726"/>
      <c r="X1431" s="726"/>
      <c r="Y1431" s="726"/>
      <c r="Z1431" s="726"/>
      <c r="AA1431" s="732"/>
      <c r="AB1431" s="732"/>
      <c r="AC1431" s="732"/>
      <c r="AD1431" s="732"/>
      <c r="AE1431" s="733"/>
      <c r="AF1431" s="734" t="str">
        <f t="shared" si="68"/>
        <v/>
      </c>
      <c r="AG1431" s="773"/>
    </row>
    <row r="1432" spans="1:64" ht="18.75" x14ac:dyDescent="0.25">
      <c r="A1432" s="758"/>
      <c r="B1432" s="737"/>
      <c r="C1432" s="730"/>
      <c r="D1432" s="739"/>
      <c r="E1432" s="765"/>
      <c r="F1432" s="765"/>
      <c r="G1432" s="765"/>
      <c r="H1432" s="765"/>
      <c r="I1432" s="746" t="str">
        <f t="shared" si="67"/>
        <v/>
      </c>
      <c r="J1432" s="731"/>
      <c r="K1432" s="731" t="str">
        <f t="shared" si="66"/>
        <v/>
      </c>
      <c r="L1432" s="726"/>
      <c r="M1432" s="726"/>
      <c r="N1432" s="726"/>
      <c r="O1432" s="726"/>
      <c r="P1432" s="726"/>
      <c r="Q1432" s="726"/>
      <c r="R1432" s="726"/>
      <c r="S1432" s="726"/>
      <c r="T1432" s="726"/>
      <c r="U1432" s="726"/>
      <c r="V1432" s="726"/>
      <c r="W1432" s="726"/>
      <c r="X1432" s="726"/>
      <c r="Y1432" s="726"/>
      <c r="Z1432" s="726"/>
      <c r="AA1432" s="732"/>
      <c r="AB1432" s="732"/>
      <c r="AC1432" s="732"/>
      <c r="AD1432" s="732"/>
      <c r="AE1432" s="733"/>
      <c r="AF1432" s="734" t="str">
        <f t="shared" si="68"/>
        <v/>
      </c>
      <c r="AG1432" s="773"/>
    </row>
    <row r="1433" spans="1:64" ht="18.75" x14ac:dyDescent="0.25">
      <c r="A1433" s="758"/>
      <c r="B1433" s="737"/>
      <c r="C1433" s="730"/>
      <c r="D1433" s="739"/>
      <c r="E1433" s="765"/>
      <c r="F1433" s="765"/>
      <c r="G1433" s="765"/>
      <c r="H1433" s="765"/>
      <c r="I1433" s="746" t="str">
        <f t="shared" si="67"/>
        <v/>
      </c>
      <c r="J1433" s="731"/>
      <c r="K1433" s="731" t="str">
        <f t="shared" si="66"/>
        <v/>
      </c>
      <c r="L1433" s="726"/>
      <c r="M1433" s="726"/>
      <c r="N1433" s="726"/>
      <c r="O1433" s="726"/>
      <c r="P1433" s="726"/>
      <c r="Q1433" s="726"/>
      <c r="R1433" s="726"/>
      <c r="S1433" s="726"/>
      <c r="T1433" s="726"/>
      <c r="U1433" s="726"/>
      <c r="V1433" s="726"/>
      <c r="W1433" s="726"/>
      <c r="X1433" s="726"/>
      <c r="Y1433" s="726"/>
      <c r="Z1433" s="726"/>
      <c r="AA1433" s="732"/>
      <c r="AB1433" s="732"/>
      <c r="AC1433" s="732"/>
      <c r="AD1433" s="732"/>
      <c r="AE1433" s="733"/>
      <c r="AF1433" s="734" t="str">
        <f t="shared" si="68"/>
        <v/>
      </c>
      <c r="AG1433" s="774"/>
      <c r="AH1433" s="778"/>
      <c r="AI1433" s="736"/>
      <c r="AJ1433" s="736"/>
      <c r="AK1433" s="736"/>
      <c r="AL1433" s="736"/>
      <c r="AM1433" s="736"/>
      <c r="AN1433" s="736"/>
      <c r="AO1433" s="736"/>
      <c r="AP1433" s="736"/>
      <c r="AQ1433" s="736"/>
      <c r="AR1433" s="736"/>
      <c r="AS1433" s="736"/>
      <c r="AT1433" s="736"/>
      <c r="AU1433" s="736"/>
      <c r="AV1433" s="736"/>
      <c r="AW1433" s="736"/>
      <c r="AX1433" s="736"/>
      <c r="AY1433" s="736"/>
      <c r="AZ1433" s="736"/>
      <c r="BA1433" s="736"/>
      <c r="BB1433" s="736"/>
      <c r="BC1433" s="736"/>
      <c r="BD1433" s="736"/>
      <c r="BE1433" s="736"/>
      <c r="BF1433" s="736"/>
      <c r="BG1433" s="736"/>
      <c r="BH1433" s="736"/>
      <c r="BI1433" s="736"/>
      <c r="BJ1433" s="736"/>
      <c r="BK1433" s="736"/>
      <c r="BL1433" s="736"/>
    </row>
    <row r="1434" spans="1:64" ht="18.75" x14ac:dyDescent="0.25">
      <c r="A1434" s="758"/>
      <c r="B1434" s="737"/>
      <c r="C1434" s="730"/>
      <c r="D1434" s="739"/>
      <c r="E1434" s="765"/>
      <c r="F1434" s="765"/>
      <c r="G1434" s="765"/>
      <c r="H1434" s="765"/>
      <c r="I1434" s="746" t="str">
        <f t="shared" si="67"/>
        <v/>
      </c>
      <c r="J1434" s="731"/>
      <c r="K1434" s="731" t="str">
        <f t="shared" si="66"/>
        <v/>
      </c>
      <c r="L1434" s="726"/>
      <c r="M1434" s="726"/>
      <c r="N1434" s="726"/>
      <c r="O1434" s="726"/>
      <c r="P1434" s="726"/>
      <c r="Q1434" s="726"/>
      <c r="R1434" s="726"/>
      <c r="S1434" s="726"/>
      <c r="T1434" s="726"/>
      <c r="U1434" s="726"/>
      <c r="V1434" s="726"/>
      <c r="W1434" s="726"/>
      <c r="X1434" s="726"/>
      <c r="Y1434" s="726"/>
      <c r="Z1434" s="726"/>
      <c r="AA1434" s="732"/>
      <c r="AB1434" s="732"/>
      <c r="AC1434" s="732"/>
      <c r="AD1434" s="732"/>
      <c r="AE1434" s="733"/>
      <c r="AF1434" s="734" t="str">
        <f t="shared" si="68"/>
        <v/>
      </c>
      <c r="AG1434" s="773"/>
    </row>
    <row r="1435" spans="1:64" ht="18.75" x14ac:dyDescent="0.25">
      <c r="A1435" s="758"/>
      <c r="B1435" s="737"/>
      <c r="C1435" s="730"/>
      <c r="D1435" s="739"/>
      <c r="E1435" s="765"/>
      <c r="F1435" s="765"/>
      <c r="G1435" s="765"/>
      <c r="H1435" s="765"/>
      <c r="I1435" s="746" t="str">
        <f t="shared" si="67"/>
        <v/>
      </c>
      <c r="J1435" s="731"/>
      <c r="K1435" s="731" t="str">
        <f t="shared" si="66"/>
        <v/>
      </c>
      <c r="L1435" s="726"/>
      <c r="M1435" s="726"/>
      <c r="N1435" s="726"/>
      <c r="O1435" s="726"/>
      <c r="P1435" s="726"/>
      <c r="Q1435" s="726"/>
      <c r="R1435" s="726"/>
      <c r="S1435" s="726"/>
      <c r="T1435" s="726"/>
      <c r="U1435" s="726"/>
      <c r="V1435" s="726"/>
      <c r="W1435" s="726"/>
      <c r="X1435" s="726"/>
      <c r="Y1435" s="726"/>
      <c r="Z1435" s="726"/>
      <c r="AA1435" s="732"/>
      <c r="AB1435" s="732"/>
      <c r="AC1435" s="732"/>
      <c r="AD1435" s="732"/>
      <c r="AE1435" s="733"/>
      <c r="AF1435" s="734" t="str">
        <f t="shared" si="68"/>
        <v/>
      </c>
      <c r="AG1435" s="774"/>
      <c r="AH1435" s="778"/>
      <c r="AI1435" s="736"/>
      <c r="AJ1435" s="736"/>
      <c r="AK1435" s="736"/>
      <c r="AL1435" s="736"/>
      <c r="AM1435" s="736"/>
      <c r="AN1435" s="736"/>
      <c r="AO1435" s="736"/>
      <c r="AP1435" s="736"/>
      <c r="AQ1435" s="736"/>
      <c r="AR1435" s="736"/>
      <c r="AS1435" s="736"/>
      <c r="AT1435" s="736"/>
      <c r="AU1435" s="736"/>
      <c r="AV1435" s="736"/>
      <c r="AW1435" s="736"/>
      <c r="AX1435" s="736"/>
      <c r="AY1435" s="736"/>
      <c r="AZ1435" s="736"/>
      <c r="BA1435" s="736"/>
      <c r="BB1435" s="736"/>
      <c r="BC1435" s="736"/>
      <c r="BD1435" s="736"/>
      <c r="BE1435" s="736"/>
      <c r="BF1435" s="736"/>
      <c r="BG1435" s="736"/>
      <c r="BH1435" s="736"/>
      <c r="BI1435" s="736"/>
      <c r="BJ1435" s="736"/>
      <c r="BK1435" s="736"/>
      <c r="BL1435" s="736"/>
    </row>
    <row r="1436" spans="1:64" ht="18.75" x14ac:dyDescent="0.25">
      <c r="A1436" s="758"/>
      <c r="B1436" s="737"/>
      <c r="C1436" s="730"/>
      <c r="D1436" s="739"/>
      <c r="E1436" s="765"/>
      <c r="F1436" s="765"/>
      <c r="G1436" s="765"/>
      <c r="H1436" s="765"/>
      <c r="I1436" s="746" t="str">
        <f t="shared" si="67"/>
        <v/>
      </c>
      <c r="J1436" s="731"/>
      <c r="K1436" s="731" t="str">
        <f t="shared" si="66"/>
        <v/>
      </c>
      <c r="L1436" s="726"/>
      <c r="M1436" s="726"/>
      <c r="N1436" s="726"/>
      <c r="O1436" s="726"/>
      <c r="P1436" s="726"/>
      <c r="Q1436" s="726"/>
      <c r="R1436" s="726"/>
      <c r="S1436" s="726"/>
      <c r="T1436" s="726"/>
      <c r="U1436" s="726"/>
      <c r="V1436" s="726"/>
      <c r="W1436" s="726"/>
      <c r="X1436" s="726"/>
      <c r="Y1436" s="726"/>
      <c r="Z1436" s="726"/>
      <c r="AA1436" s="732"/>
      <c r="AB1436" s="732"/>
      <c r="AC1436" s="732"/>
      <c r="AD1436" s="732"/>
      <c r="AE1436" s="733"/>
      <c r="AF1436" s="734" t="str">
        <f t="shared" si="68"/>
        <v/>
      </c>
      <c r="AG1436" s="774"/>
      <c r="AH1436" s="778"/>
      <c r="AI1436" s="736"/>
      <c r="AJ1436" s="736"/>
      <c r="AK1436" s="736"/>
      <c r="AL1436" s="736"/>
      <c r="AM1436" s="736"/>
      <c r="AN1436" s="736"/>
      <c r="AO1436" s="736"/>
      <c r="AP1436" s="736"/>
      <c r="AQ1436" s="736"/>
      <c r="AR1436" s="736"/>
      <c r="AS1436" s="736"/>
      <c r="AT1436" s="736"/>
      <c r="AU1436" s="736"/>
      <c r="AV1436" s="736"/>
      <c r="AW1436" s="736"/>
      <c r="AX1436" s="736"/>
      <c r="AY1436" s="736"/>
      <c r="AZ1436" s="736"/>
      <c r="BA1436" s="736"/>
      <c r="BB1436" s="736"/>
      <c r="BC1436" s="736"/>
      <c r="BD1436" s="736"/>
      <c r="BE1436" s="736"/>
      <c r="BF1436" s="736"/>
      <c r="BG1436" s="736"/>
      <c r="BH1436" s="736"/>
      <c r="BI1436" s="736"/>
      <c r="BJ1436" s="736"/>
      <c r="BK1436" s="736"/>
      <c r="BL1436" s="736"/>
    </row>
    <row r="1437" spans="1:64" ht="18.75" x14ac:dyDescent="0.25">
      <c r="A1437" s="758"/>
      <c r="B1437" s="737"/>
      <c r="C1437" s="730"/>
      <c r="D1437" s="739"/>
      <c r="E1437" s="765"/>
      <c r="F1437" s="765"/>
      <c r="G1437" s="765"/>
      <c r="H1437" s="765"/>
      <c r="I1437" s="746" t="str">
        <f t="shared" si="67"/>
        <v/>
      </c>
      <c r="J1437" s="731"/>
      <c r="K1437" s="731" t="str">
        <f t="shared" si="66"/>
        <v/>
      </c>
      <c r="L1437" s="726"/>
      <c r="M1437" s="726"/>
      <c r="N1437" s="726"/>
      <c r="O1437" s="726"/>
      <c r="P1437" s="726"/>
      <c r="Q1437" s="726"/>
      <c r="R1437" s="726"/>
      <c r="S1437" s="726"/>
      <c r="T1437" s="726"/>
      <c r="U1437" s="726"/>
      <c r="V1437" s="726"/>
      <c r="W1437" s="726"/>
      <c r="X1437" s="726"/>
      <c r="Y1437" s="726"/>
      <c r="Z1437" s="726"/>
      <c r="AA1437" s="732"/>
      <c r="AB1437" s="732"/>
      <c r="AC1437" s="732"/>
      <c r="AD1437" s="732"/>
      <c r="AE1437" s="733"/>
      <c r="AF1437" s="734" t="str">
        <f t="shared" si="68"/>
        <v/>
      </c>
      <c r="AG1437" s="773"/>
    </row>
    <row r="1438" spans="1:64" ht="18.75" x14ac:dyDescent="0.25">
      <c r="A1438" s="758"/>
      <c r="B1438" s="737"/>
      <c r="C1438" s="730"/>
      <c r="D1438" s="739"/>
      <c r="E1438" s="765"/>
      <c r="F1438" s="765"/>
      <c r="G1438" s="765"/>
      <c r="H1438" s="765"/>
      <c r="I1438" s="746" t="str">
        <f t="shared" si="67"/>
        <v/>
      </c>
      <c r="J1438" s="731"/>
      <c r="K1438" s="731" t="str">
        <f t="shared" si="66"/>
        <v/>
      </c>
      <c r="L1438" s="726"/>
      <c r="M1438" s="726"/>
      <c r="N1438" s="726"/>
      <c r="O1438" s="726"/>
      <c r="P1438" s="726"/>
      <c r="Q1438" s="726"/>
      <c r="R1438" s="726"/>
      <c r="S1438" s="726"/>
      <c r="T1438" s="726"/>
      <c r="U1438" s="726"/>
      <c r="V1438" s="726"/>
      <c r="W1438" s="726"/>
      <c r="X1438" s="726"/>
      <c r="Y1438" s="726"/>
      <c r="Z1438" s="726"/>
      <c r="AA1438" s="732"/>
      <c r="AB1438" s="732"/>
      <c r="AC1438" s="732"/>
      <c r="AD1438" s="732"/>
      <c r="AE1438" s="733"/>
      <c r="AF1438" s="734" t="str">
        <f t="shared" si="68"/>
        <v/>
      </c>
      <c r="AG1438" s="774"/>
      <c r="AH1438" s="778"/>
      <c r="AI1438" s="736"/>
      <c r="AJ1438" s="736"/>
      <c r="AK1438" s="736"/>
      <c r="AL1438" s="736"/>
      <c r="AM1438" s="736"/>
      <c r="AN1438" s="736"/>
      <c r="AO1438" s="736"/>
      <c r="AP1438" s="736"/>
      <c r="AQ1438" s="736"/>
      <c r="AR1438" s="736"/>
      <c r="AS1438" s="736"/>
      <c r="AT1438" s="736"/>
      <c r="AU1438" s="736"/>
      <c r="AV1438" s="736"/>
      <c r="AW1438" s="736"/>
      <c r="AX1438" s="736"/>
      <c r="AY1438" s="736"/>
      <c r="AZ1438" s="736"/>
      <c r="BA1438" s="736"/>
      <c r="BB1438" s="736"/>
      <c r="BC1438" s="736"/>
      <c r="BD1438" s="736"/>
      <c r="BE1438" s="736"/>
      <c r="BF1438" s="736"/>
      <c r="BG1438" s="736"/>
      <c r="BH1438" s="736"/>
      <c r="BI1438" s="736"/>
      <c r="BJ1438" s="736"/>
      <c r="BK1438" s="736"/>
      <c r="BL1438" s="736"/>
    </row>
    <row r="1439" spans="1:64" ht="18.75" x14ac:dyDescent="0.25">
      <c r="A1439" s="758"/>
      <c r="B1439" s="737"/>
      <c r="C1439" s="730"/>
      <c r="D1439" s="739"/>
      <c r="E1439" s="765"/>
      <c r="F1439" s="765"/>
      <c r="G1439" s="765"/>
      <c r="H1439" s="765"/>
      <c r="I1439" s="746" t="str">
        <f t="shared" si="67"/>
        <v/>
      </c>
      <c r="J1439" s="731"/>
      <c r="K1439" s="731" t="str">
        <f t="shared" si="66"/>
        <v/>
      </c>
      <c r="L1439" s="726"/>
      <c r="M1439" s="726"/>
      <c r="N1439" s="726"/>
      <c r="O1439" s="726"/>
      <c r="P1439" s="726"/>
      <c r="Q1439" s="726"/>
      <c r="R1439" s="726"/>
      <c r="S1439" s="726"/>
      <c r="T1439" s="726"/>
      <c r="U1439" s="726"/>
      <c r="V1439" s="726"/>
      <c r="W1439" s="726"/>
      <c r="X1439" s="726"/>
      <c r="Y1439" s="726"/>
      <c r="Z1439" s="726"/>
      <c r="AA1439" s="732"/>
      <c r="AB1439" s="732"/>
      <c r="AC1439" s="732"/>
      <c r="AD1439" s="732"/>
      <c r="AE1439" s="733"/>
      <c r="AF1439" s="734" t="str">
        <f t="shared" si="68"/>
        <v/>
      </c>
      <c r="AG1439" s="773"/>
    </row>
    <row r="1440" spans="1:64" ht="18.75" x14ac:dyDescent="0.25">
      <c r="A1440" s="758"/>
      <c r="B1440" s="737"/>
      <c r="C1440" s="730"/>
      <c r="D1440" s="739"/>
      <c r="E1440" s="765"/>
      <c r="F1440" s="765"/>
      <c r="G1440" s="765"/>
      <c r="H1440" s="765"/>
      <c r="I1440" s="746" t="str">
        <f t="shared" si="67"/>
        <v/>
      </c>
      <c r="J1440" s="731"/>
      <c r="K1440" s="731" t="str">
        <f t="shared" si="66"/>
        <v/>
      </c>
      <c r="L1440" s="726"/>
      <c r="M1440" s="726"/>
      <c r="N1440" s="726"/>
      <c r="O1440" s="726"/>
      <c r="P1440" s="726"/>
      <c r="Q1440" s="726"/>
      <c r="R1440" s="726"/>
      <c r="S1440" s="726"/>
      <c r="T1440" s="726"/>
      <c r="U1440" s="726"/>
      <c r="V1440" s="726"/>
      <c r="W1440" s="726"/>
      <c r="X1440" s="726"/>
      <c r="Y1440" s="726"/>
      <c r="Z1440" s="726"/>
      <c r="AA1440" s="732"/>
      <c r="AB1440" s="732"/>
      <c r="AC1440" s="732"/>
      <c r="AD1440" s="732"/>
      <c r="AE1440" s="733"/>
      <c r="AF1440" s="734" t="str">
        <f t="shared" si="68"/>
        <v/>
      </c>
      <c r="AG1440" s="774"/>
      <c r="AH1440" s="778"/>
      <c r="AI1440" s="736"/>
      <c r="AJ1440" s="736"/>
      <c r="AK1440" s="736"/>
      <c r="AL1440" s="736"/>
      <c r="AM1440" s="736"/>
      <c r="AN1440" s="736"/>
      <c r="AO1440" s="736"/>
      <c r="AP1440" s="736"/>
      <c r="AQ1440" s="736"/>
      <c r="AR1440" s="736"/>
      <c r="AS1440" s="736"/>
      <c r="AT1440" s="736"/>
      <c r="AU1440" s="736"/>
      <c r="AV1440" s="736"/>
      <c r="AW1440" s="736"/>
      <c r="AX1440" s="736"/>
      <c r="AY1440" s="736"/>
      <c r="AZ1440" s="736"/>
      <c r="BA1440" s="736"/>
      <c r="BB1440" s="736"/>
      <c r="BC1440" s="736"/>
      <c r="BD1440" s="736"/>
      <c r="BE1440" s="736"/>
      <c r="BF1440" s="736"/>
      <c r="BG1440" s="736"/>
      <c r="BH1440" s="736"/>
      <c r="BI1440" s="736"/>
      <c r="BJ1440" s="736"/>
      <c r="BK1440" s="736"/>
      <c r="BL1440" s="736"/>
    </row>
    <row r="1441" spans="1:64" ht="18.75" x14ac:dyDescent="0.25">
      <c r="A1441" s="758"/>
      <c r="B1441" s="737"/>
      <c r="C1441" s="730"/>
      <c r="D1441" s="739"/>
      <c r="E1441" s="765"/>
      <c r="F1441" s="765"/>
      <c r="G1441" s="765"/>
      <c r="H1441" s="765"/>
      <c r="I1441" s="746" t="str">
        <f t="shared" si="67"/>
        <v/>
      </c>
      <c r="J1441" s="731"/>
      <c r="K1441" s="731" t="str">
        <f t="shared" si="66"/>
        <v/>
      </c>
      <c r="L1441" s="726"/>
      <c r="M1441" s="726"/>
      <c r="N1441" s="726"/>
      <c r="O1441" s="726"/>
      <c r="P1441" s="726"/>
      <c r="Q1441" s="726"/>
      <c r="R1441" s="726"/>
      <c r="S1441" s="726"/>
      <c r="T1441" s="726"/>
      <c r="U1441" s="726"/>
      <c r="V1441" s="726"/>
      <c r="W1441" s="726"/>
      <c r="X1441" s="726"/>
      <c r="Y1441" s="726"/>
      <c r="Z1441" s="726"/>
      <c r="AA1441" s="732"/>
      <c r="AB1441" s="732"/>
      <c r="AC1441" s="732"/>
      <c r="AD1441" s="732"/>
      <c r="AE1441" s="733"/>
      <c r="AF1441" s="734" t="str">
        <f t="shared" si="68"/>
        <v/>
      </c>
      <c r="AG1441" s="774"/>
      <c r="AH1441" s="778"/>
      <c r="AI1441" s="736"/>
      <c r="AJ1441" s="736"/>
      <c r="AK1441" s="736"/>
      <c r="AL1441" s="736"/>
      <c r="AM1441" s="736"/>
      <c r="AN1441" s="736"/>
      <c r="AO1441" s="736"/>
      <c r="AP1441" s="736"/>
      <c r="AQ1441" s="736"/>
      <c r="AR1441" s="736"/>
      <c r="AS1441" s="736"/>
      <c r="AT1441" s="736"/>
      <c r="AU1441" s="736"/>
      <c r="AV1441" s="736"/>
      <c r="AW1441" s="736"/>
      <c r="AX1441" s="736"/>
      <c r="AY1441" s="736"/>
      <c r="AZ1441" s="736"/>
      <c r="BA1441" s="736"/>
      <c r="BB1441" s="736"/>
      <c r="BC1441" s="736"/>
      <c r="BD1441" s="736"/>
      <c r="BE1441" s="736"/>
      <c r="BF1441" s="736"/>
      <c r="BG1441" s="736"/>
      <c r="BH1441" s="736"/>
      <c r="BI1441" s="736"/>
      <c r="BJ1441" s="736"/>
      <c r="BK1441" s="736"/>
      <c r="BL1441" s="736"/>
    </row>
    <row r="1442" spans="1:64" ht="18.75" x14ac:dyDescent="0.25">
      <c r="A1442" s="758"/>
      <c r="B1442" s="737"/>
      <c r="C1442" s="730"/>
      <c r="D1442" s="739"/>
      <c r="E1442" s="765"/>
      <c r="F1442" s="765"/>
      <c r="G1442" s="765"/>
      <c r="H1442" s="765"/>
      <c r="I1442" s="746" t="str">
        <f t="shared" si="67"/>
        <v/>
      </c>
      <c r="J1442" s="731"/>
      <c r="K1442" s="731" t="str">
        <f t="shared" si="66"/>
        <v/>
      </c>
      <c r="L1442" s="726"/>
      <c r="M1442" s="726"/>
      <c r="N1442" s="726"/>
      <c r="O1442" s="726"/>
      <c r="P1442" s="726"/>
      <c r="Q1442" s="726"/>
      <c r="R1442" s="726"/>
      <c r="S1442" s="726"/>
      <c r="T1442" s="726"/>
      <c r="U1442" s="726"/>
      <c r="V1442" s="726"/>
      <c r="W1442" s="726"/>
      <c r="X1442" s="726"/>
      <c r="Y1442" s="726"/>
      <c r="Z1442" s="726"/>
      <c r="AA1442" s="732"/>
      <c r="AB1442" s="732"/>
      <c r="AC1442" s="732"/>
      <c r="AD1442" s="732"/>
      <c r="AE1442" s="733"/>
      <c r="AF1442" s="734" t="str">
        <f t="shared" si="68"/>
        <v/>
      </c>
      <c r="AG1442" s="774"/>
      <c r="AH1442" s="778"/>
      <c r="AI1442" s="736"/>
      <c r="AJ1442" s="736"/>
      <c r="AK1442" s="736"/>
      <c r="AL1442" s="736"/>
      <c r="AM1442" s="736"/>
      <c r="AN1442" s="736"/>
      <c r="AO1442" s="736"/>
      <c r="AP1442" s="736"/>
      <c r="AQ1442" s="736"/>
      <c r="AR1442" s="736"/>
      <c r="AS1442" s="736"/>
      <c r="AT1442" s="736"/>
      <c r="AU1442" s="736"/>
      <c r="AV1442" s="736"/>
      <c r="AW1442" s="736"/>
      <c r="AX1442" s="736"/>
      <c r="AY1442" s="736"/>
      <c r="AZ1442" s="736"/>
      <c r="BA1442" s="736"/>
      <c r="BB1442" s="736"/>
      <c r="BC1442" s="736"/>
      <c r="BD1442" s="736"/>
      <c r="BE1442" s="736"/>
      <c r="BF1442" s="736"/>
      <c r="BG1442" s="736"/>
      <c r="BH1442" s="736"/>
      <c r="BI1442" s="736"/>
      <c r="BJ1442" s="736"/>
      <c r="BK1442" s="736"/>
      <c r="BL1442" s="736"/>
    </row>
    <row r="1443" spans="1:64" ht="18.75" x14ac:dyDescent="0.25">
      <c r="A1443" s="758"/>
      <c r="B1443" s="737"/>
      <c r="C1443" s="730"/>
      <c r="D1443" s="739"/>
      <c r="E1443" s="765"/>
      <c r="F1443" s="765"/>
      <c r="G1443" s="765"/>
      <c r="H1443" s="765"/>
      <c r="I1443" s="746" t="str">
        <f t="shared" si="67"/>
        <v/>
      </c>
      <c r="J1443" s="731"/>
      <c r="K1443" s="731" t="str">
        <f t="shared" si="66"/>
        <v/>
      </c>
      <c r="L1443" s="726"/>
      <c r="M1443" s="726"/>
      <c r="N1443" s="726"/>
      <c r="O1443" s="726"/>
      <c r="P1443" s="726"/>
      <c r="Q1443" s="726"/>
      <c r="R1443" s="726"/>
      <c r="S1443" s="726"/>
      <c r="T1443" s="726"/>
      <c r="U1443" s="726"/>
      <c r="V1443" s="726"/>
      <c r="W1443" s="726"/>
      <c r="X1443" s="726"/>
      <c r="Y1443" s="726"/>
      <c r="Z1443" s="726"/>
      <c r="AA1443" s="732"/>
      <c r="AB1443" s="732"/>
      <c r="AC1443" s="732"/>
      <c r="AD1443" s="732"/>
      <c r="AE1443" s="733"/>
      <c r="AF1443" s="734" t="str">
        <f t="shared" si="68"/>
        <v/>
      </c>
      <c r="AG1443" s="774"/>
      <c r="AH1443" s="778"/>
      <c r="AI1443" s="736"/>
      <c r="AJ1443" s="736"/>
      <c r="AK1443" s="736"/>
      <c r="AL1443" s="736"/>
      <c r="AM1443" s="736"/>
      <c r="AN1443" s="736"/>
      <c r="AO1443" s="736"/>
      <c r="AP1443" s="736"/>
      <c r="AQ1443" s="736"/>
      <c r="AR1443" s="736"/>
      <c r="AS1443" s="736"/>
      <c r="AT1443" s="736"/>
      <c r="AU1443" s="736"/>
      <c r="AV1443" s="736"/>
      <c r="AW1443" s="736"/>
      <c r="AX1443" s="736"/>
      <c r="AY1443" s="736"/>
      <c r="AZ1443" s="736"/>
      <c r="BA1443" s="736"/>
      <c r="BB1443" s="736"/>
      <c r="BC1443" s="736"/>
      <c r="BD1443" s="736"/>
      <c r="BE1443" s="736"/>
      <c r="BF1443" s="736"/>
      <c r="BG1443" s="736"/>
      <c r="BH1443" s="736"/>
      <c r="BI1443" s="736"/>
      <c r="BJ1443" s="736"/>
      <c r="BK1443" s="736"/>
      <c r="BL1443" s="736"/>
    </row>
    <row r="1444" spans="1:64" ht="18.75" x14ac:dyDescent="0.25">
      <c r="A1444" s="758"/>
      <c r="B1444" s="737"/>
      <c r="C1444" s="730"/>
      <c r="D1444" s="739"/>
      <c r="E1444" s="765"/>
      <c r="F1444" s="765"/>
      <c r="G1444" s="765"/>
      <c r="H1444" s="765"/>
      <c r="I1444" s="746" t="str">
        <f t="shared" si="67"/>
        <v/>
      </c>
      <c r="J1444" s="731"/>
      <c r="K1444" s="731" t="str">
        <f t="shared" si="66"/>
        <v/>
      </c>
      <c r="L1444" s="726"/>
      <c r="M1444" s="726"/>
      <c r="N1444" s="726"/>
      <c r="O1444" s="726"/>
      <c r="P1444" s="726"/>
      <c r="Q1444" s="726"/>
      <c r="R1444" s="726"/>
      <c r="S1444" s="726"/>
      <c r="T1444" s="726"/>
      <c r="U1444" s="726"/>
      <c r="V1444" s="726"/>
      <c r="W1444" s="726"/>
      <c r="X1444" s="726"/>
      <c r="Y1444" s="726"/>
      <c r="Z1444" s="726"/>
      <c r="AA1444" s="732"/>
      <c r="AB1444" s="732"/>
      <c r="AC1444" s="732"/>
      <c r="AD1444" s="732"/>
      <c r="AE1444" s="733"/>
      <c r="AF1444" s="734" t="str">
        <f t="shared" si="68"/>
        <v/>
      </c>
      <c r="AG1444" s="774"/>
      <c r="AH1444" s="778"/>
      <c r="AI1444" s="736"/>
      <c r="AJ1444" s="736"/>
      <c r="AK1444" s="736"/>
      <c r="AL1444" s="736"/>
      <c r="AM1444" s="736"/>
      <c r="AN1444" s="736"/>
      <c r="AO1444" s="736"/>
      <c r="AP1444" s="736"/>
      <c r="AQ1444" s="736"/>
      <c r="AR1444" s="736"/>
      <c r="AS1444" s="736"/>
      <c r="AT1444" s="736"/>
      <c r="AU1444" s="736"/>
      <c r="AV1444" s="736"/>
      <c r="AW1444" s="736"/>
      <c r="AX1444" s="736"/>
      <c r="AY1444" s="736"/>
      <c r="AZ1444" s="736"/>
      <c r="BA1444" s="736"/>
      <c r="BB1444" s="736"/>
      <c r="BC1444" s="736"/>
      <c r="BD1444" s="736"/>
      <c r="BE1444" s="736"/>
      <c r="BF1444" s="736"/>
      <c r="BG1444" s="736"/>
      <c r="BH1444" s="736"/>
      <c r="BI1444" s="736"/>
      <c r="BJ1444" s="736"/>
      <c r="BK1444" s="736"/>
      <c r="BL1444" s="736"/>
    </row>
    <row r="1445" spans="1:64" ht="18.75" x14ac:dyDescent="0.25">
      <c r="A1445" s="758"/>
      <c r="B1445" s="737"/>
      <c r="C1445" s="730"/>
      <c r="D1445" s="739"/>
      <c r="E1445" s="765"/>
      <c r="F1445" s="765"/>
      <c r="G1445" s="765"/>
      <c r="H1445" s="765"/>
      <c r="I1445" s="746" t="str">
        <f t="shared" si="67"/>
        <v/>
      </c>
      <c r="J1445" s="731"/>
      <c r="K1445" s="731" t="str">
        <f t="shared" si="66"/>
        <v/>
      </c>
      <c r="L1445" s="726"/>
      <c r="M1445" s="726"/>
      <c r="N1445" s="726"/>
      <c r="O1445" s="726"/>
      <c r="P1445" s="726"/>
      <c r="Q1445" s="726"/>
      <c r="R1445" s="726"/>
      <c r="S1445" s="726"/>
      <c r="T1445" s="726"/>
      <c r="U1445" s="726"/>
      <c r="V1445" s="726"/>
      <c r="W1445" s="726"/>
      <c r="X1445" s="726"/>
      <c r="Y1445" s="726"/>
      <c r="Z1445" s="726"/>
      <c r="AA1445" s="732"/>
      <c r="AB1445" s="732"/>
      <c r="AC1445" s="732"/>
      <c r="AD1445" s="732"/>
      <c r="AE1445" s="733"/>
      <c r="AF1445" s="734" t="str">
        <f t="shared" si="68"/>
        <v/>
      </c>
      <c r="AG1445" s="774"/>
      <c r="AH1445" s="778"/>
      <c r="AI1445" s="736"/>
      <c r="AJ1445" s="736"/>
      <c r="AK1445" s="736"/>
      <c r="AL1445" s="736"/>
      <c r="AM1445" s="736"/>
      <c r="AN1445" s="736"/>
      <c r="AO1445" s="736"/>
      <c r="AP1445" s="736"/>
      <c r="AQ1445" s="736"/>
      <c r="AR1445" s="736"/>
      <c r="AS1445" s="736"/>
      <c r="AT1445" s="736"/>
      <c r="AU1445" s="736"/>
      <c r="AV1445" s="736"/>
      <c r="AW1445" s="736"/>
      <c r="AX1445" s="736"/>
      <c r="AY1445" s="736"/>
      <c r="AZ1445" s="736"/>
      <c r="BA1445" s="736"/>
      <c r="BB1445" s="736"/>
      <c r="BC1445" s="736"/>
      <c r="BD1445" s="736"/>
      <c r="BE1445" s="736"/>
      <c r="BF1445" s="736"/>
      <c r="BG1445" s="736"/>
      <c r="BH1445" s="736"/>
      <c r="BI1445" s="736"/>
      <c r="BJ1445" s="736"/>
      <c r="BK1445" s="736"/>
      <c r="BL1445" s="736"/>
    </row>
    <row r="1446" spans="1:64" ht="18.75" x14ac:dyDescent="0.25">
      <c r="A1446" s="758"/>
      <c r="B1446" s="737"/>
      <c r="C1446" s="730"/>
      <c r="D1446" s="739"/>
      <c r="E1446" s="765"/>
      <c r="F1446" s="765"/>
      <c r="G1446" s="765"/>
      <c r="H1446" s="765"/>
      <c r="I1446" s="746" t="str">
        <f t="shared" si="67"/>
        <v/>
      </c>
      <c r="J1446" s="731"/>
      <c r="K1446" s="731" t="str">
        <f t="shared" si="66"/>
        <v/>
      </c>
      <c r="L1446" s="726"/>
      <c r="M1446" s="726"/>
      <c r="N1446" s="726"/>
      <c r="O1446" s="726"/>
      <c r="P1446" s="726"/>
      <c r="Q1446" s="726"/>
      <c r="R1446" s="726"/>
      <c r="S1446" s="726"/>
      <c r="T1446" s="726"/>
      <c r="U1446" s="726"/>
      <c r="V1446" s="726"/>
      <c r="W1446" s="726"/>
      <c r="X1446" s="726"/>
      <c r="Y1446" s="726"/>
      <c r="Z1446" s="726"/>
      <c r="AA1446" s="732"/>
      <c r="AB1446" s="732"/>
      <c r="AC1446" s="732"/>
      <c r="AD1446" s="732"/>
      <c r="AE1446" s="733"/>
      <c r="AF1446" s="734" t="str">
        <f t="shared" si="68"/>
        <v/>
      </c>
      <c r="AG1446" s="774"/>
      <c r="AH1446" s="778"/>
      <c r="AI1446" s="736"/>
      <c r="AJ1446" s="736"/>
      <c r="AK1446" s="736"/>
      <c r="AL1446" s="736"/>
      <c r="AM1446" s="736"/>
      <c r="AN1446" s="736"/>
      <c r="AO1446" s="736"/>
      <c r="AP1446" s="736"/>
      <c r="AQ1446" s="736"/>
      <c r="AR1446" s="736"/>
      <c r="AS1446" s="736"/>
      <c r="AT1446" s="736"/>
      <c r="AU1446" s="736"/>
      <c r="AV1446" s="736"/>
      <c r="AW1446" s="736"/>
      <c r="AX1446" s="736"/>
      <c r="AY1446" s="736"/>
      <c r="AZ1446" s="736"/>
      <c r="BA1446" s="736"/>
      <c r="BB1446" s="736"/>
      <c r="BC1446" s="736"/>
      <c r="BD1446" s="736"/>
      <c r="BE1446" s="736"/>
      <c r="BF1446" s="736"/>
      <c r="BG1446" s="736"/>
      <c r="BH1446" s="736"/>
      <c r="BI1446" s="736"/>
      <c r="BJ1446" s="736"/>
      <c r="BK1446" s="736"/>
      <c r="BL1446" s="736"/>
    </row>
    <row r="1447" spans="1:64" ht="18.75" x14ac:dyDescent="0.25">
      <c r="A1447" s="758"/>
      <c r="B1447" s="737"/>
      <c r="C1447" s="730"/>
      <c r="D1447" s="739"/>
      <c r="E1447" s="765"/>
      <c r="F1447" s="765"/>
      <c r="G1447" s="765"/>
      <c r="H1447" s="765"/>
      <c r="I1447" s="746" t="str">
        <f t="shared" si="67"/>
        <v/>
      </c>
      <c r="J1447" s="731"/>
      <c r="K1447" s="731" t="str">
        <f t="shared" si="66"/>
        <v/>
      </c>
      <c r="L1447" s="726"/>
      <c r="M1447" s="726"/>
      <c r="N1447" s="726"/>
      <c r="O1447" s="726"/>
      <c r="P1447" s="726"/>
      <c r="Q1447" s="726"/>
      <c r="R1447" s="726"/>
      <c r="S1447" s="726"/>
      <c r="T1447" s="726"/>
      <c r="U1447" s="726"/>
      <c r="V1447" s="726"/>
      <c r="W1447" s="726"/>
      <c r="X1447" s="726"/>
      <c r="Y1447" s="726"/>
      <c r="Z1447" s="726"/>
      <c r="AA1447" s="732"/>
      <c r="AB1447" s="732"/>
      <c r="AC1447" s="732"/>
      <c r="AD1447" s="732"/>
      <c r="AE1447" s="733"/>
      <c r="AF1447" s="734" t="str">
        <f t="shared" si="68"/>
        <v/>
      </c>
      <c r="AG1447" s="773"/>
    </row>
    <row r="1448" spans="1:64" ht="18.75" x14ac:dyDescent="0.25">
      <c r="A1448" s="758"/>
      <c r="B1448" s="737"/>
      <c r="C1448" s="730"/>
      <c r="D1448" s="739"/>
      <c r="E1448" s="765"/>
      <c r="F1448" s="765"/>
      <c r="G1448" s="765"/>
      <c r="H1448" s="765"/>
      <c r="I1448" s="746" t="str">
        <f t="shared" si="67"/>
        <v/>
      </c>
      <c r="J1448" s="731"/>
      <c r="K1448" s="731" t="str">
        <f t="shared" si="66"/>
        <v/>
      </c>
      <c r="L1448" s="726"/>
      <c r="M1448" s="726"/>
      <c r="N1448" s="726"/>
      <c r="O1448" s="726"/>
      <c r="P1448" s="726"/>
      <c r="Q1448" s="726"/>
      <c r="R1448" s="726"/>
      <c r="S1448" s="726"/>
      <c r="T1448" s="726"/>
      <c r="U1448" s="726"/>
      <c r="V1448" s="726"/>
      <c r="W1448" s="726"/>
      <c r="X1448" s="726"/>
      <c r="Y1448" s="726"/>
      <c r="Z1448" s="726"/>
      <c r="AA1448" s="732"/>
      <c r="AB1448" s="732"/>
      <c r="AC1448" s="732"/>
      <c r="AD1448" s="732"/>
      <c r="AE1448" s="733"/>
      <c r="AF1448" s="734" t="str">
        <f t="shared" si="68"/>
        <v/>
      </c>
      <c r="AG1448" s="774"/>
      <c r="AH1448" s="778"/>
      <c r="AI1448" s="736"/>
      <c r="AJ1448" s="736"/>
      <c r="AK1448" s="736"/>
      <c r="AL1448" s="736"/>
      <c r="AM1448" s="736"/>
      <c r="AN1448" s="736"/>
      <c r="AO1448" s="736"/>
      <c r="AP1448" s="736"/>
      <c r="AQ1448" s="736"/>
      <c r="AR1448" s="736"/>
      <c r="AS1448" s="736"/>
      <c r="AT1448" s="736"/>
      <c r="AU1448" s="736"/>
      <c r="AV1448" s="736"/>
      <c r="AW1448" s="736"/>
      <c r="AX1448" s="736"/>
      <c r="AY1448" s="736"/>
      <c r="AZ1448" s="736"/>
      <c r="BA1448" s="736"/>
      <c r="BB1448" s="736"/>
      <c r="BC1448" s="736"/>
      <c r="BD1448" s="736"/>
      <c r="BE1448" s="736"/>
      <c r="BF1448" s="736"/>
      <c r="BG1448" s="736"/>
      <c r="BH1448" s="736"/>
      <c r="BI1448" s="736"/>
      <c r="BJ1448" s="736"/>
      <c r="BK1448" s="736"/>
      <c r="BL1448" s="736"/>
    </row>
    <row r="1449" spans="1:64" ht="18.75" x14ac:dyDescent="0.25">
      <c r="A1449" s="758"/>
      <c r="B1449" s="737"/>
      <c r="C1449" s="730"/>
      <c r="D1449" s="739"/>
      <c r="E1449" s="765"/>
      <c r="F1449" s="765"/>
      <c r="G1449" s="765"/>
      <c r="H1449" s="765"/>
      <c r="I1449" s="746" t="str">
        <f t="shared" si="67"/>
        <v/>
      </c>
      <c r="J1449" s="731"/>
      <c r="K1449" s="731" t="str">
        <f t="shared" si="66"/>
        <v/>
      </c>
      <c r="L1449" s="726"/>
      <c r="M1449" s="726"/>
      <c r="N1449" s="726"/>
      <c r="O1449" s="726"/>
      <c r="P1449" s="726"/>
      <c r="Q1449" s="726"/>
      <c r="R1449" s="726"/>
      <c r="S1449" s="726"/>
      <c r="T1449" s="726"/>
      <c r="U1449" s="726"/>
      <c r="V1449" s="726"/>
      <c r="W1449" s="726"/>
      <c r="X1449" s="726"/>
      <c r="Y1449" s="726"/>
      <c r="Z1449" s="726"/>
      <c r="AA1449" s="732"/>
      <c r="AB1449" s="732"/>
      <c r="AC1449" s="732"/>
      <c r="AD1449" s="732"/>
      <c r="AE1449" s="733"/>
      <c r="AF1449" s="734" t="str">
        <f t="shared" si="68"/>
        <v/>
      </c>
      <c r="AG1449" s="774"/>
      <c r="AH1449" s="778"/>
      <c r="AI1449" s="736"/>
      <c r="AJ1449" s="736"/>
      <c r="AK1449" s="736"/>
      <c r="AL1449" s="736"/>
      <c r="AM1449" s="736"/>
      <c r="AN1449" s="736"/>
      <c r="AO1449" s="736"/>
      <c r="AP1449" s="736"/>
      <c r="AQ1449" s="736"/>
      <c r="AR1449" s="736"/>
      <c r="AS1449" s="736"/>
      <c r="AT1449" s="736"/>
      <c r="AU1449" s="736"/>
      <c r="AV1449" s="736"/>
      <c r="AW1449" s="736"/>
      <c r="AX1449" s="736"/>
      <c r="AY1449" s="736"/>
      <c r="AZ1449" s="736"/>
      <c r="BA1449" s="736"/>
      <c r="BB1449" s="736"/>
      <c r="BC1449" s="736"/>
      <c r="BD1449" s="736"/>
      <c r="BE1449" s="736"/>
      <c r="BF1449" s="736"/>
      <c r="BG1449" s="736"/>
      <c r="BH1449" s="736"/>
      <c r="BI1449" s="736"/>
      <c r="BJ1449" s="736"/>
      <c r="BK1449" s="736"/>
      <c r="BL1449" s="736"/>
    </row>
    <row r="1450" spans="1:64" ht="18.75" x14ac:dyDescent="0.25">
      <c r="A1450" s="758"/>
      <c r="B1450" s="737"/>
      <c r="C1450" s="730"/>
      <c r="D1450" s="739"/>
      <c r="E1450" s="765"/>
      <c r="F1450" s="765"/>
      <c r="G1450" s="765"/>
      <c r="H1450" s="765"/>
      <c r="I1450" s="746" t="str">
        <f t="shared" si="67"/>
        <v/>
      </c>
      <c r="J1450" s="731"/>
      <c r="K1450" s="731" t="str">
        <f t="shared" si="66"/>
        <v/>
      </c>
      <c r="L1450" s="726"/>
      <c r="M1450" s="726"/>
      <c r="N1450" s="726"/>
      <c r="O1450" s="726"/>
      <c r="P1450" s="726"/>
      <c r="Q1450" s="726"/>
      <c r="R1450" s="726"/>
      <c r="S1450" s="726"/>
      <c r="T1450" s="726"/>
      <c r="U1450" s="726"/>
      <c r="V1450" s="726"/>
      <c r="W1450" s="726"/>
      <c r="X1450" s="726"/>
      <c r="Y1450" s="726"/>
      <c r="Z1450" s="726"/>
      <c r="AA1450" s="732"/>
      <c r="AB1450" s="732"/>
      <c r="AC1450" s="732"/>
      <c r="AD1450" s="732"/>
      <c r="AE1450" s="733"/>
      <c r="AF1450" s="734" t="str">
        <f t="shared" si="68"/>
        <v/>
      </c>
      <c r="AG1450" s="774"/>
      <c r="AH1450" s="778"/>
      <c r="AI1450" s="736"/>
      <c r="AJ1450" s="736"/>
      <c r="AK1450" s="736"/>
      <c r="AL1450" s="736"/>
      <c r="AM1450" s="736"/>
      <c r="AN1450" s="736"/>
      <c r="AO1450" s="736"/>
      <c r="AP1450" s="736"/>
      <c r="AQ1450" s="736"/>
      <c r="AR1450" s="736"/>
      <c r="AS1450" s="736"/>
      <c r="AT1450" s="736"/>
      <c r="AU1450" s="736"/>
      <c r="AV1450" s="736"/>
      <c r="AW1450" s="736"/>
      <c r="AX1450" s="736"/>
      <c r="AY1450" s="736"/>
      <c r="AZ1450" s="736"/>
      <c r="BA1450" s="736"/>
      <c r="BB1450" s="736"/>
      <c r="BC1450" s="736"/>
      <c r="BD1450" s="736"/>
      <c r="BE1450" s="736"/>
      <c r="BF1450" s="736"/>
      <c r="BG1450" s="736"/>
      <c r="BH1450" s="736"/>
      <c r="BI1450" s="736"/>
      <c r="BJ1450" s="736"/>
      <c r="BK1450" s="736"/>
      <c r="BL1450" s="736"/>
    </row>
    <row r="1451" spans="1:64" ht="18.75" x14ac:dyDescent="0.25">
      <c r="A1451" s="758"/>
      <c r="B1451" s="737"/>
      <c r="C1451" s="730"/>
      <c r="D1451" s="739"/>
      <c r="E1451" s="765"/>
      <c r="F1451" s="765"/>
      <c r="G1451" s="765"/>
      <c r="H1451" s="765"/>
      <c r="I1451" s="746" t="str">
        <f t="shared" si="67"/>
        <v/>
      </c>
      <c r="J1451" s="731"/>
      <c r="K1451" s="731" t="str">
        <f t="shared" si="66"/>
        <v/>
      </c>
      <c r="L1451" s="726"/>
      <c r="M1451" s="726"/>
      <c r="N1451" s="726"/>
      <c r="O1451" s="726"/>
      <c r="P1451" s="726"/>
      <c r="Q1451" s="726"/>
      <c r="R1451" s="726"/>
      <c r="S1451" s="726"/>
      <c r="T1451" s="726"/>
      <c r="U1451" s="726"/>
      <c r="V1451" s="726"/>
      <c r="W1451" s="726"/>
      <c r="X1451" s="726"/>
      <c r="Y1451" s="726"/>
      <c r="Z1451" s="726"/>
      <c r="AA1451" s="732"/>
      <c r="AB1451" s="732"/>
      <c r="AC1451" s="732"/>
      <c r="AD1451" s="732"/>
      <c r="AE1451" s="733"/>
      <c r="AF1451" s="734" t="str">
        <f t="shared" si="68"/>
        <v/>
      </c>
      <c r="AG1451" s="774"/>
      <c r="AH1451" s="778"/>
      <c r="AI1451" s="736"/>
      <c r="AJ1451" s="736"/>
      <c r="AK1451" s="736"/>
      <c r="AL1451" s="736"/>
      <c r="AM1451" s="736"/>
      <c r="AN1451" s="736"/>
      <c r="AO1451" s="736"/>
      <c r="AP1451" s="736"/>
      <c r="AQ1451" s="736"/>
      <c r="AR1451" s="736"/>
      <c r="AS1451" s="736"/>
      <c r="AT1451" s="736"/>
      <c r="AU1451" s="736"/>
      <c r="AV1451" s="736"/>
      <c r="AW1451" s="736"/>
      <c r="AX1451" s="736"/>
      <c r="AY1451" s="736"/>
      <c r="AZ1451" s="736"/>
      <c r="BA1451" s="736"/>
      <c r="BB1451" s="736"/>
      <c r="BC1451" s="736"/>
      <c r="BD1451" s="736"/>
      <c r="BE1451" s="736"/>
      <c r="BF1451" s="736"/>
      <c r="BG1451" s="736"/>
      <c r="BH1451" s="736"/>
      <c r="BI1451" s="736"/>
      <c r="BJ1451" s="736"/>
      <c r="BK1451" s="736"/>
      <c r="BL1451" s="736"/>
    </row>
    <row r="1452" spans="1:64" ht="18.75" x14ac:dyDescent="0.25">
      <c r="A1452" s="758"/>
      <c r="B1452" s="737"/>
      <c r="C1452" s="730"/>
      <c r="D1452" s="739"/>
      <c r="E1452" s="765"/>
      <c r="F1452" s="765"/>
      <c r="G1452" s="765"/>
      <c r="H1452" s="765"/>
      <c r="I1452" s="746" t="str">
        <f t="shared" si="67"/>
        <v/>
      </c>
      <c r="J1452" s="731"/>
      <c r="K1452" s="731" t="str">
        <f t="shared" si="66"/>
        <v/>
      </c>
      <c r="L1452" s="726"/>
      <c r="M1452" s="726"/>
      <c r="N1452" s="726"/>
      <c r="O1452" s="726"/>
      <c r="P1452" s="726"/>
      <c r="Q1452" s="726"/>
      <c r="R1452" s="726"/>
      <c r="S1452" s="726"/>
      <c r="T1452" s="726"/>
      <c r="U1452" s="726"/>
      <c r="V1452" s="726"/>
      <c r="W1452" s="726"/>
      <c r="X1452" s="726"/>
      <c r="Y1452" s="726"/>
      <c r="Z1452" s="726"/>
      <c r="AA1452" s="732"/>
      <c r="AB1452" s="732"/>
      <c r="AC1452" s="732"/>
      <c r="AD1452" s="732"/>
      <c r="AE1452" s="733"/>
      <c r="AF1452" s="734" t="str">
        <f t="shared" si="68"/>
        <v/>
      </c>
      <c r="AG1452" s="774"/>
      <c r="AH1452" s="778"/>
      <c r="AI1452" s="736"/>
      <c r="AJ1452" s="736"/>
      <c r="AK1452" s="736"/>
      <c r="AL1452" s="736"/>
      <c r="AM1452" s="736"/>
      <c r="AN1452" s="736"/>
      <c r="AO1452" s="736"/>
      <c r="AP1452" s="736"/>
      <c r="AQ1452" s="736"/>
      <c r="AR1452" s="736"/>
      <c r="AS1452" s="736"/>
      <c r="AT1452" s="736"/>
      <c r="AU1452" s="736"/>
      <c r="AV1452" s="736"/>
      <c r="AW1452" s="736"/>
      <c r="AX1452" s="736"/>
      <c r="AY1452" s="736"/>
      <c r="AZ1452" s="736"/>
      <c r="BA1452" s="736"/>
      <c r="BB1452" s="736"/>
      <c r="BC1452" s="736"/>
      <c r="BD1452" s="736"/>
      <c r="BE1452" s="736"/>
      <c r="BF1452" s="736"/>
      <c r="BG1452" s="736"/>
      <c r="BH1452" s="736"/>
      <c r="BI1452" s="736"/>
      <c r="BJ1452" s="736"/>
      <c r="BK1452" s="736"/>
      <c r="BL1452" s="736"/>
    </row>
    <row r="1453" spans="1:64" ht="18.75" x14ac:dyDescent="0.25">
      <c r="A1453" s="758"/>
      <c r="B1453" s="737"/>
      <c r="C1453" s="730"/>
      <c r="D1453" s="739"/>
      <c r="E1453" s="765"/>
      <c r="F1453" s="765"/>
      <c r="G1453" s="765"/>
      <c r="H1453" s="765"/>
      <c r="I1453" s="746" t="str">
        <f t="shared" si="67"/>
        <v/>
      </c>
      <c r="J1453" s="731"/>
      <c r="K1453" s="731" t="str">
        <f t="shared" si="66"/>
        <v/>
      </c>
      <c r="L1453" s="726"/>
      <c r="M1453" s="726"/>
      <c r="N1453" s="726"/>
      <c r="O1453" s="726"/>
      <c r="P1453" s="726"/>
      <c r="Q1453" s="726"/>
      <c r="R1453" s="726"/>
      <c r="S1453" s="726"/>
      <c r="T1453" s="726"/>
      <c r="U1453" s="726"/>
      <c r="V1453" s="726"/>
      <c r="W1453" s="726"/>
      <c r="X1453" s="726"/>
      <c r="Y1453" s="726"/>
      <c r="Z1453" s="726"/>
      <c r="AA1453" s="732"/>
      <c r="AB1453" s="732"/>
      <c r="AC1453" s="732"/>
      <c r="AD1453" s="732"/>
      <c r="AE1453" s="733"/>
      <c r="AF1453" s="734" t="str">
        <f t="shared" si="68"/>
        <v/>
      </c>
      <c r="AG1453" s="774"/>
      <c r="AH1453" s="778"/>
      <c r="AI1453" s="736"/>
      <c r="AJ1453" s="736"/>
      <c r="AK1453" s="736"/>
      <c r="AL1453" s="736"/>
      <c r="AM1453" s="736"/>
      <c r="AN1453" s="736"/>
      <c r="AO1453" s="736"/>
      <c r="AP1453" s="736"/>
      <c r="AQ1453" s="736"/>
      <c r="AR1453" s="736"/>
      <c r="AS1453" s="736"/>
      <c r="AT1453" s="736"/>
      <c r="AU1453" s="736"/>
      <c r="AV1453" s="736"/>
      <c r="AW1453" s="736"/>
      <c r="AX1453" s="736"/>
      <c r="AY1453" s="736"/>
      <c r="AZ1453" s="736"/>
      <c r="BA1453" s="736"/>
      <c r="BB1453" s="736"/>
      <c r="BC1453" s="736"/>
      <c r="BD1453" s="736"/>
      <c r="BE1453" s="736"/>
      <c r="BF1453" s="736"/>
      <c r="BG1453" s="736"/>
      <c r="BH1453" s="736"/>
      <c r="BI1453" s="736"/>
      <c r="BJ1453" s="736"/>
      <c r="BK1453" s="736"/>
      <c r="BL1453" s="736"/>
    </row>
    <row r="1454" spans="1:64" ht="18.75" x14ac:dyDescent="0.25">
      <c r="A1454" s="758"/>
      <c r="B1454" s="737"/>
      <c r="C1454" s="730"/>
      <c r="D1454" s="739"/>
      <c r="E1454" s="765"/>
      <c r="F1454" s="765"/>
      <c r="G1454" s="765"/>
      <c r="H1454" s="765"/>
      <c r="I1454" s="746" t="str">
        <f t="shared" si="67"/>
        <v/>
      </c>
      <c r="J1454" s="731"/>
      <c r="K1454" s="731" t="str">
        <f t="shared" si="66"/>
        <v/>
      </c>
      <c r="L1454" s="726"/>
      <c r="M1454" s="726"/>
      <c r="N1454" s="726"/>
      <c r="O1454" s="726"/>
      <c r="P1454" s="726"/>
      <c r="Q1454" s="726"/>
      <c r="R1454" s="726"/>
      <c r="S1454" s="726"/>
      <c r="T1454" s="726"/>
      <c r="U1454" s="726"/>
      <c r="V1454" s="726"/>
      <c r="W1454" s="726"/>
      <c r="X1454" s="726"/>
      <c r="Y1454" s="726"/>
      <c r="Z1454" s="726"/>
      <c r="AA1454" s="732"/>
      <c r="AB1454" s="732"/>
      <c r="AC1454" s="732"/>
      <c r="AD1454" s="732"/>
      <c r="AE1454" s="733"/>
      <c r="AF1454" s="734" t="str">
        <f t="shared" si="68"/>
        <v/>
      </c>
      <c r="AG1454" s="773"/>
    </row>
    <row r="1455" spans="1:64" ht="18.75" x14ac:dyDescent="0.25">
      <c r="A1455" s="758"/>
      <c r="B1455" s="737"/>
      <c r="C1455" s="730"/>
      <c r="D1455" s="739"/>
      <c r="E1455" s="765"/>
      <c r="F1455" s="765"/>
      <c r="G1455" s="765"/>
      <c r="H1455" s="765"/>
      <c r="I1455" s="746" t="str">
        <f t="shared" si="67"/>
        <v/>
      </c>
      <c r="J1455" s="731"/>
      <c r="K1455" s="731" t="str">
        <f t="shared" si="66"/>
        <v/>
      </c>
      <c r="L1455" s="726"/>
      <c r="M1455" s="726"/>
      <c r="N1455" s="726"/>
      <c r="O1455" s="726"/>
      <c r="P1455" s="726"/>
      <c r="Q1455" s="726"/>
      <c r="R1455" s="726"/>
      <c r="S1455" s="726"/>
      <c r="T1455" s="726"/>
      <c r="U1455" s="726"/>
      <c r="V1455" s="726"/>
      <c r="W1455" s="726"/>
      <c r="X1455" s="726"/>
      <c r="Y1455" s="726"/>
      <c r="Z1455" s="726"/>
      <c r="AA1455" s="732"/>
      <c r="AB1455" s="732"/>
      <c r="AC1455" s="732"/>
      <c r="AD1455" s="732"/>
      <c r="AE1455" s="733"/>
      <c r="AF1455" s="734" t="str">
        <f t="shared" si="68"/>
        <v/>
      </c>
      <c r="AG1455" s="774"/>
      <c r="AH1455" s="778"/>
      <c r="AI1455" s="736"/>
      <c r="AJ1455" s="736"/>
      <c r="AK1455" s="736"/>
      <c r="AL1455" s="736"/>
      <c r="AM1455" s="736"/>
      <c r="AN1455" s="736"/>
      <c r="AO1455" s="736"/>
      <c r="AP1455" s="736"/>
      <c r="AQ1455" s="736"/>
      <c r="AR1455" s="736"/>
      <c r="AS1455" s="736"/>
      <c r="AT1455" s="736"/>
      <c r="AU1455" s="736"/>
      <c r="AV1455" s="736"/>
      <c r="AW1455" s="736"/>
      <c r="AX1455" s="736"/>
      <c r="AY1455" s="736"/>
      <c r="AZ1455" s="736"/>
      <c r="BA1455" s="736"/>
      <c r="BB1455" s="736"/>
      <c r="BC1455" s="736"/>
      <c r="BD1455" s="736"/>
      <c r="BE1455" s="736"/>
      <c r="BF1455" s="736"/>
      <c r="BG1455" s="736"/>
      <c r="BH1455" s="736"/>
      <c r="BI1455" s="736"/>
      <c r="BJ1455" s="736"/>
      <c r="BK1455" s="736"/>
      <c r="BL1455" s="736"/>
    </row>
    <row r="1456" spans="1:64" ht="18.75" x14ac:dyDescent="0.25">
      <c r="A1456" s="758"/>
      <c r="B1456" s="737"/>
      <c r="C1456" s="730"/>
      <c r="D1456" s="739"/>
      <c r="E1456" s="765"/>
      <c r="F1456" s="765"/>
      <c r="G1456" s="765"/>
      <c r="H1456" s="765"/>
      <c r="I1456" s="746" t="str">
        <f t="shared" si="67"/>
        <v/>
      </c>
      <c r="J1456" s="731"/>
      <c r="K1456" s="731" t="str">
        <f t="shared" si="66"/>
        <v/>
      </c>
      <c r="L1456" s="726"/>
      <c r="M1456" s="726"/>
      <c r="N1456" s="726"/>
      <c r="O1456" s="726"/>
      <c r="P1456" s="726"/>
      <c r="Q1456" s="726"/>
      <c r="R1456" s="726"/>
      <c r="S1456" s="726"/>
      <c r="T1456" s="726"/>
      <c r="U1456" s="726"/>
      <c r="V1456" s="726"/>
      <c r="W1456" s="726"/>
      <c r="X1456" s="726"/>
      <c r="Y1456" s="726"/>
      <c r="Z1456" s="726"/>
      <c r="AA1456" s="732"/>
      <c r="AB1456" s="732"/>
      <c r="AC1456" s="732"/>
      <c r="AD1456" s="732"/>
      <c r="AE1456" s="733"/>
      <c r="AF1456" s="734" t="str">
        <f t="shared" si="68"/>
        <v/>
      </c>
      <c r="AG1456" s="773"/>
    </row>
    <row r="1457" spans="1:64" ht="18.75" x14ac:dyDescent="0.25">
      <c r="A1457" s="758"/>
      <c r="B1457" s="737"/>
      <c r="C1457" s="730"/>
      <c r="D1457" s="739"/>
      <c r="E1457" s="765"/>
      <c r="F1457" s="765"/>
      <c r="G1457" s="765"/>
      <c r="H1457" s="765"/>
      <c r="I1457" s="746" t="str">
        <f t="shared" si="67"/>
        <v/>
      </c>
      <c r="J1457" s="731"/>
      <c r="K1457" s="731" t="str">
        <f t="shared" si="66"/>
        <v/>
      </c>
      <c r="L1457" s="726"/>
      <c r="M1457" s="726"/>
      <c r="N1457" s="726"/>
      <c r="O1457" s="726"/>
      <c r="P1457" s="726"/>
      <c r="Q1457" s="726"/>
      <c r="R1457" s="726"/>
      <c r="S1457" s="726"/>
      <c r="T1457" s="726"/>
      <c r="U1457" s="726"/>
      <c r="V1457" s="726"/>
      <c r="W1457" s="726"/>
      <c r="X1457" s="726"/>
      <c r="Y1457" s="726"/>
      <c r="Z1457" s="726"/>
      <c r="AA1457" s="732"/>
      <c r="AB1457" s="732"/>
      <c r="AC1457" s="732"/>
      <c r="AD1457" s="732"/>
      <c r="AE1457" s="733"/>
      <c r="AF1457" s="734" t="str">
        <f t="shared" si="68"/>
        <v/>
      </c>
      <c r="AG1457" s="773"/>
    </row>
    <row r="1458" spans="1:64" ht="18.75" x14ac:dyDescent="0.25">
      <c r="A1458" s="758"/>
      <c r="B1458" s="737"/>
      <c r="C1458" s="730"/>
      <c r="D1458" s="739"/>
      <c r="E1458" s="765"/>
      <c r="F1458" s="765"/>
      <c r="G1458" s="765"/>
      <c r="H1458" s="765"/>
      <c r="I1458" s="746" t="str">
        <f t="shared" si="67"/>
        <v/>
      </c>
      <c r="J1458" s="731"/>
      <c r="K1458" s="731" t="str">
        <f t="shared" si="66"/>
        <v/>
      </c>
      <c r="L1458" s="726"/>
      <c r="M1458" s="726"/>
      <c r="N1458" s="726"/>
      <c r="O1458" s="726"/>
      <c r="P1458" s="726"/>
      <c r="Q1458" s="726"/>
      <c r="R1458" s="726"/>
      <c r="S1458" s="726"/>
      <c r="T1458" s="726"/>
      <c r="U1458" s="726"/>
      <c r="V1458" s="726"/>
      <c r="W1458" s="726"/>
      <c r="X1458" s="726"/>
      <c r="Y1458" s="726"/>
      <c r="Z1458" s="726"/>
      <c r="AA1458" s="732"/>
      <c r="AB1458" s="732"/>
      <c r="AC1458" s="732"/>
      <c r="AD1458" s="732"/>
      <c r="AE1458" s="733"/>
      <c r="AF1458" s="734" t="str">
        <f t="shared" si="68"/>
        <v/>
      </c>
      <c r="AG1458" s="774"/>
      <c r="AH1458" s="778"/>
      <c r="AI1458" s="736"/>
      <c r="AJ1458" s="736"/>
      <c r="AK1458" s="736"/>
      <c r="AL1458" s="736"/>
      <c r="AM1458" s="736"/>
      <c r="AN1458" s="736"/>
      <c r="AO1458" s="736"/>
      <c r="AP1458" s="736"/>
      <c r="AQ1458" s="736"/>
      <c r="AR1458" s="736"/>
      <c r="AS1458" s="736"/>
      <c r="AT1458" s="736"/>
      <c r="AU1458" s="736"/>
      <c r="AV1458" s="736"/>
      <c r="AW1458" s="736"/>
      <c r="AX1458" s="736"/>
      <c r="AY1458" s="736"/>
      <c r="AZ1458" s="736"/>
      <c r="BA1458" s="736"/>
      <c r="BB1458" s="736"/>
      <c r="BC1458" s="736"/>
      <c r="BD1458" s="736"/>
      <c r="BE1458" s="736"/>
      <c r="BF1458" s="736"/>
      <c r="BG1458" s="736"/>
      <c r="BH1458" s="736"/>
      <c r="BI1458" s="736"/>
      <c r="BJ1458" s="736"/>
      <c r="BK1458" s="736"/>
      <c r="BL1458" s="736"/>
    </row>
    <row r="1459" spans="1:64" ht="18.75" x14ac:dyDescent="0.25">
      <c r="A1459" s="758"/>
      <c r="B1459" s="737"/>
      <c r="C1459" s="730"/>
      <c r="D1459" s="739"/>
      <c r="E1459" s="765"/>
      <c r="F1459" s="765"/>
      <c r="G1459" s="765"/>
      <c r="H1459" s="765"/>
      <c r="I1459" s="746" t="str">
        <f t="shared" si="67"/>
        <v/>
      </c>
      <c r="J1459" s="731"/>
      <c r="K1459" s="731" t="str">
        <f t="shared" si="66"/>
        <v/>
      </c>
      <c r="L1459" s="726"/>
      <c r="M1459" s="726"/>
      <c r="N1459" s="726"/>
      <c r="O1459" s="726"/>
      <c r="P1459" s="726"/>
      <c r="Q1459" s="726"/>
      <c r="R1459" s="726"/>
      <c r="S1459" s="726"/>
      <c r="T1459" s="726"/>
      <c r="U1459" s="726"/>
      <c r="V1459" s="726"/>
      <c r="W1459" s="726"/>
      <c r="X1459" s="726"/>
      <c r="Y1459" s="726"/>
      <c r="Z1459" s="726"/>
      <c r="AA1459" s="732"/>
      <c r="AB1459" s="732"/>
      <c r="AC1459" s="732"/>
      <c r="AD1459" s="732"/>
      <c r="AE1459" s="733"/>
      <c r="AF1459" s="734" t="str">
        <f t="shared" si="68"/>
        <v/>
      </c>
      <c r="AG1459" s="774"/>
      <c r="AH1459" s="778"/>
      <c r="AI1459" s="736"/>
      <c r="AJ1459" s="736"/>
      <c r="AK1459" s="736"/>
      <c r="AL1459" s="736"/>
      <c r="AM1459" s="736"/>
      <c r="AN1459" s="736"/>
      <c r="AO1459" s="736"/>
      <c r="AP1459" s="736"/>
      <c r="AQ1459" s="736"/>
      <c r="AR1459" s="736"/>
      <c r="AS1459" s="736"/>
      <c r="AT1459" s="736"/>
      <c r="AU1459" s="736"/>
      <c r="AV1459" s="736"/>
      <c r="AW1459" s="736"/>
      <c r="AX1459" s="736"/>
      <c r="AY1459" s="736"/>
      <c r="AZ1459" s="736"/>
      <c r="BA1459" s="736"/>
      <c r="BB1459" s="736"/>
      <c r="BC1459" s="736"/>
      <c r="BD1459" s="736"/>
      <c r="BE1459" s="736"/>
      <c r="BF1459" s="736"/>
      <c r="BG1459" s="736"/>
      <c r="BH1459" s="736"/>
      <c r="BI1459" s="736"/>
      <c r="BJ1459" s="736"/>
      <c r="BK1459" s="736"/>
      <c r="BL1459" s="736"/>
    </row>
    <row r="1460" spans="1:64" ht="18.75" x14ac:dyDescent="0.25">
      <c r="A1460" s="758"/>
      <c r="B1460" s="737"/>
      <c r="C1460" s="730"/>
      <c r="D1460" s="739"/>
      <c r="E1460" s="765"/>
      <c r="F1460" s="765"/>
      <c r="G1460" s="765"/>
      <c r="H1460" s="765"/>
      <c r="I1460" s="746" t="str">
        <f t="shared" si="67"/>
        <v/>
      </c>
      <c r="J1460" s="731"/>
      <c r="K1460" s="731" t="str">
        <f t="shared" si="66"/>
        <v/>
      </c>
      <c r="L1460" s="726"/>
      <c r="M1460" s="726"/>
      <c r="N1460" s="726"/>
      <c r="O1460" s="726"/>
      <c r="P1460" s="726"/>
      <c r="Q1460" s="726"/>
      <c r="R1460" s="726"/>
      <c r="S1460" s="726"/>
      <c r="T1460" s="726"/>
      <c r="U1460" s="726"/>
      <c r="V1460" s="726"/>
      <c r="W1460" s="726"/>
      <c r="X1460" s="726"/>
      <c r="Y1460" s="726"/>
      <c r="Z1460" s="726"/>
      <c r="AA1460" s="732"/>
      <c r="AB1460" s="732"/>
      <c r="AC1460" s="732"/>
      <c r="AD1460" s="732"/>
      <c r="AE1460" s="733"/>
      <c r="AF1460" s="734" t="str">
        <f t="shared" si="68"/>
        <v/>
      </c>
      <c r="AG1460" s="774"/>
      <c r="AH1460" s="778"/>
      <c r="AI1460" s="736"/>
      <c r="AJ1460" s="736"/>
      <c r="AK1460" s="736"/>
      <c r="AL1460" s="736"/>
      <c r="AM1460" s="736"/>
      <c r="AN1460" s="736"/>
      <c r="AO1460" s="736"/>
      <c r="AP1460" s="736"/>
      <c r="AQ1460" s="736"/>
      <c r="AR1460" s="736"/>
      <c r="AS1460" s="736"/>
      <c r="AT1460" s="736"/>
      <c r="AU1460" s="736"/>
      <c r="AV1460" s="736"/>
      <c r="AW1460" s="736"/>
      <c r="AX1460" s="736"/>
      <c r="AY1460" s="736"/>
      <c r="AZ1460" s="736"/>
      <c r="BA1460" s="736"/>
      <c r="BB1460" s="736"/>
      <c r="BC1460" s="736"/>
      <c r="BD1460" s="736"/>
      <c r="BE1460" s="736"/>
      <c r="BF1460" s="736"/>
      <c r="BG1460" s="736"/>
      <c r="BH1460" s="736"/>
      <c r="BI1460" s="736"/>
      <c r="BJ1460" s="736"/>
      <c r="BK1460" s="736"/>
      <c r="BL1460" s="736"/>
    </row>
    <row r="1461" spans="1:64" ht="18.75" x14ac:dyDescent="0.25">
      <c r="A1461" s="758"/>
      <c r="B1461" s="737"/>
      <c r="C1461" s="730"/>
      <c r="D1461" s="739"/>
      <c r="E1461" s="765"/>
      <c r="F1461" s="765"/>
      <c r="G1461" s="765"/>
      <c r="H1461" s="765"/>
      <c r="I1461" s="746" t="str">
        <f t="shared" si="67"/>
        <v/>
      </c>
      <c r="J1461" s="731"/>
      <c r="K1461" s="731" t="str">
        <f t="shared" si="66"/>
        <v/>
      </c>
      <c r="L1461" s="726"/>
      <c r="M1461" s="726"/>
      <c r="N1461" s="726"/>
      <c r="O1461" s="726"/>
      <c r="P1461" s="726"/>
      <c r="Q1461" s="726"/>
      <c r="R1461" s="726"/>
      <c r="S1461" s="726"/>
      <c r="T1461" s="726"/>
      <c r="U1461" s="726"/>
      <c r="V1461" s="726"/>
      <c r="W1461" s="726"/>
      <c r="X1461" s="726"/>
      <c r="Y1461" s="726"/>
      <c r="Z1461" s="726"/>
      <c r="AA1461" s="732"/>
      <c r="AB1461" s="732"/>
      <c r="AC1461" s="732"/>
      <c r="AD1461" s="732"/>
      <c r="AE1461" s="733"/>
      <c r="AF1461" s="734" t="str">
        <f t="shared" si="68"/>
        <v/>
      </c>
      <c r="AG1461" s="773"/>
    </row>
    <row r="1462" spans="1:64" ht="18.75" x14ac:dyDescent="0.25">
      <c r="A1462" s="758"/>
      <c r="B1462" s="737"/>
      <c r="C1462" s="730"/>
      <c r="D1462" s="739"/>
      <c r="E1462" s="765"/>
      <c r="F1462" s="765"/>
      <c r="G1462" s="765"/>
      <c r="H1462" s="765"/>
      <c r="I1462" s="746" t="str">
        <f t="shared" si="67"/>
        <v/>
      </c>
      <c r="J1462" s="731"/>
      <c r="K1462" s="731" t="str">
        <f t="shared" si="66"/>
        <v/>
      </c>
      <c r="L1462" s="726"/>
      <c r="M1462" s="726"/>
      <c r="N1462" s="726"/>
      <c r="O1462" s="726"/>
      <c r="P1462" s="726"/>
      <c r="Q1462" s="726"/>
      <c r="R1462" s="726"/>
      <c r="S1462" s="726"/>
      <c r="T1462" s="726"/>
      <c r="U1462" s="726"/>
      <c r="V1462" s="726"/>
      <c r="W1462" s="726"/>
      <c r="X1462" s="726"/>
      <c r="Y1462" s="726"/>
      <c r="Z1462" s="726"/>
      <c r="AA1462" s="732"/>
      <c r="AB1462" s="732"/>
      <c r="AC1462" s="732"/>
      <c r="AD1462" s="732"/>
      <c r="AE1462" s="733"/>
      <c r="AF1462" s="734" t="str">
        <f t="shared" si="68"/>
        <v/>
      </c>
      <c r="AG1462" s="773"/>
    </row>
    <row r="1463" spans="1:64" ht="18.75" x14ac:dyDescent="0.25">
      <c r="A1463" s="758"/>
      <c r="B1463" s="737"/>
      <c r="C1463" s="730"/>
      <c r="D1463" s="739"/>
      <c r="E1463" s="765"/>
      <c r="F1463" s="765"/>
      <c r="G1463" s="765"/>
      <c r="H1463" s="765"/>
      <c r="I1463" s="746" t="str">
        <f t="shared" si="67"/>
        <v/>
      </c>
      <c r="J1463" s="731"/>
      <c r="K1463" s="731" t="str">
        <f t="shared" si="66"/>
        <v/>
      </c>
      <c r="L1463" s="726"/>
      <c r="M1463" s="726"/>
      <c r="N1463" s="726"/>
      <c r="O1463" s="726"/>
      <c r="P1463" s="726"/>
      <c r="Q1463" s="726"/>
      <c r="R1463" s="726"/>
      <c r="S1463" s="726"/>
      <c r="T1463" s="726"/>
      <c r="U1463" s="726"/>
      <c r="V1463" s="726"/>
      <c r="W1463" s="726"/>
      <c r="X1463" s="726"/>
      <c r="Y1463" s="726"/>
      <c r="Z1463" s="726"/>
      <c r="AA1463" s="732"/>
      <c r="AB1463" s="732"/>
      <c r="AC1463" s="732"/>
      <c r="AD1463" s="732"/>
      <c r="AE1463" s="733"/>
      <c r="AF1463" s="734" t="str">
        <f t="shared" si="68"/>
        <v/>
      </c>
      <c r="AG1463" s="773"/>
    </row>
    <row r="1464" spans="1:64" ht="18.75" x14ac:dyDescent="0.25">
      <c r="A1464" s="758"/>
      <c r="B1464" s="737"/>
      <c r="C1464" s="730"/>
      <c r="D1464" s="739"/>
      <c r="E1464" s="765"/>
      <c r="F1464" s="765"/>
      <c r="G1464" s="765"/>
      <c r="H1464" s="765"/>
      <c r="I1464" s="746" t="str">
        <f t="shared" si="67"/>
        <v/>
      </c>
      <c r="J1464" s="731"/>
      <c r="K1464" s="731" t="str">
        <f t="shared" si="66"/>
        <v/>
      </c>
      <c r="L1464" s="726"/>
      <c r="M1464" s="726"/>
      <c r="N1464" s="726"/>
      <c r="O1464" s="726"/>
      <c r="P1464" s="726"/>
      <c r="Q1464" s="726"/>
      <c r="R1464" s="726"/>
      <c r="S1464" s="726"/>
      <c r="T1464" s="726"/>
      <c r="U1464" s="726"/>
      <c r="V1464" s="726"/>
      <c r="W1464" s="726"/>
      <c r="X1464" s="726"/>
      <c r="Y1464" s="726"/>
      <c r="Z1464" s="726"/>
      <c r="AA1464" s="732"/>
      <c r="AB1464" s="732"/>
      <c r="AC1464" s="732"/>
      <c r="AD1464" s="732"/>
      <c r="AE1464" s="733"/>
      <c r="AF1464" s="734" t="str">
        <f t="shared" si="68"/>
        <v/>
      </c>
      <c r="AG1464" s="774"/>
      <c r="AH1464" s="778"/>
      <c r="AI1464" s="736"/>
      <c r="AJ1464" s="736"/>
      <c r="AK1464" s="736"/>
      <c r="AL1464" s="736"/>
      <c r="AM1464" s="736"/>
      <c r="AN1464" s="736"/>
      <c r="AO1464" s="736"/>
      <c r="AP1464" s="736"/>
      <c r="AQ1464" s="736"/>
      <c r="AR1464" s="736"/>
      <c r="AS1464" s="736"/>
      <c r="AT1464" s="736"/>
      <c r="AU1464" s="736"/>
      <c r="AV1464" s="736"/>
      <c r="AW1464" s="736"/>
      <c r="AX1464" s="736"/>
      <c r="AY1464" s="736"/>
      <c r="AZ1464" s="736"/>
      <c r="BA1464" s="736"/>
      <c r="BB1464" s="736"/>
      <c r="BC1464" s="736"/>
      <c r="BD1464" s="736"/>
      <c r="BE1464" s="736"/>
      <c r="BF1464" s="736"/>
      <c r="BG1464" s="736"/>
      <c r="BH1464" s="736"/>
      <c r="BI1464" s="736"/>
      <c r="BJ1464" s="736"/>
      <c r="BK1464" s="736"/>
      <c r="BL1464" s="736"/>
    </row>
    <row r="1465" spans="1:64" ht="18.75" x14ac:dyDescent="0.25">
      <c r="A1465" s="758"/>
      <c r="B1465" s="737"/>
      <c r="C1465" s="730"/>
      <c r="D1465" s="739"/>
      <c r="E1465" s="765"/>
      <c r="F1465" s="765"/>
      <c r="G1465" s="765"/>
      <c r="H1465" s="765"/>
      <c r="I1465" s="746" t="str">
        <f t="shared" si="67"/>
        <v/>
      </c>
      <c r="J1465" s="731"/>
      <c r="K1465" s="731" t="str">
        <f t="shared" si="66"/>
        <v/>
      </c>
      <c r="L1465" s="726"/>
      <c r="M1465" s="726"/>
      <c r="N1465" s="726"/>
      <c r="O1465" s="726"/>
      <c r="P1465" s="726"/>
      <c r="Q1465" s="726"/>
      <c r="R1465" s="726"/>
      <c r="S1465" s="726"/>
      <c r="T1465" s="726"/>
      <c r="U1465" s="726"/>
      <c r="V1465" s="726"/>
      <c r="W1465" s="726"/>
      <c r="X1465" s="726"/>
      <c r="Y1465" s="726"/>
      <c r="Z1465" s="726"/>
      <c r="AA1465" s="732"/>
      <c r="AB1465" s="732"/>
      <c r="AC1465" s="732"/>
      <c r="AD1465" s="732"/>
      <c r="AE1465" s="733"/>
      <c r="AF1465" s="734" t="str">
        <f t="shared" si="68"/>
        <v/>
      </c>
      <c r="AG1465" s="773"/>
    </row>
    <row r="1466" spans="1:64" ht="18.75" x14ac:dyDescent="0.25">
      <c r="A1466" s="758"/>
      <c r="B1466" s="737"/>
      <c r="C1466" s="730"/>
      <c r="D1466" s="739"/>
      <c r="E1466" s="765"/>
      <c r="F1466" s="765"/>
      <c r="G1466" s="765"/>
      <c r="H1466" s="765"/>
      <c r="I1466" s="746" t="str">
        <f t="shared" si="67"/>
        <v/>
      </c>
      <c r="J1466" s="731"/>
      <c r="K1466" s="731" t="str">
        <f t="shared" si="66"/>
        <v/>
      </c>
      <c r="L1466" s="726"/>
      <c r="M1466" s="726"/>
      <c r="N1466" s="726"/>
      <c r="O1466" s="726"/>
      <c r="P1466" s="726"/>
      <c r="Q1466" s="726"/>
      <c r="R1466" s="726"/>
      <c r="S1466" s="726"/>
      <c r="T1466" s="726"/>
      <c r="U1466" s="726"/>
      <c r="V1466" s="726"/>
      <c r="W1466" s="726"/>
      <c r="X1466" s="726"/>
      <c r="Y1466" s="726"/>
      <c r="Z1466" s="726"/>
      <c r="AA1466" s="732"/>
      <c r="AB1466" s="732"/>
      <c r="AC1466" s="732"/>
      <c r="AD1466" s="732"/>
      <c r="AE1466" s="733"/>
      <c r="AF1466" s="734" t="str">
        <f t="shared" si="68"/>
        <v/>
      </c>
      <c r="AG1466" s="773"/>
    </row>
    <row r="1467" spans="1:64" ht="18.75" x14ac:dyDescent="0.25">
      <c r="A1467" s="758"/>
      <c r="B1467" s="737"/>
      <c r="C1467" s="730"/>
      <c r="D1467" s="739"/>
      <c r="E1467" s="765"/>
      <c r="F1467" s="765"/>
      <c r="G1467" s="765"/>
      <c r="H1467" s="765"/>
      <c r="I1467" s="746" t="str">
        <f t="shared" si="67"/>
        <v/>
      </c>
      <c r="J1467" s="731"/>
      <c r="K1467" s="731" t="str">
        <f t="shared" si="66"/>
        <v/>
      </c>
      <c r="L1467" s="726"/>
      <c r="M1467" s="726"/>
      <c r="N1467" s="726"/>
      <c r="O1467" s="726"/>
      <c r="P1467" s="726"/>
      <c r="Q1467" s="726"/>
      <c r="R1467" s="726"/>
      <c r="S1467" s="726"/>
      <c r="T1467" s="726"/>
      <c r="U1467" s="726"/>
      <c r="V1467" s="726"/>
      <c r="W1467" s="726"/>
      <c r="X1467" s="726"/>
      <c r="Y1467" s="726"/>
      <c r="Z1467" s="726"/>
      <c r="AA1467" s="732"/>
      <c r="AB1467" s="732"/>
      <c r="AC1467" s="732"/>
      <c r="AD1467" s="732"/>
      <c r="AE1467" s="733"/>
      <c r="AF1467" s="734" t="str">
        <f t="shared" si="68"/>
        <v/>
      </c>
      <c r="AG1467" s="773"/>
    </row>
    <row r="1468" spans="1:64" ht="18.75" x14ac:dyDescent="0.25">
      <c r="A1468" s="758"/>
      <c r="B1468" s="737"/>
      <c r="C1468" s="730"/>
      <c r="D1468" s="739"/>
      <c r="E1468" s="765"/>
      <c r="F1468" s="765"/>
      <c r="G1468" s="765"/>
      <c r="H1468" s="765"/>
      <c r="I1468" s="746" t="str">
        <f t="shared" si="67"/>
        <v/>
      </c>
      <c r="J1468" s="731"/>
      <c r="K1468" s="731" t="str">
        <f t="shared" si="66"/>
        <v/>
      </c>
      <c r="L1468" s="726"/>
      <c r="M1468" s="726"/>
      <c r="N1468" s="726"/>
      <c r="O1468" s="726"/>
      <c r="P1468" s="726"/>
      <c r="Q1468" s="726"/>
      <c r="R1468" s="726"/>
      <c r="S1468" s="726"/>
      <c r="T1468" s="726"/>
      <c r="U1468" s="726"/>
      <c r="V1468" s="726"/>
      <c r="W1468" s="726"/>
      <c r="X1468" s="726"/>
      <c r="Y1468" s="726"/>
      <c r="Z1468" s="726"/>
      <c r="AA1468" s="732"/>
      <c r="AB1468" s="732"/>
      <c r="AC1468" s="732"/>
      <c r="AD1468" s="732"/>
      <c r="AE1468" s="733"/>
      <c r="AF1468" s="734" t="str">
        <f t="shared" si="68"/>
        <v/>
      </c>
      <c r="AG1468" s="773"/>
    </row>
    <row r="1469" spans="1:64" ht="18.75" x14ac:dyDescent="0.25">
      <c r="A1469" s="758"/>
      <c r="B1469" s="737"/>
      <c r="C1469" s="730"/>
      <c r="D1469" s="739"/>
      <c r="E1469" s="765"/>
      <c r="F1469" s="765"/>
      <c r="G1469" s="765"/>
      <c r="H1469" s="765"/>
      <c r="I1469" s="746" t="str">
        <f t="shared" si="67"/>
        <v/>
      </c>
      <c r="J1469" s="731"/>
      <c r="K1469" s="731" t="str">
        <f t="shared" si="66"/>
        <v/>
      </c>
      <c r="L1469" s="726"/>
      <c r="M1469" s="726"/>
      <c r="N1469" s="726"/>
      <c r="O1469" s="726"/>
      <c r="P1469" s="726"/>
      <c r="Q1469" s="726"/>
      <c r="R1469" s="726"/>
      <c r="S1469" s="726"/>
      <c r="T1469" s="726"/>
      <c r="U1469" s="726"/>
      <c r="V1469" s="726"/>
      <c r="W1469" s="726"/>
      <c r="X1469" s="726"/>
      <c r="Y1469" s="726"/>
      <c r="Z1469" s="726"/>
      <c r="AA1469" s="732"/>
      <c r="AB1469" s="732"/>
      <c r="AC1469" s="732"/>
      <c r="AD1469" s="732"/>
      <c r="AE1469" s="733"/>
      <c r="AF1469" s="734" t="str">
        <f t="shared" si="68"/>
        <v/>
      </c>
      <c r="AG1469" s="773"/>
    </row>
    <row r="1470" spans="1:64" ht="18.75" x14ac:dyDescent="0.25">
      <c r="A1470" s="758"/>
      <c r="B1470" s="737"/>
      <c r="C1470" s="730"/>
      <c r="D1470" s="739"/>
      <c r="E1470" s="765"/>
      <c r="F1470" s="765"/>
      <c r="G1470" s="765"/>
      <c r="H1470" s="765"/>
      <c r="I1470" s="746" t="str">
        <f t="shared" si="67"/>
        <v/>
      </c>
      <c r="J1470" s="731"/>
      <c r="K1470" s="731" t="str">
        <f t="shared" si="66"/>
        <v/>
      </c>
      <c r="L1470" s="726"/>
      <c r="M1470" s="726"/>
      <c r="N1470" s="726"/>
      <c r="O1470" s="726"/>
      <c r="P1470" s="726"/>
      <c r="Q1470" s="726"/>
      <c r="R1470" s="726"/>
      <c r="S1470" s="726"/>
      <c r="T1470" s="726"/>
      <c r="U1470" s="726"/>
      <c r="V1470" s="726"/>
      <c r="W1470" s="726"/>
      <c r="X1470" s="726"/>
      <c r="Y1470" s="726"/>
      <c r="Z1470" s="726"/>
      <c r="AA1470" s="732"/>
      <c r="AB1470" s="732"/>
      <c r="AC1470" s="732"/>
      <c r="AD1470" s="732"/>
      <c r="AE1470" s="733"/>
      <c r="AF1470" s="734" t="str">
        <f t="shared" si="68"/>
        <v/>
      </c>
      <c r="AG1470" s="773"/>
    </row>
    <row r="1471" spans="1:64" ht="18.75" x14ac:dyDescent="0.25">
      <c r="A1471" s="758"/>
      <c r="B1471" s="737"/>
      <c r="C1471" s="730"/>
      <c r="D1471" s="739"/>
      <c r="E1471" s="765"/>
      <c r="F1471" s="765"/>
      <c r="G1471" s="765"/>
      <c r="H1471" s="765"/>
      <c r="I1471" s="746" t="str">
        <f t="shared" si="67"/>
        <v/>
      </c>
      <c r="J1471" s="731"/>
      <c r="K1471" s="731" t="str">
        <f t="shared" si="66"/>
        <v/>
      </c>
      <c r="L1471" s="726"/>
      <c r="M1471" s="726"/>
      <c r="N1471" s="726"/>
      <c r="O1471" s="726"/>
      <c r="P1471" s="726"/>
      <c r="Q1471" s="726"/>
      <c r="R1471" s="726"/>
      <c r="S1471" s="726"/>
      <c r="T1471" s="726"/>
      <c r="U1471" s="726"/>
      <c r="V1471" s="726"/>
      <c r="W1471" s="726"/>
      <c r="X1471" s="726"/>
      <c r="Y1471" s="726"/>
      <c r="Z1471" s="726"/>
      <c r="AA1471" s="732"/>
      <c r="AB1471" s="732"/>
      <c r="AC1471" s="732"/>
      <c r="AD1471" s="732"/>
      <c r="AE1471" s="733"/>
      <c r="AF1471" s="734" t="str">
        <f t="shared" si="68"/>
        <v/>
      </c>
      <c r="AG1471" s="773"/>
    </row>
    <row r="1472" spans="1:64" ht="18.75" x14ac:dyDescent="0.25">
      <c r="A1472" s="758"/>
      <c r="B1472" s="737"/>
      <c r="C1472" s="730"/>
      <c r="D1472" s="739"/>
      <c r="E1472" s="765"/>
      <c r="F1472" s="765"/>
      <c r="G1472" s="765"/>
      <c r="H1472" s="765"/>
      <c r="I1472" s="746" t="str">
        <f t="shared" si="67"/>
        <v/>
      </c>
      <c r="J1472" s="731"/>
      <c r="K1472" s="731" t="str">
        <f t="shared" si="66"/>
        <v/>
      </c>
      <c r="L1472" s="726"/>
      <c r="M1472" s="726"/>
      <c r="N1472" s="726"/>
      <c r="O1472" s="726"/>
      <c r="P1472" s="726"/>
      <c r="Q1472" s="726"/>
      <c r="R1472" s="726"/>
      <c r="S1472" s="726"/>
      <c r="T1472" s="726"/>
      <c r="U1472" s="726"/>
      <c r="V1472" s="726"/>
      <c r="W1472" s="726"/>
      <c r="X1472" s="726"/>
      <c r="Y1472" s="726"/>
      <c r="Z1472" s="726"/>
      <c r="AA1472" s="732"/>
      <c r="AB1472" s="732"/>
      <c r="AC1472" s="732"/>
      <c r="AD1472" s="732"/>
      <c r="AE1472" s="733"/>
      <c r="AF1472" s="734" t="str">
        <f t="shared" si="68"/>
        <v/>
      </c>
      <c r="AG1472" s="773"/>
    </row>
    <row r="1473" spans="1:64" ht="18.75" x14ac:dyDescent="0.25">
      <c r="A1473" s="758"/>
      <c r="B1473" s="737"/>
      <c r="C1473" s="730"/>
      <c r="D1473" s="739"/>
      <c r="E1473" s="765"/>
      <c r="F1473" s="765"/>
      <c r="G1473" s="765"/>
      <c r="H1473" s="765"/>
      <c r="I1473" s="746" t="str">
        <f t="shared" si="67"/>
        <v/>
      </c>
      <c r="J1473" s="731"/>
      <c r="K1473" s="731" t="str">
        <f t="shared" si="66"/>
        <v/>
      </c>
      <c r="L1473" s="726"/>
      <c r="M1473" s="726"/>
      <c r="N1473" s="726"/>
      <c r="O1473" s="726"/>
      <c r="P1473" s="726"/>
      <c r="Q1473" s="726"/>
      <c r="R1473" s="726"/>
      <c r="S1473" s="726"/>
      <c r="T1473" s="726"/>
      <c r="U1473" s="726"/>
      <c r="V1473" s="726"/>
      <c r="W1473" s="726"/>
      <c r="X1473" s="726"/>
      <c r="Y1473" s="726"/>
      <c r="Z1473" s="726"/>
      <c r="AA1473" s="732"/>
      <c r="AB1473" s="732"/>
      <c r="AC1473" s="732"/>
      <c r="AD1473" s="732"/>
      <c r="AE1473" s="733"/>
      <c r="AF1473" s="734" t="str">
        <f t="shared" si="68"/>
        <v/>
      </c>
      <c r="AG1473" s="773"/>
    </row>
    <row r="1474" spans="1:64" ht="18.75" x14ac:dyDescent="0.25">
      <c r="A1474" s="758"/>
      <c r="B1474" s="737"/>
      <c r="C1474" s="730"/>
      <c r="D1474" s="739"/>
      <c r="E1474" s="765"/>
      <c r="F1474" s="765"/>
      <c r="G1474" s="765"/>
      <c r="H1474" s="765"/>
      <c r="I1474" s="746" t="str">
        <f t="shared" si="67"/>
        <v/>
      </c>
      <c r="J1474" s="731"/>
      <c r="K1474" s="731" t="str">
        <f t="shared" si="66"/>
        <v/>
      </c>
      <c r="L1474" s="726"/>
      <c r="M1474" s="726"/>
      <c r="N1474" s="726"/>
      <c r="O1474" s="726"/>
      <c r="P1474" s="726"/>
      <c r="Q1474" s="726"/>
      <c r="R1474" s="726"/>
      <c r="S1474" s="726"/>
      <c r="T1474" s="726"/>
      <c r="U1474" s="726"/>
      <c r="V1474" s="726"/>
      <c r="W1474" s="726"/>
      <c r="X1474" s="726"/>
      <c r="Y1474" s="726"/>
      <c r="Z1474" s="726"/>
      <c r="AA1474" s="732"/>
      <c r="AB1474" s="732"/>
      <c r="AC1474" s="732"/>
      <c r="AD1474" s="732"/>
      <c r="AE1474" s="733"/>
      <c r="AF1474" s="734" t="str">
        <f t="shared" si="68"/>
        <v/>
      </c>
      <c r="AG1474" s="773"/>
    </row>
    <row r="1475" spans="1:64" ht="18.75" x14ac:dyDescent="0.25">
      <c r="A1475" s="758"/>
      <c r="B1475" s="737"/>
      <c r="C1475" s="730"/>
      <c r="D1475" s="739"/>
      <c r="E1475" s="765"/>
      <c r="F1475" s="765"/>
      <c r="G1475" s="765"/>
      <c r="H1475" s="765"/>
      <c r="I1475" s="746" t="str">
        <f t="shared" si="67"/>
        <v/>
      </c>
      <c r="J1475" s="731"/>
      <c r="K1475" s="731" t="str">
        <f t="shared" si="66"/>
        <v/>
      </c>
      <c r="L1475" s="726"/>
      <c r="M1475" s="726"/>
      <c r="N1475" s="726"/>
      <c r="O1475" s="726"/>
      <c r="P1475" s="726"/>
      <c r="Q1475" s="726"/>
      <c r="R1475" s="726"/>
      <c r="S1475" s="726"/>
      <c r="T1475" s="726"/>
      <c r="U1475" s="726"/>
      <c r="V1475" s="726"/>
      <c r="W1475" s="726"/>
      <c r="X1475" s="726"/>
      <c r="Y1475" s="726"/>
      <c r="Z1475" s="726"/>
      <c r="AA1475" s="732"/>
      <c r="AB1475" s="732"/>
      <c r="AC1475" s="732"/>
      <c r="AD1475" s="732"/>
      <c r="AE1475" s="733"/>
      <c r="AF1475" s="734" t="str">
        <f t="shared" si="68"/>
        <v/>
      </c>
      <c r="AG1475" s="773"/>
    </row>
    <row r="1476" spans="1:64" ht="19.5" customHeight="1" x14ac:dyDescent="0.25">
      <c r="A1476" s="758"/>
      <c r="B1476" s="737"/>
      <c r="C1476" s="730"/>
      <c r="D1476" s="739"/>
      <c r="E1476" s="765"/>
      <c r="F1476" s="765"/>
      <c r="G1476" s="765"/>
      <c r="H1476" s="765"/>
      <c r="I1476" s="746" t="str">
        <f t="shared" si="67"/>
        <v/>
      </c>
      <c r="J1476" s="731"/>
      <c r="K1476" s="731" t="str">
        <f t="shared" ref="K1476:K1539" si="69">IF(AA1476-AE1476 = 0,"",AA1476-AE1476)</f>
        <v/>
      </c>
      <c r="L1476" s="726"/>
      <c r="M1476" s="726"/>
      <c r="N1476" s="726"/>
      <c r="O1476" s="726"/>
      <c r="P1476" s="726"/>
      <c r="Q1476" s="726"/>
      <c r="R1476" s="726"/>
      <c r="S1476" s="726"/>
      <c r="T1476" s="726"/>
      <c r="U1476" s="726"/>
      <c r="V1476" s="726"/>
      <c r="W1476" s="726"/>
      <c r="X1476" s="726"/>
      <c r="Y1476" s="726"/>
      <c r="Z1476" s="726"/>
      <c r="AA1476" s="732"/>
      <c r="AB1476" s="732"/>
      <c r="AC1476" s="732"/>
      <c r="AD1476" s="732"/>
      <c r="AE1476" s="733"/>
      <c r="AF1476" s="734" t="str">
        <f t="shared" si="68"/>
        <v/>
      </c>
      <c r="AG1476" s="773"/>
    </row>
    <row r="1477" spans="1:64" ht="18.75" x14ac:dyDescent="0.25">
      <c r="A1477" s="758"/>
      <c r="B1477" s="737"/>
      <c r="C1477" s="730"/>
      <c r="D1477" s="739"/>
      <c r="E1477" s="765"/>
      <c r="F1477" s="765"/>
      <c r="G1477" s="765"/>
      <c r="H1477" s="765"/>
      <c r="I1477" s="746" t="str">
        <f t="shared" ref="I1477:I1540" si="70">AF1477</f>
        <v/>
      </c>
      <c r="J1477" s="731"/>
      <c r="K1477" s="731" t="str">
        <f t="shared" si="69"/>
        <v/>
      </c>
      <c r="L1477" s="726"/>
      <c r="M1477" s="726"/>
      <c r="N1477" s="726"/>
      <c r="O1477" s="726"/>
      <c r="P1477" s="726"/>
      <c r="Q1477" s="726"/>
      <c r="R1477" s="726"/>
      <c r="S1477" s="726"/>
      <c r="T1477" s="726"/>
      <c r="U1477" s="726"/>
      <c r="V1477" s="726"/>
      <c r="W1477" s="726"/>
      <c r="X1477" s="726"/>
      <c r="Y1477" s="726"/>
      <c r="Z1477" s="726"/>
      <c r="AA1477" s="732"/>
      <c r="AB1477" s="732"/>
      <c r="AC1477" s="732"/>
      <c r="AD1477" s="732"/>
      <c r="AE1477" s="733"/>
      <c r="AF1477" s="734" t="str">
        <f t="shared" ref="AF1477:AF1540" si="71">IF(AE1477 &lt;&gt;"", AE1477/AA1477,"")</f>
        <v/>
      </c>
      <c r="AG1477" s="773"/>
    </row>
    <row r="1478" spans="1:64" ht="18.75" x14ac:dyDescent="0.25">
      <c r="A1478" s="758"/>
      <c r="B1478" s="737"/>
      <c r="C1478" s="730"/>
      <c r="D1478" s="739"/>
      <c r="E1478" s="765"/>
      <c r="F1478" s="765"/>
      <c r="G1478" s="765"/>
      <c r="H1478" s="765"/>
      <c r="I1478" s="746" t="str">
        <f t="shared" si="70"/>
        <v/>
      </c>
      <c r="J1478" s="731"/>
      <c r="K1478" s="731" t="str">
        <f t="shared" si="69"/>
        <v/>
      </c>
      <c r="L1478" s="726"/>
      <c r="M1478" s="726"/>
      <c r="N1478" s="726"/>
      <c r="O1478" s="726"/>
      <c r="P1478" s="726"/>
      <c r="Q1478" s="726"/>
      <c r="R1478" s="726"/>
      <c r="S1478" s="726"/>
      <c r="T1478" s="726"/>
      <c r="U1478" s="726"/>
      <c r="V1478" s="726"/>
      <c r="W1478" s="726"/>
      <c r="X1478" s="726"/>
      <c r="Y1478" s="726"/>
      <c r="Z1478" s="726"/>
      <c r="AA1478" s="732"/>
      <c r="AB1478" s="732"/>
      <c r="AC1478" s="732"/>
      <c r="AD1478" s="732"/>
      <c r="AE1478" s="733"/>
      <c r="AF1478" s="734" t="str">
        <f t="shared" si="71"/>
        <v/>
      </c>
      <c r="AG1478" s="773"/>
    </row>
    <row r="1479" spans="1:64" ht="19.5" customHeight="1" x14ac:dyDescent="0.25">
      <c r="A1479" s="758"/>
      <c r="B1479" s="737"/>
      <c r="C1479" s="730"/>
      <c r="D1479" s="739"/>
      <c r="E1479" s="765"/>
      <c r="F1479" s="765"/>
      <c r="G1479" s="765"/>
      <c r="H1479" s="765"/>
      <c r="I1479" s="746" t="str">
        <f t="shared" si="70"/>
        <v/>
      </c>
      <c r="J1479" s="731"/>
      <c r="K1479" s="731" t="str">
        <f t="shared" si="69"/>
        <v/>
      </c>
      <c r="L1479" s="726"/>
      <c r="M1479" s="726"/>
      <c r="N1479" s="726"/>
      <c r="O1479" s="726"/>
      <c r="P1479" s="726"/>
      <c r="Q1479" s="726"/>
      <c r="R1479" s="726"/>
      <c r="S1479" s="726"/>
      <c r="T1479" s="726"/>
      <c r="U1479" s="726"/>
      <c r="V1479" s="726"/>
      <c r="W1479" s="726"/>
      <c r="X1479" s="726"/>
      <c r="Y1479" s="726"/>
      <c r="Z1479" s="726"/>
      <c r="AA1479" s="732"/>
      <c r="AB1479" s="732"/>
      <c r="AC1479" s="732"/>
      <c r="AD1479" s="732"/>
      <c r="AE1479" s="733"/>
      <c r="AF1479" s="734" t="str">
        <f t="shared" si="71"/>
        <v/>
      </c>
      <c r="AG1479" s="775"/>
      <c r="AH1479" s="779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36"/>
      <c r="BD1479" s="36"/>
      <c r="BE1479" s="36"/>
      <c r="BF1479" s="36"/>
      <c r="BG1479" s="36"/>
      <c r="BH1479" s="36"/>
      <c r="BI1479" s="36"/>
      <c r="BJ1479" s="36"/>
      <c r="BK1479" s="36"/>
      <c r="BL1479" s="36"/>
    </row>
    <row r="1480" spans="1:64" ht="19.5" customHeight="1" x14ac:dyDescent="0.25">
      <c r="A1480" s="758"/>
      <c r="B1480" s="737"/>
      <c r="C1480" s="730"/>
      <c r="D1480" s="739"/>
      <c r="E1480" s="765"/>
      <c r="F1480" s="765"/>
      <c r="G1480" s="765"/>
      <c r="H1480" s="765"/>
      <c r="I1480" s="746" t="str">
        <f t="shared" si="70"/>
        <v/>
      </c>
      <c r="J1480" s="731"/>
      <c r="K1480" s="731" t="str">
        <f t="shared" si="69"/>
        <v/>
      </c>
      <c r="L1480" s="726"/>
      <c r="M1480" s="726"/>
      <c r="N1480" s="726"/>
      <c r="O1480" s="726"/>
      <c r="P1480" s="726"/>
      <c r="Q1480" s="726"/>
      <c r="R1480" s="726"/>
      <c r="S1480" s="726"/>
      <c r="T1480" s="726"/>
      <c r="U1480" s="726"/>
      <c r="V1480" s="726"/>
      <c r="W1480" s="726"/>
      <c r="X1480" s="726"/>
      <c r="Y1480" s="726"/>
      <c r="Z1480" s="726"/>
      <c r="AA1480" s="732"/>
      <c r="AB1480" s="732"/>
      <c r="AC1480" s="732"/>
      <c r="AD1480" s="732"/>
      <c r="AE1480" s="733"/>
      <c r="AF1480" s="734" t="str">
        <f t="shared" si="71"/>
        <v/>
      </c>
      <c r="AG1480" s="775"/>
      <c r="AH1480" s="779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36"/>
      <c r="BD1480" s="36"/>
      <c r="BE1480" s="36"/>
      <c r="BF1480" s="36"/>
      <c r="BG1480" s="36"/>
      <c r="BH1480" s="36"/>
      <c r="BI1480" s="36"/>
      <c r="BJ1480" s="36"/>
      <c r="BK1480" s="36"/>
      <c r="BL1480" s="36"/>
    </row>
    <row r="1481" spans="1:64" ht="18.75" x14ac:dyDescent="0.25">
      <c r="A1481" s="758"/>
      <c r="B1481" s="737"/>
      <c r="C1481" s="730"/>
      <c r="D1481" s="739"/>
      <c r="E1481" s="765"/>
      <c r="F1481" s="765"/>
      <c r="G1481" s="765"/>
      <c r="H1481" s="765"/>
      <c r="I1481" s="746" t="str">
        <f t="shared" si="70"/>
        <v/>
      </c>
      <c r="J1481" s="731"/>
      <c r="K1481" s="731" t="str">
        <f t="shared" si="69"/>
        <v/>
      </c>
      <c r="L1481" s="726"/>
      <c r="M1481" s="726"/>
      <c r="N1481" s="726"/>
      <c r="O1481" s="726"/>
      <c r="P1481" s="726"/>
      <c r="Q1481" s="726"/>
      <c r="R1481" s="726"/>
      <c r="S1481" s="726"/>
      <c r="T1481" s="726"/>
      <c r="U1481" s="726"/>
      <c r="V1481" s="726"/>
      <c r="W1481" s="726"/>
      <c r="X1481" s="726"/>
      <c r="Y1481" s="726"/>
      <c r="Z1481" s="726"/>
      <c r="AA1481" s="732"/>
      <c r="AB1481" s="732"/>
      <c r="AC1481" s="732"/>
      <c r="AD1481" s="732"/>
      <c r="AE1481" s="733"/>
      <c r="AF1481" s="734" t="str">
        <f t="shared" si="71"/>
        <v/>
      </c>
      <c r="AG1481" s="773"/>
    </row>
    <row r="1482" spans="1:64" ht="18.75" x14ac:dyDescent="0.25">
      <c r="A1482" s="758"/>
      <c r="B1482" s="737"/>
      <c r="C1482" s="730"/>
      <c r="D1482" s="739"/>
      <c r="E1482" s="765"/>
      <c r="F1482" s="765"/>
      <c r="G1482" s="765"/>
      <c r="H1482" s="765"/>
      <c r="I1482" s="746" t="str">
        <f t="shared" si="70"/>
        <v/>
      </c>
      <c r="J1482" s="731"/>
      <c r="K1482" s="731" t="str">
        <f t="shared" si="69"/>
        <v/>
      </c>
      <c r="L1482" s="726"/>
      <c r="M1482" s="726"/>
      <c r="N1482" s="726"/>
      <c r="O1482" s="726"/>
      <c r="P1482" s="726"/>
      <c r="Q1482" s="726"/>
      <c r="R1482" s="726"/>
      <c r="S1482" s="726"/>
      <c r="T1482" s="726"/>
      <c r="U1482" s="726"/>
      <c r="V1482" s="726"/>
      <c r="W1482" s="726"/>
      <c r="X1482" s="726"/>
      <c r="Y1482" s="726"/>
      <c r="Z1482" s="726"/>
      <c r="AA1482" s="732"/>
      <c r="AB1482" s="732"/>
      <c r="AC1482" s="732"/>
      <c r="AD1482" s="732"/>
      <c r="AE1482" s="733"/>
      <c r="AF1482" s="734" t="str">
        <f t="shared" si="71"/>
        <v/>
      </c>
      <c r="AG1482" s="773"/>
    </row>
    <row r="1483" spans="1:64" ht="18.75" x14ac:dyDescent="0.25">
      <c r="A1483" s="758"/>
      <c r="B1483" s="737"/>
      <c r="C1483" s="730"/>
      <c r="D1483" s="739"/>
      <c r="E1483" s="765"/>
      <c r="F1483" s="765"/>
      <c r="G1483" s="765"/>
      <c r="H1483" s="765"/>
      <c r="I1483" s="746" t="str">
        <f t="shared" si="70"/>
        <v/>
      </c>
      <c r="J1483" s="731"/>
      <c r="K1483" s="731" t="str">
        <f t="shared" si="69"/>
        <v/>
      </c>
      <c r="L1483" s="726"/>
      <c r="M1483" s="726"/>
      <c r="N1483" s="726"/>
      <c r="O1483" s="726"/>
      <c r="P1483" s="726"/>
      <c r="Q1483" s="726"/>
      <c r="R1483" s="726"/>
      <c r="S1483" s="726"/>
      <c r="T1483" s="726"/>
      <c r="U1483" s="726"/>
      <c r="V1483" s="726"/>
      <c r="W1483" s="726"/>
      <c r="X1483" s="726"/>
      <c r="Y1483" s="726"/>
      <c r="Z1483" s="726"/>
      <c r="AA1483" s="732"/>
      <c r="AB1483" s="732"/>
      <c r="AC1483" s="732"/>
      <c r="AD1483" s="732"/>
      <c r="AE1483" s="733"/>
      <c r="AF1483" s="734" t="str">
        <f t="shared" si="71"/>
        <v/>
      </c>
      <c r="AG1483" s="773"/>
    </row>
    <row r="1484" spans="1:64" ht="18.75" x14ac:dyDescent="0.25">
      <c r="A1484" s="758"/>
      <c r="B1484" s="737"/>
      <c r="C1484" s="730"/>
      <c r="D1484" s="739"/>
      <c r="E1484" s="765"/>
      <c r="F1484" s="765"/>
      <c r="G1484" s="765"/>
      <c r="H1484" s="765"/>
      <c r="I1484" s="746" t="str">
        <f t="shared" si="70"/>
        <v/>
      </c>
      <c r="J1484" s="731"/>
      <c r="K1484" s="731" t="str">
        <f t="shared" si="69"/>
        <v/>
      </c>
      <c r="L1484" s="726"/>
      <c r="M1484" s="726"/>
      <c r="N1484" s="726"/>
      <c r="O1484" s="726"/>
      <c r="P1484" s="726"/>
      <c r="Q1484" s="726"/>
      <c r="R1484" s="726"/>
      <c r="S1484" s="726"/>
      <c r="T1484" s="726"/>
      <c r="U1484" s="726"/>
      <c r="V1484" s="726"/>
      <c r="W1484" s="726"/>
      <c r="X1484" s="726"/>
      <c r="Y1484" s="726"/>
      <c r="Z1484" s="726"/>
      <c r="AA1484" s="732"/>
      <c r="AB1484" s="732"/>
      <c r="AC1484" s="732"/>
      <c r="AD1484" s="732"/>
      <c r="AE1484" s="733"/>
      <c r="AF1484" s="734" t="str">
        <f t="shared" si="71"/>
        <v/>
      </c>
      <c r="AG1484" s="773"/>
    </row>
    <row r="1485" spans="1:64" ht="18.75" x14ac:dyDescent="0.25">
      <c r="A1485" s="758"/>
      <c r="B1485" s="737"/>
      <c r="C1485" s="730"/>
      <c r="D1485" s="739"/>
      <c r="E1485" s="765"/>
      <c r="F1485" s="765"/>
      <c r="G1485" s="765"/>
      <c r="H1485" s="765"/>
      <c r="I1485" s="746" t="str">
        <f t="shared" si="70"/>
        <v/>
      </c>
      <c r="J1485" s="731"/>
      <c r="K1485" s="731" t="str">
        <f t="shared" si="69"/>
        <v/>
      </c>
      <c r="L1485" s="726"/>
      <c r="M1485" s="726"/>
      <c r="N1485" s="726"/>
      <c r="O1485" s="726"/>
      <c r="P1485" s="726"/>
      <c r="Q1485" s="726"/>
      <c r="R1485" s="726"/>
      <c r="S1485" s="726"/>
      <c r="T1485" s="726"/>
      <c r="U1485" s="726"/>
      <c r="V1485" s="726"/>
      <c r="W1485" s="726"/>
      <c r="X1485" s="726"/>
      <c r="Y1485" s="726"/>
      <c r="Z1485" s="726"/>
      <c r="AA1485" s="732"/>
      <c r="AB1485" s="732"/>
      <c r="AC1485" s="732"/>
      <c r="AD1485" s="732"/>
      <c r="AE1485" s="733"/>
      <c r="AF1485" s="734" t="str">
        <f t="shared" si="71"/>
        <v/>
      </c>
      <c r="AG1485" s="773"/>
    </row>
    <row r="1486" spans="1:64" ht="18.75" x14ac:dyDescent="0.25">
      <c r="A1486" s="758"/>
      <c r="B1486" s="737"/>
      <c r="C1486" s="730"/>
      <c r="D1486" s="739"/>
      <c r="E1486" s="765"/>
      <c r="F1486" s="765"/>
      <c r="G1486" s="765"/>
      <c r="H1486" s="765"/>
      <c r="I1486" s="746" t="str">
        <f t="shared" si="70"/>
        <v/>
      </c>
      <c r="J1486" s="731"/>
      <c r="K1486" s="731" t="str">
        <f t="shared" si="69"/>
        <v/>
      </c>
      <c r="L1486" s="726"/>
      <c r="M1486" s="726"/>
      <c r="N1486" s="726"/>
      <c r="O1486" s="726"/>
      <c r="P1486" s="726"/>
      <c r="Q1486" s="726"/>
      <c r="R1486" s="726"/>
      <c r="S1486" s="726"/>
      <c r="T1486" s="726"/>
      <c r="U1486" s="726"/>
      <c r="V1486" s="726"/>
      <c r="W1486" s="726"/>
      <c r="X1486" s="726"/>
      <c r="Y1486" s="726"/>
      <c r="Z1486" s="726"/>
      <c r="AA1486" s="732"/>
      <c r="AB1486" s="732"/>
      <c r="AC1486" s="732"/>
      <c r="AD1486" s="732"/>
      <c r="AE1486" s="733"/>
      <c r="AF1486" s="734" t="str">
        <f t="shared" si="71"/>
        <v/>
      </c>
      <c r="AG1486" s="773"/>
    </row>
    <row r="1487" spans="1:64" ht="18.75" x14ac:dyDescent="0.25">
      <c r="A1487" s="758"/>
      <c r="B1487" s="737"/>
      <c r="C1487" s="730"/>
      <c r="D1487" s="739"/>
      <c r="E1487" s="765"/>
      <c r="F1487" s="765"/>
      <c r="G1487" s="765"/>
      <c r="H1487" s="765"/>
      <c r="I1487" s="746" t="str">
        <f t="shared" si="70"/>
        <v/>
      </c>
      <c r="J1487" s="731"/>
      <c r="K1487" s="731" t="str">
        <f t="shared" si="69"/>
        <v/>
      </c>
      <c r="L1487" s="726"/>
      <c r="M1487" s="726"/>
      <c r="N1487" s="726"/>
      <c r="O1487" s="726"/>
      <c r="P1487" s="726"/>
      <c r="Q1487" s="726"/>
      <c r="R1487" s="726"/>
      <c r="S1487" s="726"/>
      <c r="T1487" s="726"/>
      <c r="U1487" s="726"/>
      <c r="V1487" s="726"/>
      <c r="W1487" s="726"/>
      <c r="X1487" s="726"/>
      <c r="Y1487" s="726"/>
      <c r="Z1487" s="726"/>
      <c r="AA1487" s="732"/>
      <c r="AB1487" s="732"/>
      <c r="AC1487" s="732"/>
      <c r="AD1487" s="732"/>
      <c r="AE1487" s="733"/>
      <c r="AF1487" s="734" t="str">
        <f t="shared" si="71"/>
        <v/>
      </c>
      <c r="AG1487" s="775"/>
      <c r="AH1487" s="779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36"/>
      <c r="BD1487" s="36"/>
      <c r="BE1487" s="36"/>
      <c r="BF1487" s="36"/>
      <c r="BG1487" s="36"/>
      <c r="BH1487" s="36"/>
      <c r="BI1487" s="36"/>
      <c r="BJ1487" s="36"/>
      <c r="BK1487" s="36"/>
      <c r="BL1487" s="36"/>
    </row>
    <row r="1488" spans="1:64" ht="18.75" x14ac:dyDescent="0.25">
      <c r="A1488" s="758"/>
      <c r="B1488" s="737"/>
      <c r="C1488" s="730"/>
      <c r="D1488" s="739"/>
      <c r="E1488" s="765"/>
      <c r="F1488" s="765"/>
      <c r="G1488" s="765"/>
      <c r="H1488" s="765"/>
      <c r="I1488" s="746" t="str">
        <f t="shared" si="70"/>
        <v/>
      </c>
      <c r="J1488" s="731"/>
      <c r="K1488" s="731" t="str">
        <f t="shared" si="69"/>
        <v/>
      </c>
      <c r="L1488" s="726"/>
      <c r="M1488" s="726"/>
      <c r="N1488" s="726"/>
      <c r="O1488" s="726"/>
      <c r="P1488" s="726"/>
      <c r="Q1488" s="726"/>
      <c r="R1488" s="726"/>
      <c r="S1488" s="726"/>
      <c r="T1488" s="726"/>
      <c r="U1488" s="726"/>
      <c r="V1488" s="726"/>
      <c r="W1488" s="726"/>
      <c r="X1488" s="726"/>
      <c r="Y1488" s="726"/>
      <c r="Z1488" s="726"/>
      <c r="AA1488" s="732"/>
      <c r="AB1488" s="732"/>
      <c r="AC1488" s="732"/>
      <c r="AD1488" s="732"/>
      <c r="AE1488" s="733"/>
      <c r="AF1488" s="734" t="str">
        <f t="shared" si="71"/>
        <v/>
      </c>
      <c r="AG1488" s="773"/>
    </row>
    <row r="1489" spans="1:64" ht="18.75" x14ac:dyDescent="0.25">
      <c r="A1489" s="758"/>
      <c r="B1489" s="737"/>
      <c r="C1489" s="730"/>
      <c r="D1489" s="739"/>
      <c r="E1489" s="765"/>
      <c r="F1489" s="765"/>
      <c r="G1489" s="765"/>
      <c r="H1489" s="765"/>
      <c r="I1489" s="746" t="str">
        <f t="shared" si="70"/>
        <v/>
      </c>
      <c r="J1489" s="731"/>
      <c r="K1489" s="731" t="str">
        <f t="shared" si="69"/>
        <v/>
      </c>
      <c r="L1489" s="726"/>
      <c r="M1489" s="726"/>
      <c r="N1489" s="726"/>
      <c r="O1489" s="726"/>
      <c r="P1489" s="726"/>
      <c r="Q1489" s="726"/>
      <c r="R1489" s="726"/>
      <c r="S1489" s="726"/>
      <c r="T1489" s="726"/>
      <c r="U1489" s="726"/>
      <c r="V1489" s="726"/>
      <c r="W1489" s="726"/>
      <c r="X1489" s="726"/>
      <c r="Y1489" s="726"/>
      <c r="Z1489" s="726"/>
      <c r="AA1489" s="732"/>
      <c r="AB1489" s="732"/>
      <c r="AC1489" s="732"/>
      <c r="AD1489" s="732"/>
      <c r="AE1489" s="733"/>
      <c r="AF1489" s="734" t="str">
        <f t="shared" si="71"/>
        <v/>
      </c>
      <c r="AG1489" s="773"/>
    </row>
    <row r="1490" spans="1:64" ht="18.75" x14ac:dyDescent="0.25">
      <c r="A1490" s="758"/>
      <c r="B1490" s="737"/>
      <c r="C1490" s="730"/>
      <c r="D1490" s="739"/>
      <c r="E1490" s="765"/>
      <c r="F1490" s="765"/>
      <c r="G1490" s="765"/>
      <c r="H1490" s="765"/>
      <c r="I1490" s="746" t="str">
        <f t="shared" si="70"/>
        <v/>
      </c>
      <c r="J1490" s="731"/>
      <c r="K1490" s="731" t="str">
        <f t="shared" si="69"/>
        <v/>
      </c>
      <c r="L1490" s="726"/>
      <c r="M1490" s="726"/>
      <c r="N1490" s="726"/>
      <c r="O1490" s="726"/>
      <c r="P1490" s="726"/>
      <c r="Q1490" s="726"/>
      <c r="R1490" s="726"/>
      <c r="S1490" s="726"/>
      <c r="T1490" s="726"/>
      <c r="U1490" s="726"/>
      <c r="V1490" s="726"/>
      <c r="W1490" s="726"/>
      <c r="X1490" s="726"/>
      <c r="Y1490" s="726"/>
      <c r="Z1490" s="726"/>
      <c r="AA1490" s="732"/>
      <c r="AB1490" s="732"/>
      <c r="AC1490" s="732"/>
      <c r="AD1490" s="732"/>
      <c r="AE1490" s="733"/>
      <c r="AF1490" s="734" t="str">
        <f t="shared" si="71"/>
        <v/>
      </c>
      <c r="AG1490" s="773"/>
    </row>
    <row r="1491" spans="1:64" ht="18.75" x14ac:dyDescent="0.25">
      <c r="A1491" s="758"/>
      <c r="B1491" s="737"/>
      <c r="C1491" s="730"/>
      <c r="D1491" s="739"/>
      <c r="E1491" s="765"/>
      <c r="F1491" s="765"/>
      <c r="G1491" s="765"/>
      <c r="H1491" s="765"/>
      <c r="I1491" s="746" t="str">
        <f t="shared" si="70"/>
        <v/>
      </c>
      <c r="J1491" s="731"/>
      <c r="K1491" s="731" t="str">
        <f t="shared" si="69"/>
        <v/>
      </c>
      <c r="L1491" s="726"/>
      <c r="M1491" s="726"/>
      <c r="N1491" s="726"/>
      <c r="O1491" s="726"/>
      <c r="P1491" s="726"/>
      <c r="Q1491" s="726"/>
      <c r="R1491" s="726"/>
      <c r="S1491" s="726"/>
      <c r="T1491" s="726"/>
      <c r="U1491" s="726"/>
      <c r="V1491" s="726"/>
      <c r="W1491" s="726"/>
      <c r="X1491" s="726"/>
      <c r="Y1491" s="726"/>
      <c r="Z1491" s="726"/>
      <c r="AA1491" s="732"/>
      <c r="AB1491" s="732"/>
      <c r="AC1491" s="732"/>
      <c r="AD1491" s="732"/>
      <c r="AE1491" s="733"/>
      <c r="AF1491" s="734" t="str">
        <f t="shared" si="71"/>
        <v/>
      </c>
      <c r="AG1491" s="773"/>
    </row>
    <row r="1492" spans="1:64" ht="18.75" x14ac:dyDescent="0.25">
      <c r="A1492" s="758"/>
      <c r="B1492" s="737"/>
      <c r="C1492" s="730"/>
      <c r="D1492" s="739"/>
      <c r="E1492" s="765"/>
      <c r="F1492" s="765"/>
      <c r="G1492" s="765"/>
      <c r="H1492" s="765"/>
      <c r="I1492" s="746" t="str">
        <f t="shared" si="70"/>
        <v/>
      </c>
      <c r="J1492" s="731"/>
      <c r="K1492" s="731" t="str">
        <f t="shared" si="69"/>
        <v/>
      </c>
      <c r="L1492" s="726"/>
      <c r="M1492" s="726"/>
      <c r="N1492" s="726"/>
      <c r="O1492" s="726"/>
      <c r="P1492" s="726"/>
      <c r="Q1492" s="726"/>
      <c r="R1492" s="726"/>
      <c r="S1492" s="726"/>
      <c r="T1492" s="726"/>
      <c r="U1492" s="726"/>
      <c r="V1492" s="726"/>
      <c r="W1492" s="726"/>
      <c r="X1492" s="726"/>
      <c r="Y1492" s="726"/>
      <c r="Z1492" s="726"/>
      <c r="AA1492" s="732"/>
      <c r="AB1492" s="732"/>
      <c r="AC1492" s="732"/>
      <c r="AD1492" s="732"/>
      <c r="AE1492" s="733"/>
      <c r="AF1492" s="734" t="str">
        <f t="shared" si="71"/>
        <v/>
      </c>
      <c r="AG1492" s="773"/>
    </row>
    <row r="1493" spans="1:64" ht="19.5" customHeight="1" x14ac:dyDescent="0.25">
      <c r="A1493" s="758"/>
      <c r="B1493" s="737"/>
      <c r="C1493" s="730"/>
      <c r="D1493" s="739"/>
      <c r="E1493" s="765"/>
      <c r="F1493" s="765"/>
      <c r="G1493" s="765"/>
      <c r="H1493" s="765"/>
      <c r="I1493" s="746" t="str">
        <f t="shared" si="70"/>
        <v/>
      </c>
      <c r="J1493" s="731"/>
      <c r="K1493" s="731" t="str">
        <f t="shared" si="69"/>
        <v/>
      </c>
      <c r="L1493" s="726"/>
      <c r="M1493" s="726"/>
      <c r="N1493" s="726"/>
      <c r="O1493" s="726"/>
      <c r="P1493" s="726"/>
      <c r="Q1493" s="726"/>
      <c r="R1493" s="726"/>
      <c r="S1493" s="726"/>
      <c r="T1493" s="726"/>
      <c r="U1493" s="726"/>
      <c r="V1493" s="726"/>
      <c r="W1493" s="726"/>
      <c r="X1493" s="726"/>
      <c r="Y1493" s="726"/>
      <c r="Z1493" s="726"/>
      <c r="AA1493" s="732"/>
      <c r="AB1493" s="732"/>
      <c r="AC1493" s="732"/>
      <c r="AD1493" s="732"/>
      <c r="AE1493" s="733"/>
      <c r="AF1493" s="734" t="str">
        <f t="shared" si="71"/>
        <v/>
      </c>
      <c r="AG1493" s="775"/>
      <c r="AH1493" s="779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  <c r="AW1493" s="36"/>
      <c r="AX1493" s="36"/>
      <c r="AY1493" s="36"/>
      <c r="AZ1493" s="36"/>
      <c r="BA1493" s="36"/>
      <c r="BB1493" s="36"/>
      <c r="BC1493" s="36"/>
      <c r="BD1493" s="36"/>
      <c r="BE1493" s="36"/>
      <c r="BF1493" s="36"/>
      <c r="BG1493" s="36"/>
      <c r="BH1493" s="36"/>
      <c r="BI1493" s="36"/>
      <c r="BJ1493" s="36"/>
      <c r="BK1493" s="36"/>
      <c r="BL1493" s="36"/>
    </row>
    <row r="1494" spans="1:64" ht="19.5" customHeight="1" x14ac:dyDescent="0.25">
      <c r="A1494" s="758"/>
      <c r="B1494" s="737"/>
      <c r="C1494" s="730"/>
      <c r="D1494" s="739"/>
      <c r="E1494" s="765"/>
      <c r="F1494" s="765"/>
      <c r="G1494" s="765"/>
      <c r="H1494" s="765"/>
      <c r="I1494" s="746" t="str">
        <f t="shared" si="70"/>
        <v/>
      </c>
      <c r="J1494" s="731"/>
      <c r="K1494" s="731" t="str">
        <f t="shared" si="69"/>
        <v/>
      </c>
      <c r="L1494" s="726"/>
      <c r="M1494" s="726"/>
      <c r="N1494" s="726"/>
      <c r="O1494" s="726"/>
      <c r="P1494" s="726"/>
      <c r="Q1494" s="726"/>
      <c r="R1494" s="726"/>
      <c r="S1494" s="726"/>
      <c r="T1494" s="726"/>
      <c r="U1494" s="726"/>
      <c r="V1494" s="726"/>
      <c r="W1494" s="726"/>
      <c r="X1494" s="726"/>
      <c r="Y1494" s="726"/>
      <c r="Z1494" s="726"/>
      <c r="AA1494" s="732"/>
      <c r="AB1494" s="732"/>
      <c r="AC1494" s="732"/>
      <c r="AD1494" s="732"/>
      <c r="AE1494" s="733"/>
      <c r="AF1494" s="734" t="str">
        <f t="shared" si="71"/>
        <v/>
      </c>
      <c r="AG1494" s="775"/>
      <c r="AH1494" s="779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  <c r="AW1494" s="36"/>
      <c r="AX1494" s="36"/>
      <c r="AY1494" s="36"/>
      <c r="AZ1494" s="36"/>
      <c r="BA1494" s="36"/>
      <c r="BB1494" s="36"/>
      <c r="BC1494" s="36"/>
      <c r="BD1494" s="36"/>
      <c r="BE1494" s="36"/>
      <c r="BF1494" s="36"/>
      <c r="BG1494" s="36"/>
      <c r="BH1494" s="36"/>
      <c r="BI1494" s="36"/>
      <c r="BJ1494" s="36"/>
      <c r="BK1494" s="36"/>
      <c r="BL1494" s="36"/>
    </row>
    <row r="1495" spans="1:64" ht="18.75" x14ac:dyDescent="0.25">
      <c r="A1495" s="758"/>
      <c r="B1495" s="737"/>
      <c r="C1495" s="730"/>
      <c r="D1495" s="739"/>
      <c r="E1495" s="765"/>
      <c r="F1495" s="765"/>
      <c r="G1495" s="765"/>
      <c r="H1495" s="765"/>
      <c r="I1495" s="746" t="str">
        <f t="shared" si="70"/>
        <v/>
      </c>
      <c r="J1495" s="731"/>
      <c r="K1495" s="731" t="str">
        <f t="shared" si="69"/>
        <v/>
      </c>
      <c r="L1495" s="726"/>
      <c r="M1495" s="726"/>
      <c r="N1495" s="726"/>
      <c r="O1495" s="726"/>
      <c r="P1495" s="726"/>
      <c r="Q1495" s="726"/>
      <c r="R1495" s="726"/>
      <c r="S1495" s="726"/>
      <c r="T1495" s="726"/>
      <c r="U1495" s="726"/>
      <c r="V1495" s="726"/>
      <c r="W1495" s="726"/>
      <c r="X1495" s="726"/>
      <c r="Y1495" s="726"/>
      <c r="Z1495" s="726"/>
      <c r="AA1495" s="732"/>
      <c r="AB1495" s="732"/>
      <c r="AC1495" s="732"/>
      <c r="AD1495" s="732"/>
      <c r="AE1495" s="733"/>
      <c r="AF1495" s="734" t="str">
        <f t="shared" si="71"/>
        <v/>
      </c>
      <c r="AG1495" s="773"/>
    </row>
    <row r="1496" spans="1:64" ht="18.75" x14ac:dyDescent="0.25">
      <c r="A1496" s="758"/>
      <c r="B1496" s="737"/>
      <c r="C1496" s="730"/>
      <c r="D1496" s="739"/>
      <c r="E1496" s="765"/>
      <c r="F1496" s="765"/>
      <c r="G1496" s="765"/>
      <c r="H1496" s="765"/>
      <c r="I1496" s="746" t="str">
        <f t="shared" si="70"/>
        <v/>
      </c>
      <c r="J1496" s="731"/>
      <c r="K1496" s="731" t="str">
        <f t="shared" si="69"/>
        <v/>
      </c>
      <c r="L1496" s="726"/>
      <c r="M1496" s="726"/>
      <c r="N1496" s="726"/>
      <c r="O1496" s="726"/>
      <c r="P1496" s="726"/>
      <c r="Q1496" s="726"/>
      <c r="R1496" s="726"/>
      <c r="S1496" s="726"/>
      <c r="T1496" s="726"/>
      <c r="U1496" s="726"/>
      <c r="V1496" s="726"/>
      <c r="W1496" s="726"/>
      <c r="X1496" s="726"/>
      <c r="Y1496" s="726"/>
      <c r="Z1496" s="726"/>
      <c r="AA1496" s="732"/>
      <c r="AB1496" s="732"/>
      <c r="AC1496" s="732"/>
      <c r="AD1496" s="732"/>
      <c r="AE1496" s="733"/>
      <c r="AF1496" s="734" t="str">
        <f t="shared" si="71"/>
        <v/>
      </c>
      <c r="AG1496" s="773"/>
    </row>
    <row r="1497" spans="1:64" ht="18.75" x14ac:dyDescent="0.25">
      <c r="A1497" s="758"/>
      <c r="B1497" s="737"/>
      <c r="C1497" s="730"/>
      <c r="D1497" s="739"/>
      <c r="E1497" s="765"/>
      <c r="F1497" s="765"/>
      <c r="G1497" s="765"/>
      <c r="H1497" s="765"/>
      <c r="I1497" s="746" t="str">
        <f t="shared" si="70"/>
        <v/>
      </c>
      <c r="J1497" s="731"/>
      <c r="K1497" s="731" t="str">
        <f t="shared" si="69"/>
        <v/>
      </c>
      <c r="L1497" s="726"/>
      <c r="M1497" s="726"/>
      <c r="N1497" s="726"/>
      <c r="O1497" s="726"/>
      <c r="P1497" s="726"/>
      <c r="Q1497" s="726"/>
      <c r="R1497" s="726"/>
      <c r="S1497" s="726"/>
      <c r="T1497" s="726"/>
      <c r="U1497" s="726"/>
      <c r="V1497" s="726"/>
      <c r="W1497" s="726"/>
      <c r="X1497" s="726"/>
      <c r="Y1497" s="726"/>
      <c r="Z1497" s="726"/>
      <c r="AA1497" s="732"/>
      <c r="AB1497" s="732"/>
      <c r="AC1497" s="732"/>
      <c r="AD1497" s="732"/>
      <c r="AE1497" s="733"/>
      <c r="AF1497" s="734" t="str">
        <f t="shared" si="71"/>
        <v/>
      </c>
      <c r="AG1497" s="773"/>
    </row>
    <row r="1498" spans="1:64" ht="18.75" x14ac:dyDescent="0.25">
      <c r="A1498" s="758"/>
      <c r="B1498" s="737"/>
      <c r="C1498" s="730"/>
      <c r="D1498" s="739"/>
      <c r="E1498" s="765"/>
      <c r="F1498" s="765"/>
      <c r="G1498" s="765"/>
      <c r="H1498" s="765"/>
      <c r="I1498" s="746" t="str">
        <f t="shared" si="70"/>
        <v/>
      </c>
      <c r="J1498" s="731"/>
      <c r="K1498" s="731" t="str">
        <f t="shared" si="69"/>
        <v/>
      </c>
      <c r="L1498" s="726"/>
      <c r="M1498" s="726"/>
      <c r="N1498" s="726"/>
      <c r="O1498" s="726"/>
      <c r="P1498" s="726"/>
      <c r="Q1498" s="726"/>
      <c r="R1498" s="726"/>
      <c r="S1498" s="726"/>
      <c r="T1498" s="726"/>
      <c r="U1498" s="726"/>
      <c r="V1498" s="726"/>
      <c r="W1498" s="726"/>
      <c r="X1498" s="726"/>
      <c r="Y1498" s="726"/>
      <c r="Z1498" s="726"/>
      <c r="AA1498" s="732"/>
      <c r="AB1498" s="732"/>
      <c r="AC1498" s="732"/>
      <c r="AD1498" s="732"/>
      <c r="AE1498" s="733"/>
      <c r="AF1498" s="734" t="str">
        <f t="shared" si="71"/>
        <v/>
      </c>
      <c r="AG1498" s="773"/>
    </row>
    <row r="1499" spans="1:64" ht="18.75" x14ac:dyDescent="0.25">
      <c r="A1499" s="758"/>
      <c r="B1499" s="737"/>
      <c r="C1499" s="730"/>
      <c r="D1499" s="739"/>
      <c r="E1499" s="765"/>
      <c r="F1499" s="765"/>
      <c r="G1499" s="765"/>
      <c r="H1499" s="765"/>
      <c r="I1499" s="746" t="str">
        <f t="shared" si="70"/>
        <v/>
      </c>
      <c r="J1499" s="731"/>
      <c r="K1499" s="731" t="str">
        <f t="shared" si="69"/>
        <v/>
      </c>
      <c r="L1499" s="726"/>
      <c r="M1499" s="726"/>
      <c r="N1499" s="726"/>
      <c r="O1499" s="726"/>
      <c r="P1499" s="726"/>
      <c r="Q1499" s="726"/>
      <c r="R1499" s="726"/>
      <c r="S1499" s="726"/>
      <c r="T1499" s="726"/>
      <c r="U1499" s="726"/>
      <c r="V1499" s="726"/>
      <c r="W1499" s="726"/>
      <c r="X1499" s="726"/>
      <c r="Y1499" s="726"/>
      <c r="Z1499" s="726"/>
      <c r="AA1499" s="732"/>
      <c r="AB1499" s="732"/>
      <c r="AC1499" s="732"/>
      <c r="AD1499" s="732"/>
      <c r="AE1499" s="733"/>
      <c r="AF1499" s="734" t="str">
        <f t="shared" si="71"/>
        <v/>
      </c>
      <c r="AG1499" s="773"/>
    </row>
    <row r="1500" spans="1:64" ht="18.75" x14ac:dyDescent="0.25">
      <c r="A1500" s="758"/>
      <c r="B1500" s="737"/>
      <c r="C1500" s="730"/>
      <c r="D1500" s="739"/>
      <c r="E1500" s="765"/>
      <c r="F1500" s="765"/>
      <c r="G1500" s="765"/>
      <c r="H1500" s="765"/>
      <c r="I1500" s="746" t="str">
        <f t="shared" si="70"/>
        <v/>
      </c>
      <c r="J1500" s="731"/>
      <c r="K1500" s="731" t="str">
        <f t="shared" si="69"/>
        <v/>
      </c>
      <c r="L1500" s="726"/>
      <c r="M1500" s="726"/>
      <c r="N1500" s="726"/>
      <c r="O1500" s="726"/>
      <c r="P1500" s="726"/>
      <c r="Q1500" s="726"/>
      <c r="R1500" s="726"/>
      <c r="S1500" s="726"/>
      <c r="T1500" s="726"/>
      <c r="U1500" s="726"/>
      <c r="V1500" s="726"/>
      <c r="W1500" s="726"/>
      <c r="X1500" s="726"/>
      <c r="Y1500" s="726"/>
      <c r="Z1500" s="726"/>
      <c r="AA1500" s="732"/>
      <c r="AB1500" s="732"/>
      <c r="AC1500" s="732"/>
      <c r="AD1500" s="732"/>
      <c r="AE1500" s="733"/>
      <c r="AF1500" s="734" t="str">
        <f t="shared" si="71"/>
        <v/>
      </c>
      <c r="AG1500" s="773"/>
    </row>
    <row r="1501" spans="1:64" ht="18.75" x14ac:dyDescent="0.25">
      <c r="A1501" s="758"/>
      <c r="B1501" s="737"/>
      <c r="C1501" s="730"/>
      <c r="D1501" s="739"/>
      <c r="E1501" s="765"/>
      <c r="F1501" s="765"/>
      <c r="G1501" s="765"/>
      <c r="H1501" s="765"/>
      <c r="I1501" s="746" t="str">
        <f t="shared" si="70"/>
        <v/>
      </c>
      <c r="J1501" s="731"/>
      <c r="K1501" s="731" t="str">
        <f t="shared" si="69"/>
        <v/>
      </c>
      <c r="L1501" s="726"/>
      <c r="M1501" s="726"/>
      <c r="N1501" s="726"/>
      <c r="O1501" s="726"/>
      <c r="P1501" s="726"/>
      <c r="Q1501" s="726"/>
      <c r="R1501" s="726"/>
      <c r="S1501" s="726"/>
      <c r="T1501" s="726"/>
      <c r="U1501" s="726"/>
      <c r="V1501" s="726"/>
      <c r="W1501" s="726"/>
      <c r="X1501" s="726"/>
      <c r="Y1501" s="726"/>
      <c r="Z1501" s="726"/>
      <c r="AA1501" s="732"/>
      <c r="AB1501" s="732"/>
      <c r="AC1501" s="732"/>
      <c r="AD1501" s="732"/>
      <c r="AE1501" s="733"/>
      <c r="AF1501" s="734" t="str">
        <f t="shared" si="71"/>
        <v/>
      </c>
      <c r="AG1501" s="775"/>
      <c r="AH1501" s="779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36"/>
      <c r="BD1501" s="36"/>
      <c r="BE1501" s="36"/>
      <c r="BF1501" s="36"/>
      <c r="BG1501" s="36"/>
      <c r="BH1501" s="36"/>
      <c r="BI1501" s="36"/>
      <c r="BJ1501" s="36"/>
      <c r="BK1501" s="36"/>
      <c r="BL1501" s="36"/>
    </row>
    <row r="1502" spans="1:64" ht="18.75" x14ac:dyDescent="0.25">
      <c r="A1502" s="758"/>
      <c r="B1502" s="737"/>
      <c r="C1502" s="730"/>
      <c r="D1502" s="739"/>
      <c r="E1502" s="765"/>
      <c r="F1502" s="765"/>
      <c r="G1502" s="765"/>
      <c r="H1502" s="765"/>
      <c r="I1502" s="746" t="str">
        <f t="shared" si="70"/>
        <v/>
      </c>
      <c r="J1502" s="731"/>
      <c r="K1502" s="731" t="str">
        <f t="shared" si="69"/>
        <v/>
      </c>
      <c r="L1502" s="726"/>
      <c r="M1502" s="726"/>
      <c r="N1502" s="726"/>
      <c r="O1502" s="726"/>
      <c r="P1502" s="726"/>
      <c r="Q1502" s="726"/>
      <c r="R1502" s="726"/>
      <c r="S1502" s="726"/>
      <c r="T1502" s="726"/>
      <c r="U1502" s="726"/>
      <c r="V1502" s="726"/>
      <c r="W1502" s="726"/>
      <c r="X1502" s="726"/>
      <c r="Y1502" s="726"/>
      <c r="Z1502" s="726"/>
      <c r="AA1502" s="732"/>
      <c r="AB1502" s="732"/>
      <c r="AC1502" s="732"/>
      <c r="AD1502" s="732"/>
      <c r="AE1502" s="733"/>
      <c r="AF1502" s="734" t="str">
        <f t="shared" si="71"/>
        <v/>
      </c>
      <c r="AG1502" s="773"/>
    </row>
    <row r="1503" spans="1:64" ht="18.75" x14ac:dyDescent="0.25">
      <c r="A1503" s="758"/>
      <c r="B1503" s="737"/>
      <c r="C1503" s="730"/>
      <c r="D1503" s="739"/>
      <c r="E1503" s="765"/>
      <c r="F1503" s="765"/>
      <c r="G1503" s="765"/>
      <c r="H1503" s="765"/>
      <c r="I1503" s="746" t="str">
        <f t="shared" si="70"/>
        <v/>
      </c>
      <c r="J1503" s="731"/>
      <c r="K1503" s="731" t="str">
        <f t="shared" si="69"/>
        <v/>
      </c>
      <c r="L1503" s="726"/>
      <c r="M1503" s="726"/>
      <c r="N1503" s="726"/>
      <c r="O1503" s="726"/>
      <c r="P1503" s="726"/>
      <c r="Q1503" s="726"/>
      <c r="R1503" s="726"/>
      <c r="S1503" s="726"/>
      <c r="T1503" s="726"/>
      <c r="U1503" s="726"/>
      <c r="V1503" s="726"/>
      <c r="W1503" s="726"/>
      <c r="X1503" s="726"/>
      <c r="Y1503" s="726"/>
      <c r="Z1503" s="726"/>
      <c r="AA1503" s="732"/>
      <c r="AB1503" s="732"/>
      <c r="AC1503" s="732"/>
      <c r="AD1503" s="732"/>
      <c r="AE1503" s="733"/>
      <c r="AF1503" s="734" t="str">
        <f t="shared" si="71"/>
        <v/>
      </c>
      <c r="AG1503" s="773"/>
    </row>
    <row r="1504" spans="1:64" ht="18.75" x14ac:dyDescent="0.25">
      <c r="A1504" s="758"/>
      <c r="B1504" s="737"/>
      <c r="C1504" s="730"/>
      <c r="D1504" s="739"/>
      <c r="E1504" s="765"/>
      <c r="F1504" s="765"/>
      <c r="G1504" s="765"/>
      <c r="H1504" s="765"/>
      <c r="I1504" s="746" t="str">
        <f t="shared" si="70"/>
        <v/>
      </c>
      <c r="J1504" s="731"/>
      <c r="K1504" s="731" t="str">
        <f t="shared" si="69"/>
        <v/>
      </c>
      <c r="L1504" s="726"/>
      <c r="M1504" s="726"/>
      <c r="N1504" s="726"/>
      <c r="O1504" s="726"/>
      <c r="P1504" s="726"/>
      <c r="Q1504" s="726"/>
      <c r="R1504" s="726"/>
      <c r="S1504" s="726"/>
      <c r="T1504" s="726"/>
      <c r="U1504" s="726"/>
      <c r="V1504" s="726"/>
      <c r="W1504" s="726"/>
      <c r="X1504" s="726"/>
      <c r="Y1504" s="726"/>
      <c r="Z1504" s="726"/>
      <c r="AA1504" s="732"/>
      <c r="AB1504" s="732"/>
      <c r="AC1504" s="732"/>
      <c r="AD1504" s="732"/>
      <c r="AE1504" s="733"/>
      <c r="AF1504" s="734" t="str">
        <f t="shared" si="71"/>
        <v/>
      </c>
      <c r="AG1504" s="773"/>
    </row>
    <row r="1505" spans="1:64" ht="18.75" x14ac:dyDescent="0.25">
      <c r="A1505" s="758"/>
      <c r="B1505" s="737"/>
      <c r="C1505" s="730"/>
      <c r="D1505" s="739"/>
      <c r="E1505" s="765"/>
      <c r="F1505" s="765"/>
      <c r="G1505" s="765"/>
      <c r="H1505" s="765"/>
      <c r="I1505" s="746" t="str">
        <f t="shared" si="70"/>
        <v/>
      </c>
      <c r="J1505" s="731"/>
      <c r="K1505" s="731" t="str">
        <f t="shared" si="69"/>
        <v/>
      </c>
      <c r="L1505" s="726"/>
      <c r="M1505" s="726"/>
      <c r="N1505" s="726"/>
      <c r="O1505" s="726"/>
      <c r="P1505" s="726"/>
      <c r="Q1505" s="726"/>
      <c r="R1505" s="726"/>
      <c r="S1505" s="726"/>
      <c r="T1505" s="726"/>
      <c r="U1505" s="726"/>
      <c r="V1505" s="726"/>
      <c r="W1505" s="726"/>
      <c r="X1505" s="726"/>
      <c r="Y1505" s="726"/>
      <c r="Z1505" s="726"/>
      <c r="AA1505" s="732"/>
      <c r="AB1505" s="732"/>
      <c r="AC1505" s="732"/>
      <c r="AD1505" s="732"/>
      <c r="AE1505" s="733"/>
      <c r="AF1505" s="734" t="str">
        <f t="shared" si="71"/>
        <v/>
      </c>
      <c r="AG1505" s="773"/>
    </row>
    <row r="1506" spans="1:64" ht="18.75" x14ac:dyDescent="0.25">
      <c r="A1506" s="758"/>
      <c r="B1506" s="737"/>
      <c r="C1506" s="730"/>
      <c r="D1506" s="739"/>
      <c r="E1506" s="765"/>
      <c r="F1506" s="765"/>
      <c r="G1506" s="765"/>
      <c r="H1506" s="765"/>
      <c r="I1506" s="746" t="str">
        <f t="shared" si="70"/>
        <v/>
      </c>
      <c r="J1506" s="731"/>
      <c r="K1506" s="731" t="str">
        <f t="shared" si="69"/>
        <v/>
      </c>
      <c r="L1506" s="726"/>
      <c r="M1506" s="726"/>
      <c r="N1506" s="726"/>
      <c r="O1506" s="726"/>
      <c r="P1506" s="726"/>
      <c r="Q1506" s="726"/>
      <c r="R1506" s="726"/>
      <c r="S1506" s="726"/>
      <c r="T1506" s="726"/>
      <c r="U1506" s="726"/>
      <c r="V1506" s="726"/>
      <c r="W1506" s="726"/>
      <c r="X1506" s="726"/>
      <c r="Y1506" s="726"/>
      <c r="Z1506" s="726"/>
      <c r="AA1506" s="732"/>
      <c r="AB1506" s="732"/>
      <c r="AC1506" s="732"/>
      <c r="AD1506" s="732"/>
      <c r="AE1506" s="733"/>
      <c r="AF1506" s="734" t="str">
        <f t="shared" si="71"/>
        <v/>
      </c>
      <c r="AG1506" s="773"/>
    </row>
    <row r="1507" spans="1:64" ht="18.75" x14ac:dyDescent="0.25">
      <c r="A1507" s="758"/>
      <c r="B1507" s="737"/>
      <c r="C1507" s="730"/>
      <c r="D1507" s="739"/>
      <c r="E1507" s="765"/>
      <c r="F1507" s="765"/>
      <c r="G1507" s="765"/>
      <c r="H1507" s="765"/>
      <c r="I1507" s="746" t="str">
        <f t="shared" si="70"/>
        <v/>
      </c>
      <c r="J1507" s="731"/>
      <c r="K1507" s="731" t="str">
        <f t="shared" si="69"/>
        <v/>
      </c>
      <c r="L1507" s="726"/>
      <c r="M1507" s="726"/>
      <c r="N1507" s="726"/>
      <c r="O1507" s="726"/>
      <c r="P1507" s="726"/>
      <c r="Q1507" s="726"/>
      <c r="R1507" s="726"/>
      <c r="S1507" s="726"/>
      <c r="T1507" s="726"/>
      <c r="U1507" s="726"/>
      <c r="V1507" s="726"/>
      <c r="W1507" s="726"/>
      <c r="X1507" s="726"/>
      <c r="Y1507" s="726"/>
      <c r="Z1507" s="726"/>
      <c r="AA1507" s="732"/>
      <c r="AB1507" s="732"/>
      <c r="AC1507" s="732"/>
      <c r="AD1507" s="732"/>
      <c r="AE1507" s="733"/>
      <c r="AF1507" s="734" t="str">
        <f t="shared" si="71"/>
        <v/>
      </c>
      <c r="AG1507" s="773"/>
    </row>
    <row r="1508" spans="1:64" ht="19.5" customHeight="1" x14ac:dyDescent="0.25">
      <c r="A1508" s="758"/>
      <c r="B1508" s="737"/>
      <c r="C1508" s="730"/>
      <c r="D1508" s="739"/>
      <c r="E1508" s="765"/>
      <c r="F1508" s="765"/>
      <c r="G1508" s="765"/>
      <c r="H1508" s="765"/>
      <c r="I1508" s="746" t="str">
        <f t="shared" si="70"/>
        <v/>
      </c>
      <c r="J1508" s="731"/>
      <c r="K1508" s="731" t="str">
        <f t="shared" si="69"/>
        <v/>
      </c>
      <c r="L1508" s="726"/>
      <c r="M1508" s="726"/>
      <c r="N1508" s="726"/>
      <c r="O1508" s="726"/>
      <c r="P1508" s="726"/>
      <c r="Q1508" s="726"/>
      <c r="R1508" s="726"/>
      <c r="S1508" s="726"/>
      <c r="T1508" s="726"/>
      <c r="U1508" s="726"/>
      <c r="V1508" s="726"/>
      <c r="W1508" s="726"/>
      <c r="X1508" s="726"/>
      <c r="Y1508" s="726"/>
      <c r="Z1508" s="726"/>
      <c r="AA1508" s="732"/>
      <c r="AB1508" s="732"/>
      <c r="AC1508" s="732"/>
      <c r="AD1508" s="732"/>
      <c r="AE1508" s="733"/>
      <c r="AF1508" s="734" t="str">
        <f t="shared" si="71"/>
        <v/>
      </c>
      <c r="AG1508" s="775"/>
      <c r="AH1508" s="779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36"/>
      <c r="BD1508" s="36"/>
      <c r="BE1508" s="36"/>
      <c r="BF1508" s="36"/>
      <c r="BG1508" s="36"/>
      <c r="BH1508" s="36"/>
      <c r="BI1508" s="36"/>
      <c r="BJ1508" s="36"/>
      <c r="BK1508" s="36"/>
      <c r="BL1508" s="36"/>
    </row>
    <row r="1509" spans="1:64" ht="19.5" customHeight="1" x14ac:dyDescent="0.25">
      <c r="A1509" s="758"/>
      <c r="B1509" s="737"/>
      <c r="C1509" s="730"/>
      <c r="D1509" s="739"/>
      <c r="E1509" s="765"/>
      <c r="F1509" s="765"/>
      <c r="G1509" s="765"/>
      <c r="H1509" s="765"/>
      <c r="I1509" s="746" t="str">
        <f t="shared" si="70"/>
        <v/>
      </c>
      <c r="J1509" s="731"/>
      <c r="K1509" s="731" t="str">
        <f t="shared" si="69"/>
        <v/>
      </c>
      <c r="L1509" s="726"/>
      <c r="M1509" s="726"/>
      <c r="N1509" s="726"/>
      <c r="O1509" s="726"/>
      <c r="P1509" s="726"/>
      <c r="Q1509" s="726"/>
      <c r="R1509" s="726"/>
      <c r="S1509" s="726"/>
      <c r="T1509" s="726"/>
      <c r="U1509" s="726"/>
      <c r="V1509" s="726"/>
      <c r="W1509" s="726"/>
      <c r="X1509" s="726"/>
      <c r="Y1509" s="726"/>
      <c r="Z1509" s="726"/>
      <c r="AA1509" s="732"/>
      <c r="AB1509" s="732"/>
      <c r="AC1509" s="732"/>
      <c r="AD1509" s="732"/>
      <c r="AE1509" s="733"/>
      <c r="AF1509" s="734" t="str">
        <f t="shared" si="71"/>
        <v/>
      </c>
      <c r="AG1509" s="775"/>
      <c r="AH1509" s="779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36"/>
      <c r="BD1509" s="36"/>
      <c r="BE1509" s="36"/>
      <c r="BF1509" s="36"/>
      <c r="BG1509" s="36"/>
      <c r="BH1509" s="36"/>
      <c r="BI1509" s="36"/>
      <c r="BJ1509" s="36"/>
      <c r="BK1509" s="36"/>
      <c r="BL1509" s="36"/>
    </row>
    <row r="1510" spans="1:64" ht="18.75" x14ac:dyDescent="0.25">
      <c r="A1510" s="758"/>
      <c r="B1510" s="737"/>
      <c r="C1510" s="730"/>
      <c r="D1510" s="739"/>
      <c r="E1510" s="765"/>
      <c r="F1510" s="765"/>
      <c r="G1510" s="765"/>
      <c r="H1510" s="765"/>
      <c r="I1510" s="746" t="str">
        <f t="shared" si="70"/>
        <v/>
      </c>
      <c r="J1510" s="731"/>
      <c r="K1510" s="731" t="str">
        <f t="shared" si="69"/>
        <v/>
      </c>
      <c r="L1510" s="726"/>
      <c r="M1510" s="726"/>
      <c r="N1510" s="726"/>
      <c r="O1510" s="726"/>
      <c r="P1510" s="726"/>
      <c r="Q1510" s="726"/>
      <c r="R1510" s="726"/>
      <c r="S1510" s="726"/>
      <c r="T1510" s="726"/>
      <c r="U1510" s="726"/>
      <c r="V1510" s="726"/>
      <c r="W1510" s="726"/>
      <c r="X1510" s="726"/>
      <c r="Y1510" s="726"/>
      <c r="Z1510" s="726"/>
      <c r="AA1510" s="732"/>
      <c r="AB1510" s="732"/>
      <c r="AC1510" s="732"/>
      <c r="AD1510" s="732"/>
      <c r="AE1510" s="733"/>
      <c r="AF1510" s="734" t="str">
        <f t="shared" si="71"/>
        <v/>
      </c>
      <c r="AG1510" s="773"/>
    </row>
    <row r="1511" spans="1:64" ht="18.75" x14ac:dyDescent="0.25">
      <c r="A1511" s="758"/>
      <c r="B1511" s="737"/>
      <c r="C1511" s="730"/>
      <c r="D1511" s="739"/>
      <c r="E1511" s="765"/>
      <c r="F1511" s="765"/>
      <c r="G1511" s="765"/>
      <c r="H1511" s="765"/>
      <c r="I1511" s="746" t="str">
        <f t="shared" si="70"/>
        <v/>
      </c>
      <c r="J1511" s="731"/>
      <c r="K1511" s="731" t="str">
        <f t="shared" si="69"/>
        <v/>
      </c>
      <c r="L1511" s="726"/>
      <c r="M1511" s="726"/>
      <c r="N1511" s="726"/>
      <c r="O1511" s="726"/>
      <c r="P1511" s="726"/>
      <c r="Q1511" s="726"/>
      <c r="R1511" s="726"/>
      <c r="S1511" s="726"/>
      <c r="T1511" s="726"/>
      <c r="U1511" s="726"/>
      <c r="V1511" s="726"/>
      <c r="W1511" s="726"/>
      <c r="X1511" s="726"/>
      <c r="Y1511" s="726"/>
      <c r="Z1511" s="726"/>
      <c r="AA1511" s="732"/>
      <c r="AB1511" s="732"/>
      <c r="AC1511" s="732"/>
      <c r="AD1511" s="732"/>
      <c r="AE1511" s="733"/>
      <c r="AF1511" s="734" t="str">
        <f t="shared" si="71"/>
        <v/>
      </c>
      <c r="AG1511" s="773"/>
    </row>
    <row r="1512" spans="1:64" ht="18.75" x14ac:dyDescent="0.25">
      <c r="A1512" s="758"/>
      <c r="B1512" s="737"/>
      <c r="C1512" s="730"/>
      <c r="D1512" s="739"/>
      <c r="E1512" s="765"/>
      <c r="F1512" s="765"/>
      <c r="G1512" s="765"/>
      <c r="H1512" s="765"/>
      <c r="I1512" s="746" t="str">
        <f t="shared" si="70"/>
        <v/>
      </c>
      <c r="J1512" s="731"/>
      <c r="K1512" s="731" t="str">
        <f t="shared" si="69"/>
        <v/>
      </c>
      <c r="L1512" s="726"/>
      <c r="M1512" s="726"/>
      <c r="N1512" s="726"/>
      <c r="O1512" s="726"/>
      <c r="P1512" s="726"/>
      <c r="Q1512" s="726"/>
      <c r="R1512" s="726"/>
      <c r="S1512" s="726"/>
      <c r="T1512" s="726"/>
      <c r="U1512" s="726"/>
      <c r="V1512" s="726"/>
      <c r="W1512" s="726"/>
      <c r="X1512" s="726"/>
      <c r="Y1512" s="726"/>
      <c r="Z1512" s="726"/>
      <c r="AA1512" s="732"/>
      <c r="AB1512" s="732"/>
      <c r="AC1512" s="732"/>
      <c r="AD1512" s="732"/>
      <c r="AE1512" s="733"/>
      <c r="AF1512" s="734" t="str">
        <f t="shared" si="71"/>
        <v/>
      </c>
      <c r="AG1512" s="773"/>
    </row>
    <row r="1513" spans="1:64" ht="18.75" x14ac:dyDescent="0.25">
      <c r="A1513" s="758"/>
      <c r="B1513" s="737"/>
      <c r="C1513" s="730"/>
      <c r="D1513" s="739"/>
      <c r="E1513" s="765"/>
      <c r="F1513" s="765"/>
      <c r="G1513" s="765"/>
      <c r="H1513" s="765"/>
      <c r="I1513" s="746" t="str">
        <f t="shared" si="70"/>
        <v/>
      </c>
      <c r="J1513" s="731"/>
      <c r="K1513" s="731" t="str">
        <f t="shared" si="69"/>
        <v/>
      </c>
      <c r="L1513" s="726"/>
      <c r="M1513" s="726"/>
      <c r="N1513" s="726"/>
      <c r="O1513" s="726"/>
      <c r="P1513" s="726"/>
      <c r="Q1513" s="726"/>
      <c r="R1513" s="726"/>
      <c r="S1513" s="726"/>
      <c r="T1513" s="726"/>
      <c r="U1513" s="726"/>
      <c r="V1513" s="726"/>
      <c r="W1513" s="726"/>
      <c r="X1513" s="726"/>
      <c r="Y1513" s="726"/>
      <c r="Z1513" s="726"/>
      <c r="AA1513" s="732"/>
      <c r="AB1513" s="732"/>
      <c r="AC1513" s="732"/>
      <c r="AD1513" s="732"/>
      <c r="AE1513" s="733"/>
      <c r="AF1513" s="734" t="str">
        <f t="shared" si="71"/>
        <v/>
      </c>
      <c r="AG1513" s="773"/>
    </row>
    <row r="1514" spans="1:64" ht="18.75" x14ac:dyDescent="0.25">
      <c r="A1514" s="758"/>
      <c r="B1514" s="737"/>
      <c r="C1514" s="730"/>
      <c r="D1514" s="739"/>
      <c r="E1514" s="765"/>
      <c r="F1514" s="765"/>
      <c r="G1514" s="765"/>
      <c r="H1514" s="765"/>
      <c r="I1514" s="746" t="str">
        <f t="shared" si="70"/>
        <v/>
      </c>
      <c r="J1514" s="731"/>
      <c r="K1514" s="731" t="str">
        <f t="shared" si="69"/>
        <v/>
      </c>
      <c r="L1514" s="726"/>
      <c r="M1514" s="726"/>
      <c r="N1514" s="726"/>
      <c r="O1514" s="726"/>
      <c r="P1514" s="726"/>
      <c r="Q1514" s="726"/>
      <c r="R1514" s="726"/>
      <c r="S1514" s="726"/>
      <c r="T1514" s="726"/>
      <c r="U1514" s="726"/>
      <c r="V1514" s="726"/>
      <c r="W1514" s="726"/>
      <c r="X1514" s="726"/>
      <c r="Y1514" s="726"/>
      <c r="Z1514" s="726"/>
      <c r="AA1514" s="732"/>
      <c r="AB1514" s="732"/>
      <c r="AC1514" s="732"/>
      <c r="AD1514" s="732"/>
      <c r="AE1514" s="733"/>
      <c r="AF1514" s="734" t="str">
        <f t="shared" si="71"/>
        <v/>
      </c>
      <c r="AG1514" s="773"/>
    </row>
    <row r="1515" spans="1:64" ht="18.75" x14ac:dyDescent="0.25">
      <c r="A1515" s="758"/>
      <c r="B1515" s="737"/>
      <c r="C1515" s="730"/>
      <c r="D1515" s="739"/>
      <c r="E1515" s="765"/>
      <c r="F1515" s="765"/>
      <c r="G1515" s="765"/>
      <c r="H1515" s="765"/>
      <c r="I1515" s="746" t="str">
        <f t="shared" si="70"/>
        <v/>
      </c>
      <c r="J1515" s="731"/>
      <c r="K1515" s="731" t="str">
        <f t="shared" si="69"/>
        <v/>
      </c>
      <c r="L1515" s="726"/>
      <c r="M1515" s="726"/>
      <c r="N1515" s="726"/>
      <c r="O1515" s="726"/>
      <c r="P1515" s="726"/>
      <c r="Q1515" s="726"/>
      <c r="R1515" s="726"/>
      <c r="S1515" s="726"/>
      <c r="T1515" s="726"/>
      <c r="U1515" s="726"/>
      <c r="V1515" s="726"/>
      <c r="W1515" s="726"/>
      <c r="X1515" s="726"/>
      <c r="Y1515" s="726"/>
      <c r="Z1515" s="726"/>
      <c r="AA1515" s="732"/>
      <c r="AB1515" s="732"/>
      <c r="AC1515" s="732"/>
      <c r="AD1515" s="732"/>
      <c r="AE1515" s="733"/>
      <c r="AF1515" s="734" t="str">
        <f t="shared" si="71"/>
        <v/>
      </c>
      <c r="AG1515" s="773"/>
    </row>
    <row r="1516" spans="1:64" ht="18.75" x14ac:dyDescent="0.25">
      <c r="A1516" s="758"/>
      <c r="B1516" s="737"/>
      <c r="C1516" s="730"/>
      <c r="D1516" s="739"/>
      <c r="E1516" s="765"/>
      <c r="F1516" s="765"/>
      <c r="G1516" s="765"/>
      <c r="H1516" s="765"/>
      <c r="I1516" s="746" t="str">
        <f t="shared" si="70"/>
        <v/>
      </c>
      <c r="J1516" s="731"/>
      <c r="K1516" s="731" t="str">
        <f t="shared" si="69"/>
        <v/>
      </c>
      <c r="L1516" s="726"/>
      <c r="M1516" s="726"/>
      <c r="N1516" s="726"/>
      <c r="O1516" s="726"/>
      <c r="P1516" s="726"/>
      <c r="Q1516" s="726"/>
      <c r="R1516" s="726"/>
      <c r="S1516" s="726"/>
      <c r="T1516" s="726"/>
      <c r="U1516" s="726"/>
      <c r="V1516" s="726"/>
      <c r="W1516" s="726"/>
      <c r="X1516" s="726"/>
      <c r="Y1516" s="726"/>
      <c r="Z1516" s="726"/>
      <c r="AA1516" s="732"/>
      <c r="AB1516" s="732"/>
      <c r="AC1516" s="732"/>
      <c r="AD1516" s="732"/>
      <c r="AE1516" s="733"/>
      <c r="AF1516" s="734" t="str">
        <f t="shared" si="71"/>
        <v/>
      </c>
      <c r="AG1516" s="775"/>
      <c r="AH1516" s="779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36"/>
      <c r="BD1516" s="36"/>
      <c r="BE1516" s="36"/>
      <c r="BF1516" s="36"/>
      <c r="BG1516" s="36"/>
      <c r="BH1516" s="36"/>
      <c r="BI1516" s="36"/>
      <c r="BJ1516" s="36"/>
      <c r="BK1516" s="36"/>
      <c r="BL1516" s="36"/>
    </row>
    <row r="1517" spans="1:64" ht="18.75" x14ac:dyDescent="0.25">
      <c r="A1517" s="758"/>
      <c r="B1517" s="737"/>
      <c r="C1517" s="730"/>
      <c r="D1517" s="739"/>
      <c r="E1517" s="765"/>
      <c r="F1517" s="765"/>
      <c r="G1517" s="765"/>
      <c r="H1517" s="765"/>
      <c r="I1517" s="746" t="str">
        <f t="shared" si="70"/>
        <v/>
      </c>
      <c r="J1517" s="731"/>
      <c r="K1517" s="731" t="str">
        <f t="shared" si="69"/>
        <v/>
      </c>
      <c r="L1517" s="726"/>
      <c r="M1517" s="726"/>
      <c r="N1517" s="726"/>
      <c r="O1517" s="726"/>
      <c r="P1517" s="726"/>
      <c r="Q1517" s="726"/>
      <c r="R1517" s="726"/>
      <c r="S1517" s="726"/>
      <c r="T1517" s="726"/>
      <c r="U1517" s="726"/>
      <c r="V1517" s="726"/>
      <c r="W1517" s="726"/>
      <c r="X1517" s="726"/>
      <c r="Y1517" s="726"/>
      <c r="Z1517" s="726"/>
      <c r="AA1517" s="732"/>
      <c r="AB1517" s="732"/>
      <c r="AC1517" s="732"/>
      <c r="AD1517" s="732"/>
      <c r="AE1517" s="733"/>
      <c r="AF1517" s="734" t="str">
        <f t="shared" si="71"/>
        <v/>
      </c>
      <c r="AG1517" s="773"/>
    </row>
    <row r="1518" spans="1:64" ht="18.75" x14ac:dyDescent="0.25">
      <c r="A1518" s="758"/>
      <c r="B1518" s="737"/>
      <c r="C1518" s="730"/>
      <c r="D1518" s="739"/>
      <c r="E1518" s="765"/>
      <c r="F1518" s="765"/>
      <c r="G1518" s="765"/>
      <c r="H1518" s="765"/>
      <c r="I1518" s="746" t="str">
        <f t="shared" si="70"/>
        <v/>
      </c>
      <c r="J1518" s="731"/>
      <c r="K1518" s="731" t="str">
        <f t="shared" si="69"/>
        <v/>
      </c>
      <c r="L1518" s="726"/>
      <c r="M1518" s="726"/>
      <c r="N1518" s="726"/>
      <c r="O1518" s="726"/>
      <c r="P1518" s="726"/>
      <c r="Q1518" s="726"/>
      <c r="R1518" s="726"/>
      <c r="S1518" s="726"/>
      <c r="T1518" s="726"/>
      <c r="U1518" s="726"/>
      <c r="V1518" s="726"/>
      <c r="W1518" s="726"/>
      <c r="X1518" s="726"/>
      <c r="Y1518" s="726"/>
      <c r="Z1518" s="726"/>
      <c r="AA1518" s="732"/>
      <c r="AB1518" s="732"/>
      <c r="AC1518" s="732"/>
      <c r="AD1518" s="732"/>
      <c r="AE1518" s="733"/>
      <c r="AF1518" s="734" t="str">
        <f t="shared" si="71"/>
        <v/>
      </c>
      <c r="AG1518" s="773"/>
    </row>
    <row r="1519" spans="1:64" ht="18.75" x14ac:dyDescent="0.25">
      <c r="A1519" s="758"/>
      <c r="B1519" s="737"/>
      <c r="C1519" s="730"/>
      <c r="D1519" s="739"/>
      <c r="E1519" s="765"/>
      <c r="F1519" s="765"/>
      <c r="G1519" s="765"/>
      <c r="H1519" s="765"/>
      <c r="I1519" s="746" t="str">
        <f t="shared" si="70"/>
        <v/>
      </c>
      <c r="J1519" s="731"/>
      <c r="K1519" s="731" t="str">
        <f t="shared" si="69"/>
        <v/>
      </c>
      <c r="L1519" s="726"/>
      <c r="M1519" s="726"/>
      <c r="N1519" s="726"/>
      <c r="O1519" s="726"/>
      <c r="P1519" s="726"/>
      <c r="Q1519" s="726"/>
      <c r="R1519" s="726"/>
      <c r="S1519" s="726"/>
      <c r="T1519" s="726"/>
      <c r="U1519" s="726"/>
      <c r="V1519" s="726"/>
      <c r="W1519" s="726"/>
      <c r="X1519" s="726"/>
      <c r="Y1519" s="726"/>
      <c r="Z1519" s="726"/>
      <c r="AA1519" s="732"/>
      <c r="AB1519" s="732"/>
      <c r="AC1519" s="732"/>
      <c r="AD1519" s="732"/>
      <c r="AE1519" s="733"/>
      <c r="AF1519" s="734" t="str">
        <f t="shared" si="71"/>
        <v/>
      </c>
      <c r="AG1519" s="773"/>
    </row>
    <row r="1520" spans="1:64" ht="18.75" x14ac:dyDescent="0.25">
      <c r="A1520" s="758"/>
      <c r="B1520" s="737"/>
      <c r="C1520" s="730"/>
      <c r="D1520" s="739"/>
      <c r="E1520" s="765"/>
      <c r="F1520" s="765"/>
      <c r="G1520" s="765"/>
      <c r="H1520" s="765"/>
      <c r="I1520" s="746" t="str">
        <f t="shared" si="70"/>
        <v/>
      </c>
      <c r="J1520" s="731"/>
      <c r="K1520" s="731" t="str">
        <f t="shared" si="69"/>
        <v/>
      </c>
      <c r="L1520" s="726"/>
      <c r="M1520" s="726"/>
      <c r="N1520" s="726"/>
      <c r="O1520" s="726"/>
      <c r="P1520" s="726"/>
      <c r="Q1520" s="726"/>
      <c r="R1520" s="726"/>
      <c r="S1520" s="726"/>
      <c r="T1520" s="726"/>
      <c r="U1520" s="726"/>
      <c r="V1520" s="726"/>
      <c r="W1520" s="726"/>
      <c r="X1520" s="726"/>
      <c r="Y1520" s="726"/>
      <c r="Z1520" s="726"/>
      <c r="AA1520" s="732"/>
      <c r="AB1520" s="732"/>
      <c r="AC1520" s="732"/>
      <c r="AD1520" s="732"/>
      <c r="AE1520" s="733"/>
      <c r="AF1520" s="734" t="str">
        <f t="shared" si="71"/>
        <v/>
      </c>
      <c r="AG1520" s="773"/>
    </row>
    <row r="1521" spans="1:64" ht="18.75" x14ac:dyDescent="0.25">
      <c r="A1521" s="758"/>
      <c r="B1521" s="737"/>
      <c r="C1521" s="730"/>
      <c r="D1521" s="739"/>
      <c r="E1521" s="765"/>
      <c r="F1521" s="765"/>
      <c r="G1521" s="765"/>
      <c r="H1521" s="765"/>
      <c r="I1521" s="746" t="str">
        <f t="shared" si="70"/>
        <v/>
      </c>
      <c r="J1521" s="731"/>
      <c r="K1521" s="731" t="str">
        <f t="shared" si="69"/>
        <v/>
      </c>
      <c r="L1521" s="726"/>
      <c r="M1521" s="726"/>
      <c r="N1521" s="726"/>
      <c r="O1521" s="726"/>
      <c r="P1521" s="726"/>
      <c r="Q1521" s="726"/>
      <c r="R1521" s="726"/>
      <c r="S1521" s="726"/>
      <c r="T1521" s="726"/>
      <c r="U1521" s="726"/>
      <c r="V1521" s="726"/>
      <c r="W1521" s="726"/>
      <c r="X1521" s="726"/>
      <c r="Y1521" s="726"/>
      <c r="Z1521" s="726"/>
      <c r="AA1521" s="732"/>
      <c r="AB1521" s="732"/>
      <c r="AC1521" s="732"/>
      <c r="AD1521" s="732"/>
      <c r="AE1521" s="733"/>
      <c r="AF1521" s="734" t="str">
        <f t="shared" si="71"/>
        <v/>
      </c>
      <c r="AG1521" s="773"/>
    </row>
    <row r="1522" spans="1:64" ht="18.75" customHeight="1" x14ac:dyDescent="0.25">
      <c r="A1522" s="758"/>
      <c r="B1522" s="737"/>
      <c r="C1522" s="730"/>
      <c r="D1522" s="739"/>
      <c r="E1522" s="765"/>
      <c r="F1522" s="765"/>
      <c r="G1522" s="765"/>
      <c r="H1522" s="765"/>
      <c r="I1522" s="746" t="str">
        <f t="shared" si="70"/>
        <v/>
      </c>
      <c r="J1522" s="731"/>
      <c r="K1522" s="731" t="str">
        <f t="shared" si="69"/>
        <v/>
      </c>
      <c r="L1522" s="726"/>
      <c r="M1522" s="726"/>
      <c r="N1522" s="726"/>
      <c r="O1522" s="726"/>
      <c r="P1522" s="726"/>
      <c r="Q1522" s="726"/>
      <c r="R1522" s="726"/>
      <c r="S1522" s="726"/>
      <c r="T1522" s="726"/>
      <c r="U1522" s="726"/>
      <c r="V1522" s="726"/>
      <c r="W1522" s="726"/>
      <c r="X1522" s="726"/>
      <c r="Y1522" s="726"/>
      <c r="Z1522" s="726"/>
      <c r="AA1522" s="732"/>
      <c r="AB1522" s="732"/>
      <c r="AC1522" s="732"/>
      <c r="AD1522" s="732"/>
      <c r="AE1522" s="733"/>
      <c r="AF1522" s="734" t="str">
        <f t="shared" si="71"/>
        <v/>
      </c>
      <c r="AG1522" s="772"/>
      <c r="AH1522" s="777"/>
      <c r="AI1522" s="735"/>
      <c r="AJ1522" s="735"/>
      <c r="AK1522" s="735"/>
      <c r="AL1522" s="735"/>
      <c r="AM1522" s="735"/>
      <c r="AN1522" s="735"/>
      <c r="AO1522" s="735"/>
      <c r="AP1522" s="735"/>
      <c r="AQ1522" s="735"/>
      <c r="AR1522" s="735"/>
      <c r="AS1522" s="735"/>
      <c r="AT1522" s="735"/>
      <c r="AU1522" s="735"/>
      <c r="AV1522" s="735"/>
      <c r="AW1522" s="735"/>
      <c r="AX1522" s="735"/>
      <c r="AY1522" s="735"/>
      <c r="AZ1522" s="735"/>
      <c r="BA1522" s="735"/>
      <c r="BB1522" s="735"/>
      <c r="BC1522" s="735"/>
      <c r="BD1522" s="735"/>
      <c r="BE1522" s="735"/>
      <c r="BF1522" s="735"/>
      <c r="BG1522" s="735"/>
      <c r="BH1522" s="735"/>
      <c r="BI1522" s="735"/>
      <c r="BJ1522" s="735"/>
      <c r="BK1522" s="735"/>
      <c r="BL1522" s="735"/>
    </row>
    <row r="1523" spans="1:64" ht="19.5" customHeight="1" x14ac:dyDescent="0.25">
      <c r="A1523" s="758"/>
      <c r="B1523" s="737"/>
      <c r="C1523" s="730"/>
      <c r="D1523" s="739"/>
      <c r="E1523" s="765"/>
      <c r="F1523" s="765"/>
      <c r="G1523" s="765"/>
      <c r="H1523" s="765"/>
      <c r="I1523" s="746" t="str">
        <f t="shared" si="70"/>
        <v/>
      </c>
      <c r="J1523" s="731"/>
      <c r="K1523" s="731" t="str">
        <f t="shared" si="69"/>
        <v/>
      </c>
      <c r="L1523" s="726"/>
      <c r="M1523" s="726"/>
      <c r="N1523" s="726"/>
      <c r="O1523" s="726"/>
      <c r="P1523" s="726"/>
      <c r="Q1523" s="726"/>
      <c r="R1523" s="726"/>
      <c r="S1523" s="726"/>
      <c r="T1523" s="726"/>
      <c r="U1523" s="726"/>
      <c r="V1523" s="726"/>
      <c r="W1523" s="726"/>
      <c r="X1523" s="726"/>
      <c r="Y1523" s="726"/>
      <c r="Z1523" s="726"/>
      <c r="AA1523" s="732"/>
      <c r="AB1523" s="732"/>
      <c r="AC1523" s="732"/>
      <c r="AD1523" s="732"/>
      <c r="AE1523" s="733"/>
      <c r="AF1523" s="734" t="str">
        <f t="shared" si="71"/>
        <v/>
      </c>
      <c r="AG1523" s="772"/>
      <c r="AH1523" s="777"/>
      <c r="AI1523" s="735"/>
      <c r="AJ1523" s="735"/>
      <c r="AK1523" s="735"/>
      <c r="AL1523" s="735"/>
      <c r="AM1523" s="735"/>
      <c r="AN1523" s="735"/>
      <c r="AO1523" s="735"/>
      <c r="AP1523" s="735"/>
      <c r="AQ1523" s="735"/>
      <c r="AR1523" s="735"/>
      <c r="AS1523" s="735"/>
      <c r="AT1523" s="735"/>
      <c r="AU1523" s="735"/>
      <c r="AV1523" s="735"/>
      <c r="AW1523" s="735"/>
      <c r="AX1523" s="735"/>
      <c r="AY1523" s="735"/>
      <c r="AZ1523" s="735"/>
      <c r="BA1523" s="735"/>
      <c r="BB1523" s="735"/>
      <c r="BC1523" s="735"/>
      <c r="BD1523" s="735"/>
      <c r="BE1523" s="735"/>
      <c r="BF1523" s="735"/>
      <c r="BG1523" s="735"/>
      <c r="BH1523" s="735"/>
      <c r="BI1523" s="735"/>
      <c r="BJ1523" s="735"/>
      <c r="BK1523" s="735"/>
      <c r="BL1523" s="735"/>
    </row>
    <row r="1524" spans="1:64" ht="19.5" customHeight="1" x14ac:dyDescent="0.25">
      <c r="A1524" s="758"/>
      <c r="B1524" s="737"/>
      <c r="C1524" s="730"/>
      <c r="D1524" s="739"/>
      <c r="E1524" s="765"/>
      <c r="F1524" s="765"/>
      <c r="G1524" s="765"/>
      <c r="H1524" s="765"/>
      <c r="I1524" s="746" t="str">
        <f t="shared" si="70"/>
        <v/>
      </c>
      <c r="J1524" s="731"/>
      <c r="K1524" s="731" t="str">
        <f t="shared" si="69"/>
        <v/>
      </c>
      <c r="L1524" s="726"/>
      <c r="M1524" s="726"/>
      <c r="N1524" s="726"/>
      <c r="O1524" s="726"/>
      <c r="P1524" s="726"/>
      <c r="Q1524" s="726"/>
      <c r="R1524" s="726"/>
      <c r="S1524" s="726"/>
      <c r="T1524" s="726"/>
      <c r="U1524" s="726"/>
      <c r="V1524" s="726"/>
      <c r="W1524" s="726"/>
      <c r="X1524" s="726"/>
      <c r="Y1524" s="726"/>
      <c r="Z1524" s="726"/>
      <c r="AA1524" s="732"/>
      <c r="AB1524" s="732"/>
      <c r="AC1524" s="732"/>
      <c r="AD1524" s="732"/>
      <c r="AE1524" s="733"/>
      <c r="AF1524" s="734" t="str">
        <f t="shared" si="71"/>
        <v/>
      </c>
      <c r="AG1524" s="772"/>
      <c r="AH1524" s="777"/>
      <c r="AI1524" s="735"/>
      <c r="AJ1524" s="735"/>
      <c r="AK1524" s="735"/>
      <c r="AL1524" s="735"/>
      <c r="AM1524" s="735"/>
      <c r="AN1524" s="735"/>
      <c r="AO1524" s="735"/>
      <c r="AP1524" s="735"/>
      <c r="AQ1524" s="735"/>
      <c r="AR1524" s="735"/>
      <c r="AS1524" s="735"/>
      <c r="AT1524" s="735"/>
      <c r="AU1524" s="735"/>
      <c r="AV1524" s="735"/>
      <c r="AW1524" s="735"/>
      <c r="AX1524" s="735"/>
      <c r="AY1524" s="735"/>
      <c r="AZ1524" s="735"/>
      <c r="BA1524" s="735"/>
      <c r="BB1524" s="735"/>
      <c r="BC1524" s="735"/>
      <c r="BD1524" s="735"/>
      <c r="BE1524" s="735"/>
      <c r="BF1524" s="735"/>
      <c r="BG1524" s="735"/>
      <c r="BH1524" s="735"/>
      <c r="BI1524" s="735"/>
      <c r="BJ1524" s="735"/>
      <c r="BK1524" s="735"/>
      <c r="BL1524" s="735"/>
    </row>
    <row r="1525" spans="1:64" ht="19.5" customHeight="1" x14ac:dyDescent="0.25">
      <c r="A1525" s="758"/>
      <c r="B1525" s="737"/>
      <c r="C1525" s="730"/>
      <c r="D1525" s="739"/>
      <c r="E1525" s="765"/>
      <c r="F1525" s="765"/>
      <c r="G1525" s="765"/>
      <c r="H1525" s="765"/>
      <c r="I1525" s="746" t="str">
        <f t="shared" si="70"/>
        <v/>
      </c>
      <c r="J1525" s="731"/>
      <c r="K1525" s="731" t="str">
        <f t="shared" si="69"/>
        <v/>
      </c>
      <c r="L1525" s="726"/>
      <c r="M1525" s="726"/>
      <c r="N1525" s="726"/>
      <c r="O1525" s="726"/>
      <c r="P1525" s="726"/>
      <c r="Q1525" s="726"/>
      <c r="R1525" s="726"/>
      <c r="S1525" s="726"/>
      <c r="T1525" s="726"/>
      <c r="U1525" s="726"/>
      <c r="V1525" s="726"/>
      <c r="W1525" s="726"/>
      <c r="X1525" s="726"/>
      <c r="Y1525" s="726"/>
      <c r="Z1525" s="726"/>
      <c r="AA1525" s="732"/>
      <c r="AB1525" s="732"/>
      <c r="AC1525" s="732"/>
      <c r="AD1525" s="732"/>
      <c r="AE1525" s="733"/>
      <c r="AF1525" s="734" t="str">
        <f t="shared" si="71"/>
        <v/>
      </c>
      <c r="AG1525" s="772"/>
      <c r="AH1525" s="777"/>
      <c r="AI1525" s="735"/>
      <c r="AJ1525" s="735"/>
      <c r="AK1525" s="735"/>
      <c r="AL1525" s="735"/>
      <c r="AM1525" s="735"/>
      <c r="AN1525" s="735"/>
      <c r="AO1525" s="735"/>
      <c r="AP1525" s="735"/>
      <c r="AQ1525" s="735"/>
      <c r="AR1525" s="735"/>
      <c r="AS1525" s="735"/>
      <c r="AT1525" s="735"/>
      <c r="AU1525" s="735"/>
      <c r="AV1525" s="735"/>
      <c r="AW1525" s="735"/>
      <c r="AX1525" s="735"/>
      <c r="AY1525" s="735"/>
      <c r="AZ1525" s="735"/>
      <c r="BA1525" s="735"/>
      <c r="BB1525" s="735"/>
      <c r="BC1525" s="735"/>
      <c r="BD1525" s="735"/>
      <c r="BE1525" s="735"/>
      <c r="BF1525" s="735"/>
      <c r="BG1525" s="735"/>
      <c r="BH1525" s="735"/>
      <c r="BI1525" s="735"/>
      <c r="BJ1525" s="735"/>
      <c r="BK1525" s="735"/>
      <c r="BL1525" s="735"/>
    </row>
    <row r="1526" spans="1:64" ht="18.75" x14ac:dyDescent="0.25">
      <c r="A1526" s="758"/>
      <c r="B1526" s="737"/>
      <c r="C1526" s="730"/>
      <c r="D1526" s="739"/>
      <c r="E1526" s="765"/>
      <c r="F1526" s="765"/>
      <c r="G1526" s="765"/>
      <c r="H1526" s="765"/>
      <c r="I1526" s="746" t="str">
        <f t="shared" si="70"/>
        <v/>
      </c>
      <c r="J1526" s="731"/>
      <c r="K1526" s="731" t="str">
        <f t="shared" si="69"/>
        <v/>
      </c>
      <c r="L1526" s="726"/>
      <c r="M1526" s="726"/>
      <c r="N1526" s="726"/>
      <c r="O1526" s="726"/>
      <c r="P1526" s="726"/>
      <c r="Q1526" s="726"/>
      <c r="R1526" s="726"/>
      <c r="S1526" s="726"/>
      <c r="T1526" s="726"/>
      <c r="U1526" s="726"/>
      <c r="V1526" s="726"/>
      <c r="W1526" s="726"/>
      <c r="X1526" s="726"/>
      <c r="Y1526" s="726"/>
      <c r="Z1526" s="726"/>
      <c r="AA1526" s="732"/>
      <c r="AB1526" s="732"/>
      <c r="AC1526" s="732"/>
      <c r="AD1526" s="732"/>
      <c r="AE1526" s="733"/>
      <c r="AF1526" s="734" t="str">
        <f t="shared" si="71"/>
        <v/>
      </c>
      <c r="AG1526" s="773"/>
    </row>
    <row r="1527" spans="1:64" ht="18.75" x14ac:dyDescent="0.25">
      <c r="A1527" s="758"/>
      <c r="B1527" s="737"/>
      <c r="C1527" s="730"/>
      <c r="D1527" s="739"/>
      <c r="E1527" s="765"/>
      <c r="F1527" s="765"/>
      <c r="G1527" s="765"/>
      <c r="H1527" s="765"/>
      <c r="I1527" s="746" t="str">
        <f t="shared" si="70"/>
        <v/>
      </c>
      <c r="J1527" s="731"/>
      <c r="K1527" s="731" t="str">
        <f t="shared" si="69"/>
        <v/>
      </c>
      <c r="L1527" s="726"/>
      <c r="M1527" s="726"/>
      <c r="N1527" s="726"/>
      <c r="O1527" s="726"/>
      <c r="P1527" s="726"/>
      <c r="Q1527" s="726"/>
      <c r="R1527" s="726"/>
      <c r="S1527" s="726"/>
      <c r="T1527" s="726"/>
      <c r="U1527" s="726"/>
      <c r="V1527" s="726"/>
      <c r="W1527" s="726"/>
      <c r="X1527" s="726"/>
      <c r="Y1527" s="726"/>
      <c r="Z1527" s="726"/>
      <c r="AA1527" s="732"/>
      <c r="AB1527" s="732"/>
      <c r="AC1527" s="732"/>
      <c r="AD1527" s="732"/>
      <c r="AE1527" s="733"/>
      <c r="AF1527" s="734" t="str">
        <f t="shared" si="71"/>
        <v/>
      </c>
      <c r="AG1527" s="773"/>
    </row>
    <row r="1528" spans="1:64" ht="18.75" x14ac:dyDescent="0.25">
      <c r="A1528" s="758"/>
      <c r="B1528" s="737"/>
      <c r="C1528" s="730"/>
      <c r="D1528" s="739"/>
      <c r="E1528" s="765"/>
      <c r="F1528" s="765"/>
      <c r="G1528" s="765"/>
      <c r="H1528" s="765"/>
      <c r="I1528" s="746" t="str">
        <f t="shared" si="70"/>
        <v/>
      </c>
      <c r="J1528" s="731"/>
      <c r="K1528" s="731" t="str">
        <f t="shared" si="69"/>
        <v/>
      </c>
      <c r="L1528" s="726"/>
      <c r="M1528" s="726"/>
      <c r="N1528" s="726"/>
      <c r="O1528" s="726"/>
      <c r="P1528" s="726"/>
      <c r="Q1528" s="726"/>
      <c r="R1528" s="726"/>
      <c r="S1528" s="726"/>
      <c r="T1528" s="726"/>
      <c r="U1528" s="726"/>
      <c r="V1528" s="726"/>
      <c r="W1528" s="726"/>
      <c r="X1528" s="726"/>
      <c r="Y1528" s="726"/>
      <c r="Z1528" s="726"/>
      <c r="AA1528" s="732"/>
      <c r="AB1528" s="732"/>
      <c r="AC1528" s="732"/>
      <c r="AD1528" s="732"/>
      <c r="AE1528" s="733"/>
      <c r="AF1528" s="734" t="str">
        <f t="shared" si="71"/>
        <v/>
      </c>
      <c r="AG1528" s="773"/>
    </row>
    <row r="1529" spans="1:64" ht="18.75" x14ac:dyDescent="0.25">
      <c r="A1529" s="758"/>
      <c r="B1529" s="737"/>
      <c r="C1529" s="730"/>
      <c r="D1529" s="739"/>
      <c r="E1529" s="765"/>
      <c r="F1529" s="765"/>
      <c r="G1529" s="765"/>
      <c r="H1529" s="765"/>
      <c r="I1529" s="746" t="str">
        <f t="shared" si="70"/>
        <v/>
      </c>
      <c r="J1529" s="731"/>
      <c r="K1529" s="731" t="str">
        <f t="shared" si="69"/>
        <v/>
      </c>
      <c r="L1529" s="726"/>
      <c r="M1529" s="726"/>
      <c r="N1529" s="726"/>
      <c r="O1529" s="726"/>
      <c r="P1529" s="726"/>
      <c r="Q1529" s="726"/>
      <c r="R1529" s="726"/>
      <c r="S1529" s="726"/>
      <c r="T1529" s="726"/>
      <c r="U1529" s="726"/>
      <c r="V1529" s="726"/>
      <c r="W1529" s="726"/>
      <c r="X1529" s="726"/>
      <c r="Y1529" s="726"/>
      <c r="Z1529" s="726"/>
      <c r="AA1529" s="732"/>
      <c r="AB1529" s="732"/>
      <c r="AC1529" s="732"/>
      <c r="AD1529" s="732"/>
      <c r="AE1529" s="733"/>
      <c r="AF1529" s="734" t="str">
        <f t="shared" si="71"/>
        <v/>
      </c>
      <c r="AG1529" s="773"/>
    </row>
    <row r="1530" spans="1:64" ht="18.75" x14ac:dyDescent="0.25">
      <c r="A1530" s="758"/>
      <c r="B1530" s="737"/>
      <c r="C1530" s="730"/>
      <c r="D1530" s="739"/>
      <c r="E1530" s="765"/>
      <c r="F1530" s="765"/>
      <c r="G1530" s="765"/>
      <c r="H1530" s="765"/>
      <c r="I1530" s="746" t="str">
        <f t="shared" si="70"/>
        <v/>
      </c>
      <c r="J1530" s="731"/>
      <c r="K1530" s="731" t="str">
        <f t="shared" si="69"/>
        <v/>
      </c>
      <c r="L1530" s="726"/>
      <c r="M1530" s="726"/>
      <c r="N1530" s="726"/>
      <c r="O1530" s="726"/>
      <c r="P1530" s="726"/>
      <c r="Q1530" s="726"/>
      <c r="R1530" s="726"/>
      <c r="S1530" s="726"/>
      <c r="T1530" s="726"/>
      <c r="U1530" s="726"/>
      <c r="V1530" s="726"/>
      <c r="W1530" s="726"/>
      <c r="X1530" s="726"/>
      <c r="Y1530" s="726"/>
      <c r="Z1530" s="726"/>
      <c r="AA1530" s="732"/>
      <c r="AB1530" s="732"/>
      <c r="AC1530" s="732"/>
      <c r="AD1530" s="732"/>
      <c r="AE1530" s="733"/>
      <c r="AF1530" s="734" t="str">
        <f t="shared" si="71"/>
        <v/>
      </c>
      <c r="AG1530" s="773"/>
    </row>
    <row r="1531" spans="1:64" ht="18.75" x14ac:dyDescent="0.25">
      <c r="A1531" s="758"/>
      <c r="B1531" s="737"/>
      <c r="C1531" s="730"/>
      <c r="D1531" s="739"/>
      <c r="E1531" s="765"/>
      <c r="F1531" s="765"/>
      <c r="G1531" s="765"/>
      <c r="H1531" s="765"/>
      <c r="I1531" s="746" t="str">
        <f t="shared" si="70"/>
        <v/>
      </c>
      <c r="J1531" s="731"/>
      <c r="K1531" s="731" t="str">
        <f t="shared" si="69"/>
        <v/>
      </c>
      <c r="L1531" s="726"/>
      <c r="M1531" s="726"/>
      <c r="N1531" s="726"/>
      <c r="O1531" s="726"/>
      <c r="P1531" s="726"/>
      <c r="Q1531" s="726"/>
      <c r="R1531" s="726"/>
      <c r="S1531" s="726"/>
      <c r="T1531" s="726"/>
      <c r="U1531" s="726"/>
      <c r="V1531" s="726"/>
      <c r="W1531" s="726"/>
      <c r="X1531" s="726"/>
      <c r="Y1531" s="726"/>
      <c r="Z1531" s="726"/>
      <c r="AA1531" s="732"/>
      <c r="AB1531" s="732"/>
      <c r="AC1531" s="732"/>
      <c r="AD1531" s="732"/>
      <c r="AE1531" s="733"/>
      <c r="AF1531" s="734" t="str">
        <f t="shared" si="71"/>
        <v/>
      </c>
      <c r="AG1531" s="773"/>
    </row>
    <row r="1532" spans="1:64" ht="18.75" x14ac:dyDescent="0.25">
      <c r="A1532" s="758"/>
      <c r="B1532" s="737"/>
      <c r="C1532" s="730"/>
      <c r="D1532" s="739"/>
      <c r="E1532" s="765"/>
      <c r="F1532" s="765"/>
      <c r="G1532" s="765"/>
      <c r="H1532" s="765"/>
      <c r="I1532" s="746" t="str">
        <f t="shared" si="70"/>
        <v/>
      </c>
      <c r="J1532" s="731"/>
      <c r="K1532" s="731" t="str">
        <f t="shared" si="69"/>
        <v/>
      </c>
      <c r="L1532" s="726"/>
      <c r="M1532" s="726"/>
      <c r="N1532" s="726"/>
      <c r="O1532" s="726"/>
      <c r="P1532" s="726"/>
      <c r="Q1532" s="726"/>
      <c r="R1532" s="726"/>
      <c r="S1532" s="726"/>
      <c r="T1532" s="726"/>
      <c r="U1532" s="726"/>
      <c r="V1532" s="726"/>
      <c r="W1532" s="726"/>
      <c r="X1532" s="726"/>
      <c r="Y1532" s="726"/>
      <c r="Z1532" s="726"/>
      <c r="AA1532" s="732"/>
      <c r="AB1532" s="732"/>
      <c r="AC1532" s="732"/>
      <c r="AD1532" s="732"/>
      <c r="AE1532" s="733"/>
      <c r="AF1532" s="734" t="str">
        <f t="shared" si="71"/>
        <v/>
      </c>
      <c r="AG1532" s="773"/>
    </row>
    <row r="1533" spans="1:64" ht="18.75" x14ac:dyDescent="0.25">
      <c r="A1533" s="758"/>
      <c r="B1533" s="737"/>
      <c r="C1533" s="730"/>
      <c r="D1533" s="739"/>
      <c r="E1533" s="765"/>
      <c r="F1533" s="765"/>
      <c r="G1533" s="765"/>
      <c r="H1533" s="765"/>
      <c r="I1533" s="746" t="str">
        <f t="shared" si="70"/>
        <v/>
      </c>
      <c r="J1533" s="731"/>
      <c r="K1533" s="731" t="str">
        <f t="shared" si="69"/>
        <v/>
      </c>
      <c r="L1533" s="726"/>
      <c r="M1533" s="726"/>
      <c r="N1533" s="726"/>
      <c r="O1533" s="726"/>
      <c r="P1533" s="726"/>
      <c r="Q1533" s="726"/>
      <c r="R1533" s="726"/>
      <c r="S1533" s="726"/>
      <c r="T1533" s="726"/>
      <c r="U1533" s="726"/>
      <c r="V1533" s="726"/>
      <c r="W1533" s="726"/>
      <c r="X1533" s="726"/>
      <c r="Y1533" s="726"/>
      <c r="Z1533" s="726"/>
      <c r="AA1533" s="732"/>
      <c r="AB1533" s="732"/>
      <c r="AC1533" s="732"/>
      <c r="AD1533" s="732"/>
      <c r="AE1533" s="733"/>
      <c r="AF1533" s="734" t="str">
        <f t="shared" si="71"/>
        <v/>
      </c>
      <c r="AG1533" s="773"/>
    </row>
    <row r="1534" spans="1:64" ht="18.75" x14ac:dyDescent="0.25">
      <c r="A1534" s="758"/>
      <c r="B1534" s="737"/>
      <c r="C1534" s="730"/>
      <c r="D1534" s="739"/>
      <c r="E1534" s="765"/>
      <c r="F1534" s="765"/>
      <c r="G1534" s="765"/>
      <c r="H1534" s="765"/>
      <c r="I1534" s="746" t="str">
        <f t="shared" si="70"/>
        <v/>
      </c>
      <c r="J1534" s="731"/>
      <c r="K1534" s="731" t="str">
        <f t="shared" si="69"/>
        <v/>
      </c>
      <c r="L1534" s="726"/>
      <c r="M1534" s="726"/>
      <c r="N1534" s="726"/>
      <c r="O1534" s="726"/>
      <c r="P1534" s="726"/>
      <c r="Q1534" s="726"/>
      <c r="R1534" s="726"/>
      <c r="S1534" s="726"/>
      <c r="T1534" s="726"/>
      <c r="U1534" s="726"/>
      <c r="V1534" s="726"/>
      <c r="W1534" s="726"/>
      <c r="X1534" s="726"/>
      <c r="Y1534" s="726"/>
      <c r="Z1534" s="726"/>
      <c r="AA1534" s="732"/>
      <c r="AB1534" s="732"/>
      <c r="AC1534" s="732"/>
      <c r="AD1534" s="732"/>
      <c r="AE1534" s="733"/>
      <c r="AF1534" s="734" t="str">
        <f t="shared" si="71"/>
        <v/>
      </c>
      <c r="AG1534" s="773"/>
    </row>
    <row r="1535" spans="1:64" ht="18.75" x14ac:dyDescent="0.25">
      <c r="A1535" s="758"/>
      <c r="B1535" s="737"/>
      <c r="C1535" s="730"/>
      <c r="D1535" s="739"/>
      <c r="E1535" s="765"/>
      <c r="F1535" s="765"/>
      <c r="G1535" s="765"/>
      <c r="H1535" s="765"/>
      <c r="I1535" s="746" t="str">
        <f t="shared" si="70"/>
        <v/>
      </c>
      <c r="J1535" s="731"/>
      <c r="K1535" s="731" t="str">
        <f t="shared" si="69"/>
        <v/>
      </c>
      <c r="L1535" s="726"/>
      <c r="M1535" s="726"/>
      <c r="N1535" s="726"/>
      <c r="O1535" s="726"/>
      <c r="P1535" s="726"/>
      <c r="Q1535" s="726"/>
      <c r="R1535" s="726"/>
      <c r="S1535" s="726"/>
      <c r="T1535" s="726"/>
      <c r="U1535" s="726"/>
      <c r="V1535" s="726"/>
      <c r="W1535" s="726"/>
      <c r="X1535" s="726"/>
      <c r="Y1535" s="726"/>
      <c r="Z1535" s="726"/>
      <c r="AA1535" s="732"/>
      <c r="AB1535" s="732"/>
      <c r="AC1535" s="732"/>
      <c r="AD1535" s="732"/>
      <c r="AE1535" s="733"/>
      <c r="AF1535" s="734" t="str">
        <f t="shared" si="71"/>
        <v/>
      </c>
      <c r="AG1535" s="773"/>
    </row>
    <row r="1536" spans="1:64" ht="18.75" x14ac:dyDescent="0.25">
      <c r="A1536" s="758"/>
      <c r="B1536" s="737"/>
      <c r="C1536" s="730"/>
      <c r="D1536" s="739"/>
      <c r="E1536" s="765"/>
      <c r="F1536" s="765"/>
      <c r="G1536" s="765"/>
      <c r="H1536" s="765"/>
      <c r="I1536" s="746" t="str">
        <f t="shared" si="70"/>
        <v/>
      </c>
      <c r="J1536" s="731"/>
      <c r="K1536" s="731" t="str">
        <f t="shared" si="69"/>
        <v/>
      </c>
      <c r="L1536" s="726"/>
      <c r="M1536" s="726"/>
      <c r="N1536" s="726"/>
      <c r="O1536" s="726"/>
      <c r="P1536" s="726"/>
      <c r="Q1536" s="726"/>
      <c r="R1536" s="726"/>
      <c r="S1536" s="726"/>
      <c r="T1536" s="726"/>
      <c r="U1536" s="726"/>
      <c r="V1536" s="726"/>
      <c r="W1536" s="726"/>
      <c r="X1536" s="726"/>
      <c r="Y1536" s="726"/>
      <c r="Z1536" s="726"/>
      <c r="AA1536" s="732"/>
      <c r="AB1536" s="732"/>
      <c r="AC1536" s="732"/>
      <c r="AD1536" s="732"/>
      <c r="AE1536" s="733"/>
      <c r="AF1536" s="734" t="str">
        <f t="shared" si="71"/>
        <v/>
      </c>
      <c r="AG1536" s="773"/>
    </row>
    <row r="1537" spans="1:64" ht="18.75" x14ac:dyDescent="0.25">
      <c r="A1537" s="758"/>
      <c r="B1537" s="737"/>
      <c r="C1537" s="730"/>
      <c r="D1537" s="739"/>
      <c r="E1537" s="765"/>
      <c r="F1537" s="765"/>
      <c r="G1537" s="765"/>
      <c r="H1537" s="765"/>
      <c r="I1537" s="746" t="str">
        <f t="shared" si="70"/>
        <v/>
      </c>
      <c r="J1537" s="731"/>
      <c r="K1537" s="731" t="str">
        <f t="shared" si="69"/>
        <v/>
      </c>
      <c r="L1537" s="726"/>
      <c r="M1537" s="726"/>
      <c r="N1537" s="726"/>
      <c r="O1537" s="726"/>
      <c r="P1537" s="726"/>
      <c r="Q1537" s="726"/>
      <c r="R1537" s="726"/>
      <c r="S1537" s="726"/>
      <c r="T1537" s="726"/>
      <c r="U1537" s="726"/>
      <c r="V1537" s="726"/>
      <c r="W1537" s="726"/>
      <c r="X1537" s="726"/>
      <c r="Y1537" s="726"/>
      <c r="Z1537" s="726"/>
      <c r="AA1537" s="732"/>
      <c r="AB1537" s="732"/>
      <c r="AC1537" s="732"/>
      <c r="AD1537" s="732"/>
      <c r="AE1537" s="733"/>
      <c r="AF1537" s="734" t="str">
        <f t="shared" si="71"/>
        <v/>
      </c>
      <c r="AG1537" s="773"/>
    </row>
    <row r="1538" spans="1:64" ht="18.75" x14ac:dyDescent="0.25">
      <c r="A1538" s="758"/>
      <c r="B1538" s="737"/>
      <c r="C1538" s="730"/>
      <c r="D1538" s="739"/>
      <c r="E1538" s="765"/>
      <c r="F1538" s="765"/>
      <c r="G1538" s="765"/>
      <c r="H1538" s="765"/>
      <c r="I1538" s="746" t="str">
        <f t="shared" si="70"/>
        <v/>
      </c>
      <c r="J1538" s="731"/>
      <c r="K1538" s="731" t="str">
        <f t="shared" si="69"/>
        <v/>
      </c>
      <c r="L1538" s="726"/>
      <c r="M1538" s="726"/>
      <c r="N1538" s="726"/>
      <c r="O1538" s="726"/>
      <c r="P1538" s="726"/>
      <c r="Q1538" s="726"/>
      <c r="R1538" s="726"/>
      <c r="S1538" s="726"/>
      <c r="T1538" s="726"/>
      <c r="U1538" s="726"/>
      <c r="V1538" s="726"/>
      <c r="W1538" s="726"/>
      <c r="X1538" s="726"/>
      <c r="Y1538" s="726"/>
      <c r="Z1538" s="726"/>
      <c r="AA1538" s="732"/>
      <c r="AB1538" s="732"/>
      <c r="AC1538" s="732"/>
      <c r="AD1538" s="732"/>
      <c r="AE1538" s="733"/>
      <c r="AF1538" s="734" t="str">
        <f t="shared" si="71"/>
        <v/>
      </c>
      <c r="AG1538" s="773"/>
    </row>
    <row r="1539" spans="1:64" ht="18.75" x14ac:dyDescent="0.25">
      <c r="A1539" s="758"/>
      <c r="B1539" s="737"/>
      <c r="C1539" s="730"/>
      <c r="D1539" s="739"/>
      <c r="E1539" s="765"/>
      <c r="F1539" s="765"/>
      <c r="G1539" s="765"/>
      <c r="H1539" s="765"/>
      <c r="I1539" s="746" t="str">
        <f t="shared" si="70"/>
        <v/>
      </c>
      <c r="J1539" s="731"/>
      <c r="K1539" s="731" t="str">
        <f t="shared" si="69"/>
        <v/>
      </c>
      <c r="L1539" s="726"/>
      <c r="M1539" s="726"/>
      <c r="N1539" s="726"/>
      <c r="O1539" s="726"/>
      <c r="P1539" s="726"/>
      <c r="Q1539" s="726"/>
      <c r="R1539" s="726"/>
      <c r="S1539" s="726"/>
      <c r="T1539" s="726"/>
      <c r="U1539" s="726"/>
      <c r="V1539" s="726"/>
      <c r="W1539" s="726"/>
      <c r="X1539" s="726"/>
      <c r="Y1539" s="726"/>
      <c r="Z1539" s="726"/>
      <c r="AA1539" s="732"/>
      <c r="AB1539" s="732"/>
      <c r="AC1539" s="732"/>
      <c r="AD1539" s="732"/>
      <c r="AE1539" s="733"/>
      <c r="AF1539" s="734" t="str">
        <f t="shared" si="71"/>
        <v/>
      </c>
      <c r="AG1539" s="773"/>
    </row>
    <row r="1540" spans="1:64" ht="18.75" x14ac:dyDescent="0.25">
      <c r="A1540" s="758"/>
      <c r="B1540" s="737"/>
      <c r="C1540" s="730"/>
      <c r="D1540" s="739"/>
      <c r="E1540" s="765"/>
      <c r="F1540" s="765"/>
      <c r="G1540" s="765"/>
      <c r="H1540" s="765"/>
      <c r="I1540" s="746" t="str">
        <f t="shared" si="70"/>
        <v/>
      </c>
      <c r="J1540" s="731"/>
      <c r="K1540" s="731" t="str">
        <f t="shared" ref="K1540:K1603" si="72">IF(AA1540-AE1540 = 0,"",AA1540-AE1540)</f>
        <v/>
      </c>
      <c r="L1540" s="726"/>
      <c r="M1540" s="726"/>
      <c r="N1540" s="726"/>
      <c r="O1540" s="726"/>
      <c r="P1540" s="726"/>
      <c r="Q1540" s="726"/>
      <c r="R1540" s="726"/>
      <c r="S1540" s="726"/>
      <c r="T1540" s="726"/>
      <c r="U1540" s="726"/>
      <c r="V1540" s="726"/>
      <c r="W1540" s="726"/>
      <c r="X1540" s="726"/>
      <c r="Y1540" s="726"/>
      <c r="Z1540" s="726"/>
      <c r="AA1540" s="732"/>
      <c r="AB1540" s="732"/>
      <c r="AC1540" s="732"/>
      <c r="AD1540" s="732"/>
      <c r="AE1540" s="733"/>
      <c r="AF1540" s="734" t="str">
        <f t="shared" si="71"/>
        <v/>
      </c>
      <c r="AG1540" s="773"/>
    </row>
    <row r="1541" spans="1:64" ht="18.75" x14ac:dyDescent="0.25">
      <c r="A1541" s="758"/>
      <c r="B1541" s="737"/>
      <c r="C1541" s="730"/>
      <c r="D1541" s="739"/>
      <c r="E1541" s="765"/>
      <c r="F1541" s="765"/>
      <c r="G1541" s="765"/>
      <c r="H1541" s="765"/>
      <c r="I1541" s="746" t="str">
        <f t="shared" ref="I1541:I1604" si="73">AF1541</f>
        <v/>
      </c>
      <c r="J1541" s="731"/>
      <c r="K1541" s="731" t="str">
        <f t="shared" si="72"/>
        <v/>
      </c>
      <c r="L1541" s="726"/>
      <c r="M1541" s="726"/>
      <c r="N1541" s="726"/>
      <c r="O1541" s="726"/>
      <c r="P1541" s="726"/>
      <c r="Q1541" s="726"/>
      <c r="R1541" s="726"/>
      <c r="S1541" s="726"/>
      <c r="T1541" s="726"/>
      <c r="U1541" s="726"/>
      <c r="V1541" s="726"/>
      <c r="W1541" s="726"/>
      <c r="X1541" s="726"/>
      <c r="Y1541" s="726"/>
      <c r="Z1541" s="726"/>
      <c r="AA1541" s="732"/>
      <c r="AB1541" s="732"/>
      <c r="AC1541" s="732"/>
      <c r="AD1541" s="732"/>
      <c r="AE1541" s="733"/>
      <c r="AF1541" s="734" t="str">
        <f t="shared" ref="AF1541:AF1604" si="74">IF(AE1541 &lt;&gt;"", AE1541/AA1541,"")</f>
        <v/>
      </c>
      <c r="AG1541" s="773"/>
    </row>
    <row r="1542" spans="1:64" ht="18.75" x14ac:dyDescent="0.25">
      <c r="A1542" s="758"/>
      <c r="B1542" s="737"/>
      <c r="C1542" s="730"/>
      <c r="D1542" s="739"/>
      <c r="E1542" s="765"/>
      <c r="F1542" s="765"/>
      <c r="G1542" s="765"/>
      <c r="H1542" s="765"/>
      <c r="I1542" s="746" t="str">
        <f t="shared" si="73"/>
        <v/>
      </c>
      <c r="J1542" s="731"/>
      <c r="K1542" s="731" t="str">
        <f t="shared" si="72"/>
        <v/>
      </c>
      <c r="L1542" s="726"/>
      <c r="M1542" s="726"/>
      <c r="N1542" s="726"/>
      <c r="O1542" s="726"/>
      <c r="P1542" s="726"/>
      <c r="Q1542" s="726"/>
      <c r="R1542" s="726"/>
      <c r="S1542" s="726"/>
      <c r="T1542" s="726"/>
      <c r="U1542" s="726"/>
      <c r="V1542" s="726"/>
      <c r="W1542" s="726"/>
      <c r="X1542" s="726"/>
      <c r="Y1542" s="726"/>
      <c r="Z1542" s="726"/>
      <c r="AA1542" s="732"/>
      <c r="AB1542" s="732"/>
      <c r="AC1542" s="732"/>
      <c r="AD1542" s="732"/>
      <c r="AE1542" s="733"/>
      <c r="AF1542" s="734" t="str">
        <f t="shared" si="74"/>
        <v/>
      </c>
      <c r="AG1542" s="773"/>
    </row>
    <row r="1543" spans="1:64" ht="18.75" x14ac:dyDescent="0.25">
      <c r="A1543" s="758"/>
      <c r="B1543" s="737"/>
      <c r="C1543" s="730"/>
      <c r="D1543" s="739"/>
      <c r="E1543" s="765"/>
      <c r="F1543" s="765"/>
      <c r="G1543" s="765"/>
      <c r="H1543" s="765"/>
      <c r="I1543" s="746" t="str">
        <f t="shared" si="73"/>
        <v/>
      </c>
      <c r="J1543" s="731"/>
      <c r="K1543" s="731" t="str">
        <f t="shared" si="72"/>
        <v/>
      </c>
      <c r="L1543" s="726"/>
      <c r="M1543" s="726"/>
      <c r="N1543" s="726"/>
      <c r="O1543" s="726"/>
      <c r="P1543" s="726"/>
      <c r="Q1543" s="726"/>
      <c r="R1543" s="726"/>
      <c r="S1543" s="726"/>
      <c r="T1543" s="726"/>
      <c r="U1543" s="726"/>
      <c r="V1543" s="726"/>
      <c r="W1543" s="726"/>
      <c r="X1543" s="726"/>
      <c r="Y1543" s="726"/>
      <c r="Z1543" s="726"/>
      <c r="AA1543" s="732"/>
      <c r="AB1543" s="732"/>
      <c r="AC1543" s="732"/>
      <c r="AD1543" s="732"/>
      <c r="AE1543" s="733"/>
      <c r="AF1543" s="734" t="str">
        <f t="shared" si="74"/>
        <v/>
      </c>
      <c r="AG1543" s="774"/>
      <c r="AH1543" s="778"/>
      <c r="AI1543" s="736"/>
      <c r="AJ1543" s="736"/>
      <c r="AK1543" s="736"/>
      <c r="AL1543" s="736"/>
      <c r="AM1543" s="736"/>
      <c r="AN1543" s="736"/>
      <c r="AO1543" s="736"/>
      <c r="AP1543" s="736"/>
      <c r="AQ1543" s="736"/>
      <c r="AR1543" s="736"/>
      <c r="AS1543" s="736"/>
      <c r="AT1543" s="736"/>
      <c r="AU1543" s="736"/>
      <c r="AV1543" s="736"/>
      <c r="AW1543" s="736"/>
      <c r="AX1543" s="736"/>
      <c r="AY1543" s="736"/>
      <c r="AZ1543" s="736"/>
      <c r="BA1543" s="736"/>
      <c r="BB1543" s="736"/>
      <c r="BC1543" s="736"/>
      <c r="BD1543" s="736"/>
      <c r="BE1543" s="736"/>
      <c r="BF1543" s="736"/>
      <c r="BG1543" s="736"/>
      <c r="BH1543" s="736"/>
      <c r="BI1543" s="736"/>
      <c r="BJ1543" s="736"/>
      <c r="BK1543" s="736"/>
      <c r="BL1543" s="736"/>
    </row>
    <row r="1544" spans="1:64" ht="18.75" x14ac:dyDescent="0.25">
      <c r="A1544" s="758"/>
      <c r="B1544" s="737"/>
      <c r="C1544" s="730"/>
      <c r="D1544" s="739"/>
      <c r="E1544" s="765"/>
      <c r="F1544" s="765"/>
      <c r="G1544" s="765"/>
      <c r="H1544" s="765"/>
      <c r="I1544" s="746" t="str">
        <f t="shared" si="73"/>
        <v/>
      </c>
      <c r="J1544" s="731"/>
      <c r="K1544" s="731" t="str">
        <f t="shared" si="72"/>
        <v/>
      </c>
      <c r="L1544" s="726"/>
      <c r="M1544" s="726"/>
      <c r="N1544" s="726"/>
      <c r="O1544" s="726"/>
      <c r="P1544" s="726"/>
      <c r="Q1544" s="726"/>
      <c r="R1544" s="726"/>
      <c r="S1544" s="726"/>
      <c r="T1544" s="726"/>
      <c r="U1544" s="726"/>
      <c r="V1544" s="726"/>
      <c r="W1544" s="726"/>
      <c r="X1544" s="726"/>
      <c r="Y1544" s="726"/>
      <c r="Z1544" s="726"/>
      <c r="AA1544" s="732"/>
      <c r="AB1544" s="732"/>
      <c r="AC1544" s="732"/>
      <c r="AD1544" s="732"/>
      <c r="AE1544" s="733"/>
      <c r="AF1544" s="734" t="str">
        <f t="shared" si="74"/>
        <v/>
      </c>
      <c r="AG1544" s="774"/>
      <c r="AH1544" s="778"/>
      <c r="AI1544" s="736"/>
      <c r="AJ1544" s="736"/>
      <c r="AK1544" s="736"/>
      <c r="AL1544" s="736"/>
      <c r="AM1544" s="736"/>
      <c r="AN1544" s="736"/>
      <c r="AO1544" s="736"/>
      <c r="AP1544" s="736"/>
      <c r="AQ1544" s="736"/>
      <c r="AR1544" s="736"/>
      <c r="AS1544" s="736"/>
      <c r="AT1544" s="736"/>
      <c r="AU1544" s="736"/>
      <c r="AV1544" s="736"/>
      <c r="AW1544" s="736"/>
      <c r="AX1544" s="736"/>
      <c r="AY1544" s="736"/>
      <c r="AZ1544" s="736"/>
      <c r="BA1544" s="736"/>
      <c r="BB1544" s="736"/>
      <c r="BC1544" s="736"/>
      <c r="BD1544" s="736"/>
      <c r="BE1544" s="736"/>
      <c r="BF1544" s="736"/>
      <c r="BG1544" s="736"/>
      <c r="BH1544" s="736"/>
      <c r="BI1544" s="736"/>
      <c r="BJ1544" s="736"/>
      <c r="BK1544" s="736"/>
      <c r="BL1544" s="736"/>
    </row>
    <row r="1545" spans="1:64" ht="18.75" x14ac:dyDescent="0.25">
      <c r="A1545" s="758"/>
      <c r="B1545" s="737"/>
      <c r="C1545" s="730"/>
      <c r="D1545" s="739"/>
      <c r="E1545" s="765"/>
      <c r="F1545" s="765"/>
      <c r="G1545" s="765"/>
      <c r="H1545" s="765"/>
      <c r="I1545" s="746" t="str">
        <f t="shared" si="73"/>
        <v/>
      </c>
      <c r="J1545" s="731"/>
      <c r="K1545" s="731" t="str">
        <f t="shared" si="72"/>
        <v/>
      </c>
      <c r="L1545" s="726"/>
      <c r="M1545" s="726"/>
      <c r="N1545" s="726"/>
      <c r="O1545" s="726"/>
      <c r="P1545" s="726"/>
      <c r="Q1545" s="726"/>
      <c r="R1545" s="726"/>
      <c r="S1545" s="726"/>
      <c r="T1545" s="726"/>
      <c r="U1545" s="726"/>
      <c r="V1545" s="726"/>
      <c r="W1545" s="726"/>
      <c r="X1545" s="726"/>
      <c r="Y1545" s="726"/>
      <c r="Z1545" s="726"/>
      <c r="AA1545" s="732"/>
      <c r="AB1545" s="732"/>
      <c r="AC1545" s="732"/>
      <c r="AD1545" s="732"/>
      <c r="AE1545" s="733"/>
      <c r="AF1545" s="734" t="str">
        <f t="shared" si="74"/>
        <v/>
      </c>
      <c r="AG1545" s="773"/>
    </row>
    <row r="1546" spans="1:64" ht="18.75" x14ac:dyDescent="0.25">
      <c r="A1546" s="758"/>
      <c r="B1546" s="737"/>
      <c r="C1546" s="730"/>
      <c r="D1546" s="739"/>
      <c r="E1546" s="765"/>
      <c r="F1546" s="765"/>
      <c r="G1546" s="765"/>
      <c r="H1546" s="765"/>
      <c r="I1546" s="746" t="str">
        <f t="shared" si="73"/>
        <v/>
      </c>
      <c r="J1546" s="731"/>
      <c r="K1546" s="731" t="str">
        <f t="shared" si="72"/>
        <v/>
      </c>
      <c r="L1546" s="726"/>
      <c r="M1546" s="726"/>
      <c r="N1546" s="726"/>
      <c r="O1546" s="726"/>
      <c r="P1546" s="726"/>
      <c r="Q1546" s="726"/>
      <c r="R1546" s="726"/>
      <c r="S1546" s="726"/>
      <c r="T1546" s="726"/>
      <c r="U1546" s="726"/>
      <c r="V1546" s="726"/>
      <c r="W1546" s="726"/>
      <c r="X1546" s="726"/>
      <c r="Y1546" s="726"/>
      <c r="Z1546" s="726"/>
      <c r="AA1546" s="732"/>
      <c r="AB1546" s="732"/>
      <c r="AC1546" s="732"/>
      <c r="AD1546" s="732"/>
      <c r="AE1546" s="733"/>
      <c r="AF1546" s="734" t="str">
        <f t="shared" si="74"/>
        <v/>
      </c>
      <c r="AG1546" s="773"/>
    </row>
    <row r="1547" spans="1:64" ht="18.75" x14ac:dyDescent="0.25">
      <c r="A1547" s="758"/>
      <c r="B1547" s="737"/>
      <c r="C1547" s="730"/>
      <c r="D1547" s="739"/>
      <c r="E1547" s="765"/>
      <c r="F1547" s="765"/>
      <c r="G1547" s="765"/>
      <c r="H1547" s="765"/>
      <c r="I1547" s="746" t="str">
        <f t="shared" si="73"/>
        <v/>
      </c>
      <c r="J1547" s="731"/>
      <c r="K1547" s="731" t="str">
        <f t="shared" si="72"/>
        <v/>
      </c>
      <c r="L1547" s="726"/>
      <c r="M1547" s="726"/>
      <c r="N1547" s="726"/>
      <c r="O1547" s="726"/>
      <c r="P1547" s="726"/>
      <c r="Q1547" s="726"/>
      <c r="R1547" s="726"/>
      <c r="S1547" s="726"/>
      <c r="T1547" s="726"/>
      <c r="U1547" s="726"/>
      <c r="V1547" s="726"/>
      <c r="W1547" s="726"/>
      <c r="X1547" s="726"/>
      <c r="Y1547" s="726"/>
      <c r="Z1547" s="726"/>
      <c r="AA1547" s="732"/>
      <c r="AB1547" s="732"/>
      <c r="AC1547" s="732"/>
      <c r="AD1547" s="732"/>
      <c r="AE1547" s="733"/>
      <c r="AF1547" s="734" t="str">
        <f t="shared" si="74"/>
        <v/>
      </c>
      <c r="AG1547" s="774"/>
      <c r="AH1547" s="778"/>
      <c r="AI1547" s="736"/>
      <c r="AJ1547" s="736"/>
      <c r="AK1547" s="736"/>
      <c r="AL1547" s="736"/>
      <c r="AM1547" s="736"/>
      <c r="AN1547" s="736"/>
      <c r="AO1547" s="736"/>
      <c r="AP1547" s="736"/>
      <c r="AQ1547" s="736"/>
      <c r="AR1547" s="736"/>
      <c r="AS1547" s="736"/>
      <c r="AT1547" s="736"/>
      <c r="AU1547" s="736"/>
      <c r="AV1547" s="736"/>
      <c r="AW1547" s="736"/>
      <c r="AX1547" s="736"/>
      <c r="AY1547" s="736"/>
      <c r="AZ1547" s="736"/>
      <c r="BA1547" s="736"/>
      <c r="BB1547" s="736"/>
      <c r="BC1547" s="736"/>
      <c r="BD1547" s="736"/>
      <c r="BE1547" s="736"/>
      <c r="BF1547" s="736"/>
      <c r="BG1547" s="736"/>
      <c r="BH1547" s="736"/>
      <c r="BI1547" s="736"/>
      <c r="BJ1547" s="736"/>
      <c r="BK1547" s="736"/>
      <c r="BL1547" s="736"/>
    </row>
    <row r="1548" spans="1:64" ht="18.75" x14ac:dyDescent="0.25">
      <c r="A1548" s="758"/>
      <c r="B1548" s="737"/>
      <c r="C1548" s="730"/>
      <c r="D1548" s="739"/>
      <c r="E1548" s="765"/>
      <c r="F1548" s="765"/>
      <c r="G1548" s="765"/>
      <c r="H1548" s="765"/>
      <c r="I1548" s="746" t="str">
        <f t="shared" si="73"/>
        <v/>
      </c>
      <c r="J1548" s="731"/>
      <c r="K1548" s="731" t="str">
        <f t="shared" si="72"/>
        <v/>
      </c>
      <c r="L1548" s="726"/>
      <c r="M1548" s="726"/>
      <c r="N1548" s="726"/>
      <c r="O1548" s="726"/>
      <c r="P1548" s="726"/>
      <c r="Q1548" s="726"/>
      <c r="R1548" s="726"/>
      <c r="S1548" s="726"/>
      <c r="T1548" s="726"/>
      <c r="U1548" s="726"/>
      <c r="V1548" s="726"/>
      <c r="W1548" s="726"/>
      <c r="X1548" s="726"/>
      <c r="Y1548" s="726"/>
      <c r="Z1548" s="726"/>
      <c r="AA1548" s="732"/>
      <c r="AB1548" s="732"/>
      <c r="AC1548" s="732"/>
      <c r="AD1548" s="732"/>
      <c r="AE1548" s="733"/>
      <c r="AF1548" s="734" t="str">
        <f t="shared" si="74"/>
        <v/>
      </c>
      <c r="AG1548" s="773"/>
    </row>
    <row r="1549" spans="1:64" ht="18.75" x14ac:dyDescent="0.25">
      <c r="A1549" s="758"/>
      <c r="B1549" s="737"/>
      <c r="C1549" s="730"/>
      <c r="D1549" s="739"/>
      <c r="E1549" s="765"/>
      <c r="F1549" s="765"/>
      <c r="G1549" s="765"/>
      <c r="H1549" s="765"/>
      <c r="I1549" s="746" t="str">
        <f t="shared" si="73"/>
        <v/>
      </c>
      <c r="J1549" s="731"/>
      <c r="K1549" s="731" t="str">
        <f t="shared" si="72"/>
        <v/>
      </c>
      <c r="L1549" s="726"/>
      <c r="M1549" s="726"/>
      <c r="N1549" s="726"/>
      <c r="O1549" s="726"/>
      <c r="P1549" s="726"/>
      <c r="Q1549" s="726"/>
      <c r="R1549" s="726"/>
      <c r="S1549" s="726"/>
      <c r="T1549" s="726"/>
      <c r="U1549" s="726"/>
      <c r="V1549" s="726"/>
      <c r="W1549" s="726"/>
      <c r="X1549" s="726"/>
      <c r="Y1549" s="726"/>
      <c r="Z1549" s="726"/>
      <c r="AA1549" s="732"/>
      <c r="AB1549" s="732"/>
      <c r="AC1549" s="732"/>
      <c r="AD1549" s="732"/>
      <c r="AE1549" s="733"/>
      <c r="AF1549" s="734" t="str">
        <f t="shared" si="74"/>
        <v/>
      </c>
      <c r="AG1549" s="773"/>
    </row>
    <row r="1550" spans="1:64" ht="18.75" x14ac:dyDescent="0.25">
      <c r="A1550" s="758"/>
      <c r="B1550" s="737"/>
      <c r="C1550" s="730"/>
      <c r="D1550" s="739"/>
      <c r="E1550" s="765"/>
      <c r="F1550" s="765"/>
      <c r="G1550" s="765"/>
      <c r="H1550" s="765"/>
      <c r="I1550" s="746" t="str">
        <f t="shared" si="73"/>
        <v/>
      </c>
      <c r="J1550" s="731"/>
      <c r="K1550" s="731" t="str">
        <f t="shared" si="72"/>
        <v/>
      </c>
      <c r="L1550" s="726"/>
      <c r="M1550" s="726"/>
      <c r="N1550" s="726"/>
      <c r="O1550" s="726"/>
      <c r="P1550" s="726"/>
      <c r="Q1550" s="726"/>
      <c r="R1550" s="726"/>
      <c r="S1550" s="726"/>
      <c r="T1550" s="726"/>
      <c r="U1550" s="726"/>
      <c r="V1550" s="726"/>
      <c r="W1550" s="726"/>
      <c r="X1550" s="726"/>
      <c r="Y1550" s="726"/>
      <c r="Z1550" s="726"/>
      <c r="AA1550" s="732"/>
      <c r="AB1550" s="732"/>
      <c r="AC1550" s="732"/>
      <c r="AD1550" s="732"/>
      <c r="AE1550" s="733"/>
      <c r="AF1550" s="734" t="str">
        <f t="shared" si="74"/>
        <v/>
      </c>
      <c r="AG1550" s="774"/>
      <c r="AH1550" s="778"/>
      <c r="AI1550" s="736"/>
      <c r="AJ1550" s="736"/>
      <c r="AK1550" s="736"/>
      <c r="AL1550" s="736"/>
      <c r="AM1550" s="736"/>
      <c r="AN1550" s="736"/>
      <c r="AO1550" s="736"/>
      <c r="AP1550" s="736"/>
      <c r="AQ1550" s="736"/>
      <c r="AR1550" s="736"/>
      <c r="AS1550" s="736"/>
      <c r="AT1550" s="736"/>
      <c r="AU1550" s="736"/>
      <c r="AV1550" s="736"/>
      <c r="AW1550" s="736"/>
      <c r="AX1550" s="736"/>
      <c r="AY1550" s="736"/>
      <c r="AZ1550" s="736"/>
      <c r="BA1550" s="736"/>
      <c r="BB1550" s="736"/>
      <c r="BC1550" s="736"/>
      <c r="BD1550" s="736"/>
      <c r="BE1550" s="736"/>
      <c r="BF1550" s="736"/>
      <c r="BG1550" s="736"/>
      <c r="BH1550" s="736"/>
      <c r="BI1550" s="736"/>
      <c r="BJ1550" s="736"/>
      <c r="BK1550" s="736"/>
      <c r="BL1550" s="736"/>
    </row>
    <row r="1551" spans="1:64" ht="18.75" x14ac:dyDescent="0.25">
      <c r="A1551" s="758"/>
      <c r="B1551" s="737"/>
      <c r="C1551" s="730"/>
      <c r="D1551" s="739"/>
      <c r="E1551" s="765"/>
      <c r="F1551" s="765"/>
      <c r="G1551" s="765"/>
      <c r="H1551" s="765"/>
      <c r="I1551" s="746" t="str">
        <f t="shared" si="73"/>
        <v/>
      </c>
      <c r="J1551" s="731"/>
      <c r="K1551" s="731" t="str">
        <f t="shared" si="72"/>
        <v/>
      </c>
      <c r="L1551" s="726"/>
      <c r="M1551" s="726"/>
      <c r="N1551" s="726"/>
      <c r="O1551" s="726"/>
      <c r="P1551" s="726"/>
      <c r="Q1551" s="726"/>
      <c r="R1551" s="726"/>
      <c r="S1551" s="726"/>
      <c r="T1551" s="726"/>
      <c r="U1551" s="726"/>
      <c r="V1551" s="726"/>
      <c r="W1551" s="726"/>
      <c r="X1551" s="726"/>
      <c r="Y1551" s="726"/>
      <c r="Z1551" s="726"/>
      <c r="AA1551" s="732"/>
      <c r="AB1551" s="732"/>
      <c r="AC1551" s="732"/>
      <c r="AD1551" s="732"/>
      <c r="AE1551" s="733"/>
      <c r="AF1551" s="734" t="str">
        <f t="shared" si="74"/>
        <v/>
      </c>
      <c r="AG1551" s="773"/>
    </row>
    <row r="1552" spans="1:64" ht="18.75" x14ac:dyDescent="0.25">
      <c r="A1552" s="758"/>
      <c r="B1552" s="737"/>
      <c r="C1552" s="730"/>
      <c r="D1552" s="739"/>
      <c r="E1552" s="765"/>
      <c r="F1552" s="765"/>
      <c r="G1552" s="765"/>
      <c r="H1552" s="765"/>
      <c r="I1552" s="746" t="str">
        <f t="shared" si="73"/>
        <v/>
      </c>
      <c r="J1552" s="731"/>
      <c r="K1552" s="731" t="str">
        <f t="shared" si="72"/>
        <v/>
      </c>
      <c r="L1552" s="726"/>
      <c r="M1552" s="726"/>
      <c r="N1552" s="726"/>
      <c r="O1552" s="726"/>
      <c r="P1552" s="726"/>
      <c r="Q1552" s="726"/>
      <c r="R1552" s="726"/>
      <c r="S1552" s="726"/>
      <c r="T1552" s="726"/>
      <c r="U1552" s="726"/>
      <c r="V1552" s="726"/>
      <c r="W1552" s="726"/>
      <c r="X1552" s="726"/>
      <c r="Y1552" s="726"/>
      <c r="Z1552" s="726"/>
      <c r="AA1552" s="732"/>
      <c r="AB1552" s="732"/>
      <c r="AC1552" s="732"/>
      <c r="AD1552" s="732"/>
      <c r="AE1552" s="733"/>
      <c r="AF1552" s="734" t="str">
        <f t="shared" si="74"/>
        <v/>
      </c>
      <c r="AG1552" s="774"/>
      <c r="AH1552" s="778"/>
      <c r="AI1552" s="736"/>
      <c r="AJ1552" s="736"/>
      <c r="AK1552" s="736"/>
      <c r="AL1552" s="736"/>
      <c r="AM1552" s="736"/>
      <c r="AN1552" s="736"/>
      <c r="AO1552" s="736"/>
      <c r="AP1552" s="736"/>
      <c r="AQ1552" s="736"/>
      <c r="AR1552" s="736"/>
      <c r="AS1552" s="736"/>
      <c r="AT1552" s="736"/>
      <c r="AU1552" s="736"/>
      <c r="AV1552" s="736"/>
      <c r="AW1552" s="736"/>
      <c r="AX1552" s="736"/>
      <c r="AY1552" s="736"/>
      <c r="AZ1552" s="736"/>
      <c r="BA1552" s="736"/>
      <c r="BB1552" s="736"/>
      <c r="BC1552" s="736"/>
      <c r="BD1552" s="736"/>
      <c r="BE1552" s="736"/>
      <c r="BF1552" s="736"/>
      <c r="BG1552" s="736"/>
      <c r="BH1552" s="736"/>
      <c r="BI1552" s="736"/>
      <c r="BJ1552" s="736"/>
      <c r="BK1552" s="736"/>
      <c r="BL1552" s="736"/>
    </row>
    <row r="1553" spans="1:64" ht="18.75" x14ac:dyDescent="0.25">
      <c r="A1553" s="758"/>
      <c r="B1553" s="737"/>
      <c r="C1553" s="730"/>
      <c r="D1553" s="739"/>
      <c r="E1553" s="765"/>
      <c r="F1553" s="765"/>
      <c r="G1553" s="765"/>
      <c r="H1553" s="765"/>
      <c r="I1553" s="746" t="str">
        <f t="shared" si="73"/>
        <v/>
      </c>
      <c r="J1553" s="731"/>
      <c r="K1553" s="731" t="str">
        <f t="shared" si="72"/>
        <v/>
      </c>
      <c r="L1553" s="726"/>
      <c r="M1553" s="726"/>
      <c r="N1553" s="726"/>
      <c r="O1553" s="726"/>
      <c r="P1553" s="726"/>
      <c r="Q1553" s="726"/>
      <c r="R1553" s="726"/>
      <c r="S1553" s="726"/>
      <c r="T1553" s="726"/>
      <c r="U1553" s="726"/>
      <c r="V1553" s="726"/>
      <c r="W1553" s="726"/>
      <c r="X1553" s="726"/>
      <c r="Y1553" s="726"/>
      <c r="Z1553" s="726"/>
      <c r="AA1553" s="732"/>
      <c r="AB1553" s="732"/>
      <c r="AC1553" s="732"/>
      <c r="AD1553" s="732"/>
      <c r="AE1553" s="733"/>
      <c r="AF1553" s="734" t="str">
        <f t="shared" si="74"/>
        <v/>
      </c>
      <c r="AG1553" s="774"/>
      <c r="AH1553" s="778"/>
      <c r="AI1553" s="736"/>
      <c r="AJ1553" s="736"/>
      <c r="AK1553" s="736"/>
      <c r="AL1553" s="736"/>
      <c r="AM1553" s="736"/>
      <c r="AN1553" s="736"/>
      <c r="AO1553" s="736"/>
      <c r="AP1553" s="736"/>
      <c r="AQ1553" s="736"/>
      <c r="AR1553" s="736"/>
      <c r="AS1553" s="736"/>
      <c r="AT1553" s="736"/>
      <c r="AU1553" s="736"/>
      <c r="AV1553" s="736"/>
      <c r="AW1553" s="736"/>
      <c r="AX1553" s="736"/>
      <c r="AY1553" s="736"/>
      <c r="AZ1553" s="736"/>
      <c r="BA1553" s="736"/>
      <c r="BB1553" s="736"/>
      <c r="BC1553" s="736"/>
      <c r="BD1553" s="736"/>
      <c r="BE1553" s="736"/>
      <c r="BF1553" s="736"/>
      <c r="BG1553" s="736"/>
      <c r="BH1553" s="736"/>
      <c r="BI1553" s="736"/>
      <c r="BJ1553" s="736"/>
      <c r="BK1553" s="736"/>
      <c r="BL1553" s="736"/>
    </row>
    <row r="1554" spans="1:64" ht="18.75" x14ac:dyDescent="0.25">
      <c r="A1554" s="758"/>
      <c r="B1554" s="737"/>
      <c r="C1554" s="730"/>
      <c r="D1554" s="739"/>
      <c r="E1554" s="765"/>
      <c r="F1554" s="765"/>
      <c r="G1554" s="765"/>
      <c r="H1554" s="765"/>
      <c r="I1554" s="746" t="str">
        <f t="shared" si="73"/>
        <v/>
      </c>
      <c r="J1554" s="731"/>
      <c r="K1554" s="731" t="str">
        <f t="shared" si="72"/>
        <v/>
      </c>
      <c r="L1554" s="726"/>
      <c r="M1554" s="726"/>
      <c r="N1554" s="726"/>
      <c r="O1554" s="726"/>
      <c r="P1554" s="726"/>
      <c r="Q1554" s="726"/>
      <c r="R1554" s="726"/>
      <c r="S1554" s="726"/>
      <c r="T1554" s="726"/>
      <c r="U1554" s="726"/>
      <c r="V1554" s="726"/>
      <c r="W1554" s="726"/>
      <c r="X1554" s="726"/>
      <c r="Y1554" s="726"/>
      <c r="Z1554" s="726"/>
      <c r="AA1554" s="732"/>
      <c r="AB1554" s="732"/>
      <c r="AC1554" s="732"/>
      <c r="AD1554" s="732"/>
      <c r="AE1554" s="733"/>
      <c r="AF1554" s="734" t="str">
        <f t="shared" si="74"/>
        <v/>
      </c>
      <c r="AG1554" s="773"/>
    </row>
    <row r="1555" spans="1:64" ht="18.75" x14ac:dyDescent="0.25">
      <c r="A1555" s="758"/>
      <c r="B1555" s="737"/>
      <c r="C1555" s="730"/>
      <c r="D1555" s="739"/>
      <c r="E1555" s="765"/>
      <c r="F1555" s="765"/>
      <c r="G1555" s="765"/>
      <c r="H1555" s="765"/>
      <c r="I1555" s="746" t="str">
        <f t="shared" si="73"/>
        <v/>
      </c>
      <c r="J1555" s="731"/>
      <c r="K1555" s="731" t="str">
        <f t="shared" si="72"/>
        <v/>
      </c>
      <c r="L1555" s="726"/>
      <c r="M1555" s="726"/>
      <c r="N1555" s="726"/>
      <c r="O1555" s="726"/>
      <c r="P1555" s="726"/>
      <c r="Q1555" s="726"/>
      <c r="R1555" s="726"/>
      <c r="S1555" s="726"/>
      <c r="T1555" s="726"/>
      <c r="U1555" s="726"/>
      <c r="V1555" s="726"/>
      <c r="W1555" s="726"/>
      <c r="X1555" s="726"/>
      <c r="Y1555" s="726"/>
      <c r="Z1555" s="726"/>
      <c r="AA1555" s="732"/>
      <c r="AB1555" s="732"/>
      <c r="AC1555" s="732"/>
      <c r="AD1555" s="732"/>
      <c r="AE1555" s="733"/>
      <c r="AF1555" s="734" t="str">
        <f t="shared" si="74"/>
        <v/>
      </c>
      <c r="AG1555" s="774"/>
      <c r="AH1555" s="778"/>
      <c r="AI1555" s="736"/>
      <c r="AJ1555" s="736"/>
      <c r="AK1555" s="736"/>
      <c r="AL1555" s="736"/>
      <c r="AM1555" s="736"/>
      <c r="AN1555" s="736"/>
      <c r="AO1555" s="736"/>
      <c r="AP1555" s="736"/>
      <c r="AQ1555" s="736"/>
      <c r="AR1555" s="736"/>
      <c r="AS1555" s="736"/>
      <c r="AT1555" s="736"/>
      <c r="AU1555" s="736"/>
      <c r="AV1555" s="736"/>
      <c r="AW1555" s="736"/>
      <c r="AX1555" s="736"/>
      <c r="AY1555" s="736"/>
      <c r="AZ1555" s="736"/>
      <c r="BA1555" s="736"/>
      <c r="BB1555" s="736"/>
      <c r="BC1555" s="736"/>
      <c r="BD1555" s="736"/>
      <c r="BE1555" s="736"/>
      <c r="BF1555" s="736"/>
      <c r="BG1555" s="736"/>
      <c r="BH1555" s="736"/>
      <c r="BI1555" s="736"/>
      <c r="BJ1555" s="736"/>
      <c r="BK1555" s="736"/>
      <c r="BL1555" s="736"/>
    </row>
    <row r="1556" spans="1:64" ht="18.75" x14ac:dyDescent="0.25">
      <c r="A1556" s="758"/>
      <c r="B1556" s="737"/>
      <c r="C1556" s="730"/>
      <c r="D1556" s="739"/>
      <c r="E1556" s="765"/>
      <c r="F1556" s="765"/>
      <c r="G1556" s="765"/>
      <c r="H1556" s="765"/>
      <c r="I1556" s="746" t="str">
        <f t="shared" si="73"/>
        <v/>
      </c>
      <c r="J1556" s="731"/>
      <c r="K1556" s="731" t="str">
        <f t="shared" si="72"/>
        <v/>
      </c>
      <c r="L1556" s="726"/>
      <c r="M1556" s="726"/>
      <c r="N1556" s="726"/>
      <c r="O1556" s="726"/>
      <c r="P1556" s="726"/>
      <c r="Q1556" s="726"/>
      <c r="R1556" s="726"/>
      <c r="S1556" s="726"/>
      <c r="T1556" s="726"/>
      <c r="U1556" s="726"/>
      <c r="V1556" s="726"/>
      <c r="W1556" s="726"/>
      <c r="X1556" s="726"/>
      <c r="Y1556" s="726"/>
      <c r="Z1556" s="726"/>
      <c r="AA1556" s="732"/>
      <c r="AB1556" s="732"/>
      <c r="AC1556" s="732"/>
      <c r="AD1556" s="732"/>
      <c r="AE1556" s="733"/>
      <c r="AF1556" s="734" t="str">
        <f t="shared" si="74"/>
        <v/>
      </c>
      <c r="AG1556" s="773"/>
    </row>
    <row r="1557" spans="1:64" ht="18.75" x14ac:dyDescent="0.25">
      <c r="A1557" s="758"/>
      <c r="B1557" s="737"/>
      <c r="C1557" s="730"/>
      <c r="D1557" s="739"/>
      <c r="E1557" s="765"/>
      <c r="F1557" s="765"/>
      <c r="G1557" s="765"/>
      <c r="H1557" s="765"/>
      <c r="I1557" s="746" t="str">
        <f t="shared" si="73"/>
        <v/>
      </c>
      <c r="J1557" s="731"/>
      <c r="K1557" s="731" t="str">
        <f t="shared" si="72"/>
        <v/>
      </c>
      <c r="L1557" s="726"/>
      <c r="M1557" s="726"/>
      <c r="N1557" s="726"/>
      <c r="O1557" s="726"/>
      <c r="P1557" s="726"/>
      <c r="Q1557" s="726"/>
      <c r="R1557" s="726"/>
      <c r="S1557" s="726"/>
      <c r="T1557" s="726"/>
      <c r="U1557" s="726"/>
      <c r="V1557" s="726"/>
      <c r="W1557" s="726"/>
      <c r="X1557" s="726"/>
      <c r="Y1557" s="726"/>
      <c r="Z1557" s="726"/>
      <c r="AA1557" s="732"/>
      <c r="AB1557" s="732"/>
      <c r="AC1557" s="732"/>
      <c r="AD1557" s="732"/>
      <c r="AE1557" s="733"/>
      <c r="AF1557" s="734" t="str">
        <f t="shared" si="74"/>
        <v/>
      </c>
      <c r="AG1557" s="774"/>
      <c r="AH1557" s="778"/>
      <c r="AI1557" s="736"/>
      <c r="AJ1557" s="736"/>
      <c r="AK1557" s="736"/>
      <c r="AL1557" s="736"/>
      <c r="AM1557" s="736"/>
      <c r="AN1557" s="736"/>
      <c r="AO1557" s="736"/>
      <c r="AP1557" s="736"/>
      <c r="AQ1557" s="736"/>
      <c r="AR1557" s="736"/>
      <c r="AS1557" s="736"/>
      <c r="AT1557" s="736"/>
      <c r="AU1557" s="736"/>
      <c r="AV1557" s="736"/>
      <c r="AW1557" s="736"/>
      <c r="AX1557" s="736"/>
      <c r="AY1557" s="736"/>
      <c r="AZ1557" s="736"/>
      <c r="BA1557" s="736"/>
      <c r="BB1557" s="736"/>
      <c r="BC1557" s="736"/>
      <c r="BD1557" s="736"/>
      <c r="BE1557" s="736"/>
      <c r="BF1557" s="736"/>
      <c r="BG1557" s="736"/>
      <c r="BH1557" s="736"/>
      <c r="BI1557" s="736"/>
      <c r="BJ1557" s="736"/>
      <c r="BK1557" s="736"/>
      <c r="BL1557" s="736"/>
    </row>
    <row r="1558" spans="1:64" ht="18.75" x14ac:dyDescent="0.25">
      <c r="A1558" s="758"/>
      <c r="B1558" s="737"/>
      <c r="C1558" s="730"/>
      <c r="D1558" s="739"/>
      <c r="E1558" s="765"/>
      <c r="F1558" s="765"/>
      <c r="G1558" s="765"/>
      <c r="H1558" s="765"/>
      <c r="I1558" s="746" t="str">
        <f t="shared" si="73"/>
        <v/>
      </c>
      <c r="J1558" s="731"/>
      <c r="K1558" s="731" t="str">
        <f t="shared" si="72"/>
        <v/>
      </c>
      <c r="L1558" s="726"/>
      <c r="M1558" s="726"/>
      <c r="N1558" s="726"/>
      <c r="O1558" s="726"/>
      <c r="P1558" s="726"/>
      <c r="Q1558" s="726"/>
      <c r="R1558" s="726"/>
      <c r="S1558" s="726"/>
      <c r="T1558" s="726"/>
      <c r="U1558" s="726"/>
      <c r="V1558" s="726"/>
      <c r="W1558" s="726"/>
      <c r="X1558" s="726"/>
      <c r="Y1558" s="726"/>
      <c r="Z1558" s="726"/>
      <c r="AA1558" s="732"/>
      <c r="AB1558" s="732"/>
      <c r="AC1558" s="732"/>
      <c r="AD1558" s="732"/>
      <c r="AE1558" s="733"/>
      <c r="AF1558" s="734" t="str">
        <f t="shared" si="74"/>
        <v/>
      </c>
      <c r="AG1558" s="774"/>
      <c r="AH1558" s="778"/>
      <c r="AI1558" s="736"/>
      <c r="AJ1558" s="736"/>
      <c r="AK1558" s="736"/>
      <c r="AL1558" s="736"/>
      <c r="AM1558" s="736"/>
      <c r="AN1558" s="736"/>
      <c r="AO1558" s="736"/>
      <c r="AP1558" s="736"/>
      <c r="AQ1558" s="736"/>
      <c r="AR1558" s="736"/>
      <c r="AS1558" s="736"/>
      <c r="AT1558" s="736"/>
      <c r="AU1558" s="736"/>
      <c r="AV1558" s="736"/>
      <c r="AW1558" s="736"/>
      <c r="AX1558" s="736"/>
      <c r="AY1558" s="736"/>
      <c r="AZ1558" s="736"/>
      <c r="BA1558" s="736"/>
      <c r="BB1558" s="736"/>
      <c r="BC1558" s="736"/>
      <c r="BD1558" s="736"/>
      <c r="BE1558" s="736"/>
      <c r="BF1558" s="736"/>
      <c r="BG1558" s="736"/>
      <c r="BH1558" s="736"/>
      <c r="BI1558" s="736"/>
      <c r="BJ1558" s="736"/>
      <c r="BK1558" s="736"/>
      <c r="BL1558" s="736"/>
    </row>
    <row r="1559" spans="1:64" ht="18.75" x14ac:dyDescent="0.25">
      <c r="A1559" s="758"/>
      <c r="B1559" s="737"/>
      <c r="C1559" s="730"/>
      <c r="D1559" s="739"/>
      <c r="E1559" s="765"/>
      <c r="F1559" s="765"/>
      <c r="G1559" s="765"/>
      <c r="H1559" s="765"/>
      <c r="I1559" s="746" t="str">
        <f t="shared" si="73"/>
        <v/>
      </c>
      <c r="J1559" s="731"/>
      <c r="K1559" s="731" t="str">
        <f t="shared" si="72"/>
        <v/>
      </c>
      <c r="L1559" s="726"/>
      <c r="M1559" s="726"/>
      <c r="N1559" s="726"/>
      <c r="O1559" s="726"/>
      <c r="P1559" s="726"/>
      <c r="Q1559" s="726"/>
      <c r="R1559" s="726"/>
      <c r="S1559" s="726"/>
      <c r="T1559" s="726"/>
      <c r="U1559" s="726"/>
      <c r="V1559" s="726"/>
      <c r="W1559" s="726"/>
      <c r="X1559" s="726"/>
      <c r="Y1559" s="726"/>
      <c r="Z1559" s="726"/>
      <c r="AA1559" s="732"/>
      <c r="AB1559" s="732"/>
      <c r="AC1559" s="732"/>
      <c r="AD1559" s="732"/>
      <c r="AE1559" s="733"/>
      <c r="AF1559" s="734" t="str">
        <f t="shared" si="74"/>
        <v/>
      </c>
      <c r="AG1559" s="774"/>
      <c r="AH1559" s="778"/>
      <c r="AI1559" s="736"/>
      <c r="AJ1559" s="736"/>
      <c r="AK1559" s="736"/>
      <c r="AL1559" s="736"/>
      <c r="AM1559" s="736"/>
      <c r="AN1559" s="736"/>
      <c r="AO1559" s="736"/>
      <c r="AP1559" s="736"/>
      <c r="AQ1559" s="736"/>
      <c r="AR1559" s="736"/>
      <c r="AS1559" s="736"/>
      <c r="AT1559" s="736"/>
      <c r="AU1559" s="736"/>
      <c r="AV1559" s="736"/>
      <c r="AW1559" s="736"/>
      <c r="AX1559" s="736"/>
      <c r="AY1559" s="736"/>
      <c r="AZ1559" s="736"/>
      <c r="BA1559" s="736"/>
      <c r="BB1559" s="736"/>
      <c r="BC1559" s="736"/>
      <c r="BD1559" s="736"/>
      <c r="BE1559" s="736"/>
      <c r="BF1559" s="736"/>
      <c r="BG1559" s="736"/>
      <c r="BH1559" s="736"/>
      <c r="BI1559" s="736"/>
      <c r="BJ1559" s="736"/>
      <c r="BK1559" s="736"/>
      <c r="BL1559" s="736"/>
    </row>
    <row r="1560" spans="1:64" ht="18.75" x14ac:dyDescent="0.25">
      <c r="A1560" s="758"/>
      <c r="B1560" s="737"/>
      <c r="C1560" s="730"/>
      <c r="D1560" s="739"/>
      <c r="E1560" s="765"/>
      <c r="F1560" s="765"/>
      <c r="G1560" s="765"/>
      <c r="H1560" s="765"/>
      <c r="I1560" s="746" t="str">
        <f t="shared" si="73"/>
        <v/>
      </c>
      <c r="J1560" s="731"/>
      <c r="K1560" s="731" t="str">
        <f t="shared" si="72"/>
        <v/>
      </c>
      <c r="L1560" s="726"/>
      <c r="M1560" s="726"/>
      <c r="N1560" s="726"/>
      <c r="O1560" s="726"/>
      <c r="P1560" s="726"/>
      <c r="Q1560" s="726"/>
      <c r="R1560" s="726"/>
      <c r="S1560" s="726"/>
      <c r="T1560" s="726"/>
      <c r="U1560" s="726"/>
      <c r="V1560" s="726"/>
      <c r="W1560" s="726"/>
      <c r="X1560" s="726"/>
      <c r="Y1560" s="726"/>
      <c r="Z1560" s="726"/>
      <c r="AA1560" s="732"/>
      <c r="AB1560" s="732"/>
      <c r="AC1560" s="732"/>
      <c r="AD1560" s="732"/>
      <c r="AE1560" s="733"/>
      <c r="AF1560" s="734" t="str">
        <f t="shared" si="74"/>
        <v/>
      </c>
      <c r="AG1560" s="774"/>
      <c r="AH1560" s="778"/>
      <c r="AI1560" s="736"/>
      <c r="AJ1560" s="736"/>
      <c r="AK1560" s="736"/>
      <c r="AL1560" s="736"/>
      <c r="AM1560" s="736"/>
      <c r="AN1560" s="736"/>
      <c r="AO1560" s="736"/>
      <c r="AP1560" s="736"/>
      <c r="AQ1560" s="736"/>
      <c r="AR1560" s="736"/>
      <c r="AS1560" s="736"/>
      <c r="AT1560" s="736"/>
      <c r="AU1560" s="736"/>
      <c r="AV1560" s="736"/>
      <c r="AW1560" s="736"/>
      <c r="AX1560" s="736"/>
      <c r="AY1560" s="736"/>
      <c r="AZ1560" s="736"/>
      <c r="BA1560" s="736"/>
      <c r="BB1560" s="736"/>
      <c r="BC1560" s="736"/>
      <c r="BD1560" s="736"/>
      <c r="BE1560" s="736"/>
      <c r="BF1560" s="736"/>
      <c r="BG1560" s="736"/>
      <c r="BH1560" s="736"/>
      <c r="BI1560" s="736"/>
      <c r="BJ1560" s="736"/>
      <c r="BK1560" s="736"/>
      <c r="BL1560" s="736"/>
    </row>
    <row r="1561" spans="1:64" ht="18.75" x14ac:dyDescent="0.25">
      <c r="A1561" s="758"/>
      <c r="B1561" s="737"/>
      <c r="C1561" s="730"/>
      <c r="D1561" s="739"/>
      <c r="E1561" s="765"/>
      <c r="F1561" s="765"/>
      <c r="G1561" s="765"/>
      <c r="H1561" s="765"/>
      <c r="I1561" s="746" t="str">
        <f t="shared" si="73"/>
        <v/>
      </c>
      <c r="J1561" s="731"/>
      <c r="K1561" s="731" t="str">
        <f t="shared" si="72"/>
        <v/>
      </c>
      <c r="L1561" s="726"/>
      <c r="M1561" s="726"/>
      <c r="N1561" s="726"/>
      <c r="O1561" s="726"/>
      <c r="P1561" s="726"/>
      <c r="Q1561" s="726"/>
      <c r="R1561" s="726"/>
      <c r="S1561" s="726"/>
      <c r="T1561" s="726"/>
      <c r="U1561" s="726"/>
      <c r="V1561" s="726"/>
      <c r="W1561" s="726"/>
      <c r="X1561" s="726"/>
      <c r="Y1561" s="726"/>
      <c r="Z1561" s="726"/>
      <c r="AA1561" s="732"/>
      <c r="AB1561" s="732"/>
      <c r="AC1561" s="732"/>
      <c r="AD1561" s="732"/>
      <c r="AE1561" s="733"/>
      <c r="AF1561" s="734" t="str">
        <f t="shared" si="74"/>
        <v/>
      </c>
      <c r="AG1561" s="774"/>
      <c r="AH1561" s="778"/>
      <c r="AI1561" s="736"/>
      <c r="AJ1561" s="736"/>
      <c r="AK1561" s="736"/>
      <c r="AL1561" s="736"/>
      <c r="AM1561" s="736"/>
      <c r="AN1561" s="736"/>
      <c r="AO1561" s="736"/>
      <c r="AP1561" s="736"/>
      <c r="AQ1561" s="736"/>
      <c r="AR1561" s="736"/>
      <c r="AS1561" s="736"/>
      <c r="AT1561" s="736"/>
      <c r="AU1561" s="736"/>
      <c r="AV1561" s="736"/>
      <c r="AW1561" s="736"/>
      <c r="AX1561" s="736"/>
      <c r="AY1561" s="736"/>
      <c r="AZ1561" s="736"/>
      <c r="BA1561" s="736"/>
      <c r="BB1561" s="736"/>
      <c r="BC1561" s="736"/>
      <c r="BD1561" s="736"/>
      <c r="BE1561" s="736"/>
      <c r="BF1561" s="736"/>
      <c r="BG1561" s="736"/>
      <c r="BH1561" s="736"/>
      <c r="BI1561" s="736"/>
      <c r="BJ1561" s="736"/>
      <c r="BK1561" s="736"/>
      <c r="BL1561" s="736"/>
    </row>
    <row r="1562" spans="1:64" ht="18.75" x14ac:dyDescent="0.25">
      <c r="A1562" s="758"/>
      <c r="B1562" s="737"/>
      <c r="C1562" s="730"/>
      <c r="D1562" s="739"/>
      <c r="E1562" s="765"/>
      <c r="F1562" s="765"/>
      <c r="G1562" s="765"/>
      <c r="H1562" s="765"/>
      <c r="I1562" s="746" t="str">
        <f t="shared" si="73"/>
        <v/>
      </c>
      <c r="J1562" s="731"/>
      <c r="K1562" s="731" t="str">
        <f t="shared" si="72"/>
        <v/>
      </c>
      <c r="L1562" s="726"/>
      <c r="M1562" s="726"/>
      <c r="N1562" s="726"/>
      <c r="O1562" s="726"/>
      <c r="P1562" s="726"/>
      <c r="Q1562" s="726"/>
      <c r="R1562" s="726"/>
      <c r="S1562" s="726"/>
      <c r="T1562" s="726"/>
      <c r="U1562" s="726"/>
      <c r="V1562" s="726"/>
      <c r="W1562" s="726"/>
      <c r="X1562" s="726"/>
      <c r="Y1562" s="726"/>
      <c r="Z1562" s="726"/>
      <c r="AA1562" s="732"/>
      <c r="AB1562" s="732"/>
      <c r="AC1562" s="732"/>
      <c r="AD1562" s="732"/>
      <c r="AE1562" s="733"/>
      <c r="AF1562" s="734" t="str">
        <f t="shared" si="74"/>
        <v/>
      </c>
      <c r="AG1562" s="774"/>
      <c r="AH1562" s="778"/>
      <c r="AI1562" s="736"/>
      <c r="AJ1562" s="736"/>
      <c r="AK1562" s="736"/>
      <c r="AL1562" s="736"/>
      <c r="AM1562" s="736"/>
      <c r="AN1562" s="736"/>
      <c r="AO1562" s="736"/>
      <c r="AP1562" s="736"/>
      <c r="AQ1562" s="736"/>
      <c r="AR1562" s="736"/>
      <c r="AS1562" s="736"/>
      <c r="AT1562" s="736"/>
      <c r="AU1562" s="736"/>
      <c r="AV1562" s="736"/>
      <c r="AW1562" s="736"/>
      <c r="AX1562" s="736"/>
      <c r="AY1562" s="736"/>
      <c r="AZ1562" s="736"/>
      <c r="BA1562" s="736"/>
      <c r="BB1562" s="736"/>
      <c r="BC1562" s="736"/>
      <c r="BD1562" s="736"/>
      <c r="BE1562" s="736"/>
      <c r="BF1562" s="736"/>
      <c r="BG1562" s="736"/>
      <c r="BH1562" s="736"/>
      <c r="BI1562" s="736"/>
      <c r="BJ1562" s="736"/>
      <c r="BK1562" s="736"/>
      <c r="BL1562" s="736"/>
    </row>
    <row r="1563" spans="1:64" ht="18.75" x14ac:dyDescent="0.25">
      <c r="A1563" s="758"/>
      <c r="B1563" s="737"/>
      <c r="C1563" s="730"/>
      <c r="D1563" s="739"/>
      <c r="E1563" s="765"/>
      <c r="F1563" s="765"/>
      <c r="G1563" s="765"/>
      <c r="H1563" s="765"/>
      <c r="I1563" s="746" t="str">
        <f t="shared" si="73"/>
        <v/>
      </c>
      <c r="J1563" s="731"/>
      <c r="K1563" s="731" t="str">
        <f t="shared" si="72"/>
        <v/>
      </c>
      <c r="L1563" s="726"/>
      <c r="M1563" s="726"/>
      <c r="N1563" s="726"/>
      <c r="O1563" s="726"/>
      <c r="P1563" s="726"/>
      <c r="Q1563" s="726"/>
      <c r="R1563" s="726"/>
      <c r="S1563" s="726"/>
      <c r="T1563" s="726"/>
      <c r="U1563" s="726"/>
      <c r="V1563" s="726"/>
      <c r="W1563" s="726"/>
      <c r="X1563" s="726"/>
      <c r="Y1563" s="726"/>
      <c r="Z1563" s="726"/>
      <c r="AA1563" s="732"/>
      <c r="AB1563" s="732"/>
      <c r="AC1563" s="732"/>
      <c r="AD1563" s="732"/>
      <c r="AE1563" s="733"/>
      <c r="AF1563" s="734" t="str">
        <f t="shared" si="74"/>
        <v/>
      </c>
      <c r="AG1563" s="774"/>
      <c r="AH1563" s="778"/>
      <c r="AI1563" s="736"/>
      <c r="AJ1563" s="736"/>
      <c r="AK1563" s="736"/>
      <c r="AL1563" s="736"/>
      <c r="AM1563" s="736"/>
      <c r="AN1563" s="736"/>
      <c r="AO1563" s="736"/>
      <c r="AP1563" s="736"/>
      <c r="AQ1563" s="736"/>
      <c r="AR1563" s="736"/>
      <c r="AS1563" s="736"/>
      <c r="AT1563" s="736"/>
      <c r="AU1563" s="736"/>
      <c r="AV1563" s="736"/>
      <c r="AW1563" s="736"/>
      <c r="AX1563" s="736"/>
      <c r="AY1563" s="736"/>
      <c r="AZ1563" s="736"/>
      <c r="BA1563" s="736"/>
      <c r="BB1563" s="736"/>
      <c r="BC1563" s="736"/>
      <c r="BD1563" s="736"/>
      <c r="BE1563" s="736"/>
      <c r="BF1563" s="736"/>
      <c r="BG1563" s="736"/>
      <c r="BH1563" s="736"/>
      <c r="BI1563" s="736"/>
      <c r="BJ1563" s="736"/>
      <c r="BK1563" s="736"/>
      <c r="BL1563" s="736"/>
    </row>
    <row r="1564" spans="1:64" ht="18.75" x14ac:dyDescent="0.25">
      <c r="A1564" s="758"/>
      <c r="B1564" s="737"/>
      <c r="C1564" s="730"/>
      <c r="D1564" s="739"/>
      <c r="E1564" s="765"/>
      <c r="F1564" s="765"/>
      <c r="G1564" s="765"/>
      <c r="H1564" s="765"/>
      <c r="I1564" s="746" t="str">
        <f t="shared" si="73"/>
        <v/>
      </c>
      <c r="J1564" s="731"/>
      <c r="K1564" s="731" t="str">
        <f t="shared" si="72"/>
        <v/>
      </c>
      <c r="L1564" s="726"/>
      <c r="M1564" s="726"/>
      <c r="N1564" s="726"/>
      <c r="O1564" s="726"/>
      <c r="P1564" s="726"/>
      <c r="Q1564" s="726"/>
      <c r="R1564" s="726"/>
      <c r="S1564" s="726"/>
      <c r="T1564" s="726"/>
      <c r="U1564" s="726"/>
      <c r="V1564" s="726"/>
      <c r="W1564" s="726"/>
      <c r="X1564" s="726"/>
      <c r="Y1564" s="726"/>
      <c r="Z1564" s="726"/>
      <c r="AA1564" s="732"/>
      <c r="AB1564" s="732"/>
      <c r="AC1564" s="732"/>
      <c r="AD1564" s="732"/>
      <c r="AE1564" s="733"/>
      <c r="AF1564" s="734" t="str">
        <f t="shared" si="74"/>
        <v/>
      </c>
      <c r="AG1564" s="773"/>
    </row>
    <row r="1565" spans="1:64" ht="18.75" x14ac:dyDescent="0.25">
      <c r="A1565" s="758"/>
      <c r="B1565" s="737"/>
      <c r="C1565" s="730"/>
      <c r="D1565" s="739"/>
      <c r="E1565" s="765"/>
      <c r="F1565" s="765"/>
      <c r="G1565" s="765"/>
      <c r="H1565" s="765"/>
      <c r="I1565" s="746" t="str">
        <f t="shared" si="73"/>
        <v/>
      </c>
      <c r="J1565" s="731"/>
      <c r="K1565" s="731" t="str">
        <f t="shared" si="72"/>
        <v/>
      </c>
      <c r="L1565" s="726"/>
      <c r="M1565" s="726"/>
      <c r="N1565" s="726"/>
      <c r="O1565" s="726"/>
      <c r="P1565" s="726"/>
      <c r="Q1565" s="726"/>
      <c r="R1565" s="726"/>
      <c r="S1565" s="726"/>
      <c r="T1565" s="726"/>
      <c r="U1565" s="726"/>
      <c r="V1565" s="726"/>
      <c r="W1565" s="726"/>
      <c r="X1565" s="726"/>
      <c r="Y1565" s="726"/>
      <c r="Z1565" s="726"/>
      <c r="AA1565" s="732"/>
      <c r="AB1565" s="732"/>
      <c r="AC1565" s="732"/>
      <c r="AD1565" s="732"/>
      <c r="AE1565" s="733"/>
      <c r="AF1565" s="734" t="str">
        <f t="shared" si="74"/>
        <v/>
      </c>
      <c r="AG1565" s="774"/>
      <c r="AH1565" s="778"/>
      <c r="AI1565" s="736"/>
      <c r="AJ1565" s="736"/>
      <c r="AK1565" s="736"/>
      <c r="AL1565" s="736"/>
      <c r="AM1565" s="736"/>
      <c r="AN1565" s="736"/>
      <c r="AO1565" s="736"/>
      <c r="AP1565" s="736"/>
      <c r="AQ1565" s="736"/>
      <c r="AR1565" s="736"/>
      <c r="AS1565" s="736"/>
      <c r="AT1565" s="736"/>
      <c r="AU1565" s="736"/>
      <c r="AV1565" s="736"/>
      <c r="AW1565" s="736"/>
      <c r="AX1565" s="736"/>
      <c r="AY1565" s="736"/>
      <c r="AZ1565" s="736"/>
      <c r="BA1565" s="736"/>
      <c r="BB1565" s="736"/>
      <c r="BC1565" s="736"/>
      <c r="BD1565" s="736"/>
      <c r="BE1565" s="736"/>
      <c r="BF1565" s="736"/>
      <c r="BG1565" s="736"/>
      <c r="BH1565" s="736"/>
      <c r="BI1565" s="736"/>
      <c r="BJ1565" s="736"/>
      <c r="BK1565" s="736"/>
      <c r="BL1565" s="736"/>
    </row>
    <row r="1566" spans="1:64" ht="18.75" x14ac:dyDescent="0.25">
      <c r="A1566" s="758"/>
      <c r="B1566" s="737"/>
      <c r="C1566" s="730"/>
      <c r="D1566" s="739"/>
      <c r="E1566" s="765"/>
      <c r="F1566" s="765"/>
      <c r="G1566" s="765"/>
      <c r="H1566" s="765"/>
      <c r="I1566" s="746" t="str">
        <f t="shared" si="73"/>
        <v/>
      </c>
      <c r="J1566" s="731"/>
      <c r="K1566" s="731" t="str">
        <f t="shared" si="72"/>
        <v/>
      </c>
      <c r="L1566" s="726"/>
      <c r="M1566" s="726"/>
      <c r="N1566" s="726"/>
      <c r="O1566" s="726"/>
      <c r="P1566" s="726"/>
      <c r="Q1566" s="726"/>
      <c r="R1566" s="726"/>
      <c r="S1566" s="726"/>
      <c r="T1566" s="726"/>
      <c r="U1566" s="726"/>
      <c r="V1566" s="726"/>
      <c r="W1566" s="726"/>
      <c r="X1566" s="726"/>
      <c r="Y1566" s="726"/>
      <c r="Z1566" s="726"/>
      <c r="AA1566" s="732"/>
      <c r="AB1566" s="732"/>
      <c r="AC1566" s="732"/>
      <c r="AD1566" s="732"/>
      <c r="AE1566" s="733"/>
      <c r="AF1566" s="734" t="str">
        <f t="shared" si="74"/>
        <v/>
      </c>
      <c r="AG1566" s="774"/>
      <c r="AH1566" s="778"/>
      <c r="AI1566" s="736"/>
      <c r="AJ1566" s="736"/>
      <c r="AK1566" s="736"/>
      <c r="AL1566" s="736"/>
      <c r="AM1566" s="736"/>
      <c r="AN1566" s="736"/>
      <c r="AO1566" s="736"/>
      <c r="AP1566" s="736"/>
      <c r="AQ1566" s="736"/>
      <c r="AR1566" s="736"/>
      <c r="AS1566" s="736"/>
      <c r="AT1566" s="736"/>
      <c r="AU1566" s="736"/>
      <c r="AV1566" s="736"/>
      <c r="AW1566" s="736"/>
      <c r="AX1566" s="736"/>
      <c r="AY1566" s="736"/>
      <c r="AZ1566" s="736"/>
      <c r="BA1566" s="736"/>
      <c r="BB1566" s="736"/>
      <c r="BC1566" s="736"/>
      <c r="BD1566" s="736"/>
      <c r="BE1566" s="736"/>
      <c r="BF1566" s="736"/>
      <c r="BG1566" s="736"/>
      <c r="BH1566" s="736"/>
      <c r="BI1566" s="736"/>
      <c r="BJ1566" s="736"/>
      <c r="BK1566" s="736"/>
      <c r="BL1566" s="736"/>
    </row>
    <row r="1567" spans="1:64" ht="18.75" x14ac:dyDescent="0.25">
      <c r="A1567" s="758"/>
      <c r="B1567" s="737"/>
      <c r="C1567" s="730"/>
      <c r="D1567" s="739"/>
      <c r="E1567" s="765"/>
      <c r="F1567" s="765"/>
      <c r="G1567" s="765"/>
      <c r="H1567" s="765"/>
      <c r="I1567" s="746" t="str">
        <f t="shared" si="73"/>
        <v/>
      </c>
      <c r="J1567" s="731"/>
      <c r="K1567" s="731" t="str">
        <f t="shared" si="72"/>
        <v/>
      </c>
      <c r="L1567" s="726"/>
      <c r="M1567" s="726"/>
      <c r="N1567" s="726"/>
      <c r="O1567" s="726"/>
      <c r="P1567" s="726"/>
      <c r="Q1567" s="726"/>
      <c r="R1567" s="726"/>
      <c r="S1567" s="726"/>
      <c r="T1567" s="726"/>
      <c r="U1567" s="726"/>
      <c r="V1567" s="726"/>
      <c r="W1567" s="726"/>
      <c r="X1567" s="726"/>
      <c r="Y1567" s="726"/>
      <c r="Z1567" s="726"/>
      <c r="AA1567" s="732"/>
      <c r="AB1567" s="732"/>
      <c r="AC1567" s="732"/>
      <c r="AD1567" s="732"/>
      <c r="AE1567" s="733"/>
      <c r="AF1567" s="734" t="str">
        <f t="shared" si="74"/>
        <v/>
      </c>
      <c r="AG1567" s="774"/>
      <c r="AH1567" s="778"/>
      <c r="AI1567" s="736"/>
      <c r="AJ1567" s="736"/>
      <c r="AK1567" s="736"/>
      <c r="AL1567" s="736"/>
      <c r="AM1567" s="736"/>
      <c r="AN1567" s="736"/>
      <c r="AO1567" s="736"/>
      <c r="AP1567" s="736"/>
      <c r="AQ1567" s="736"/>
      <c r="AR1567" s="736"/>
      <c r="AS1567" s="736"/>
      <c r="AT1567" s="736"/>
      <c r="AU1567" s="736"/>
      <c r="AV1567" s="736"/>
      <c r="AW1567" s="736"/>
      <c r="AX1567" s="736"/>
      <c r="AY1567" s="736"/>
      <c r="AZ1567" s="736"/>
      <c r="BA1567" s="736"/>
      <c r="BB1567" s="736"/>
      <c r="BC1567" s="736"/>
      <c r="BD1567" s="736"/>
      <c r="BE1567" s="736"/>
      <c r="BF1567" s="736"/>
      <c r="BG1567" s="736"/>
      <c r="BH1567" s="736"/>
      <c r="BI1567" s="736"/>
      <c r="BJ1567" s="736"/>
      <c r="BK1567" s="736"/>
      <c r="BL1567" s="736"/>
    </row>
    <row r="1568" spans="1:64" ht="18.75" x14ac:dyDescent="0.25">
      <c r="A1568" s="758"/>
      <c r="B1568" s="737"/>
      <c r="C1568" s="730"/>
      <c r="D1568" s="739"/>
      <c r="E1568" s="765"/>
      <c r="F1568" s="765"/>
      <c r="G1568" s="765"/>
      <c r="H1568" s="765"/>
      <c r="I1568" s="746" t="str">
        <f t="shared" si="73"/>
        <v/>
      </c>
      <c r="J1568" s="731"/>
      <c r="K1568" s="731" t="str">
        <f t="shared" si="72"/>
        <v/>
      </c>
      <c r="L1568" s="726"/>
      <c r="M1568" s="726"/>
      <c r="N1568" s="726"/>
      <c r="O1568" s="726"/>
      <c r="P1568" s="726"/>
      <c r="Q1568" s="726"/>
      <c r="R1568" s="726"/>
      <c r="S1568" s="726"/>
      <c r="T1568" s="726"/>
      <c r="U1568" s="726"/>
      <c r="V1568" s="726"/>
      <c r="W1568" s="726"/>
      <c r="X1568" s="726"/>
      <c r="Y1568" s="726"/>
      <c r="Z1568" s="726"/>
      <c r="AA1568" s="732"/>
      <c r="AB1568" s="732"/>
      <c r="AC1568" s="732"/>
      <c r="AD1568" s="732"/>
      <c r="AE1568" s="733"/>
      <c r="AF1568" s="734" t="str">
        <f t="shared" si="74"/>
        <v/>
      </c>
      <c r="AG1568" s="774"/>
      <c r="AH1568" s="778"/>
      <c r="AI1568" s="736"/>
      <c r="AJ1568" s="736"/>
      <c r="AK1568" s="736"/>
      <c r="AL1568" s="736"/>
      <c r="AM1568" s="736"/>
      <c r="AN1568" s="736"/>
      <c r="AO1568" s="736"/>
      <c r="AP1568" s="736"/>
      <c r="AQ1568" s="736"/>
      <c r="AR1568" s="736"/>
      <c r="AS1568" s="736"/>
      <c r="AT1568" s="736"/>
      <c r="AU1568" s="736"/>
      <c r="AV1568" s="736"/>
      <c r="AW1568" s="736"/>
      <c r="AX1568" s="736"/>
      <c r="AY1568" s="736"/>
      <c r="AZ1568" s="736"/>
      <c r="BA1568" s="736"/>
      <c r="BB1568" s="736"/>
      <c r="BC1568" s="736"/>
      <c r="BD1568" s="736"/>
      <c r="BE1568" s="736"/>
      <c r="BF1568" s="736"/>
      <c r="BG1568" s="736"/>
      <c r="BH1568" s="736"/>
      <c r="BI1568" s="736"/>
      <c r="BJ1568" s="736"/>
      <c r="BK1568" s="736"/>
      <c r="BL1568" s="736"/>
    </row>
    <row r="1569" spans="1:64" ht="18.75" x14ac:dyDescent="0.25">
      <c r="A1569" s="758"/>
      <c r="B1569" s="737"/>
      <c r="C1569" s="730"/>
      <c r="D1569" s="739"/>
      <c r="E1569" s="765"/>
      <c r="F1569" s="765"/>
      <c r="G1569" s="765"/>
      <c r="H1569" s="765"/>
      <c r="I1569" s="746" t="str">
        <f t="shared" si="73"/>
        <v/>
      </c>
      <c r="J1569" s="731"/>
      <c r="K1569" s="731" t="str">
        <f t="shared" si="72"/>
        <v/>
      </c>
      <c r="L1569" s="726"/>
      <c r="M1569" s="726"/>
      <c r="N1569" s="726"/>
      <c r="O1569" s="726"/>
      <c r="P1569" s="726"/>
      <c r="Q1569" s="726"/>
      <c r="R1569" s="726"/>
      <c r="S1569" s="726"/>
      <c r="T1569" s="726"/>
      <c r="U1569" s="726"/>
      <c r="V1569" s="726"/>
      <c r="W1569" s="726"/>
      <c r="X1569" s="726"/>
      <c r="Y1569" s="726"/>
      <c r="Z1569" s="726"/>
      <c r="AA1569" s="732"/>
      <c r="AB1569" s="732"/>
      <c r="AC1569" s="732"/>
      <c r="AD1569" s="732"/>
      <c r="AE1569" s="733"/>
      <c r="AF1569" s="734" t="str">
        <f t="shared" si="74"/>
        <v/>
      </c>
      <c r="AG1569" s="774"/>
      <c r="AH1569" s="778"/>
      <c r="AI1569" s="736"/>
      <c r="AJ1569" s="736"/>
      <c r="AK1569" s="736"/>
      <c r="AL1569" s="736"/>
      <c r="AM1569" s="736"/>
      <c r="AN1569" s="736"/>
      <c r="AO1569" s="736"/>
      <c r="AP1569" s="736"/>
      <c r="AQ1569" s="736"/>
      <c r="AR1569" s="736"/>
      <c r="AS1569" s="736"/>
      <c r="AT1569" s="736"/>
      <c r="AU1569" s="736"/>
      <c r="AV1569" s="736"/>
      <c r="AW1569" s="736"/>
      <c r="AX1569" s="736"/>
      <c r="AY1569" s="736"/>
      <c r="AZ1569" s="736"/>
      <c r="BA1569" s="736"/>
      <c r="BB1569" s="736"/>
      <c r="BC1569" s="736"/>
      <c r="BD1569" s="736"/>
      <c r="BE1569" s="736"/>
      <c r="BF1569" s="736"/>
      <c r="BG1569" s="736"/>
      <c r="BH1569" s="736"/>
      <c r="BI1569" s="736"/>
      <c r="BJ1569" s="736"/>
      <c r="BK1569" s="736"/>
      <c r="BL1569" s="736"/>
    </row>
    <row r="1570" spans="1:64" ht="18.75" x14ac:dyDescent="0.25">
      <c r="A1570" s="758"/>
      <c r="B1570" s="737"/>
      <c r="C1570" s="730"/>
      <c r="D1570" s="739"/>
      <c r="E1570" s="765"/>
      <c r="F1570" s="765"/>
      <c r="G1570" s="765"/>
      <c r="H1570" s="765"/>
      <c r="I1570" s="746" t="str">
        <f t="shared" si="73"/>
        <v/>
      </c>
      <c r="J1570" s="731"/>
      <c r="K1570" s="731" t="str">
        <f t="shared" si="72"/>
        <v/>
      </c>
      <c r="L1570" s="726"/>
      <c r="M1570" s="726"/>
      <c r="N1570" s="726"/>
      <c r="O1570" s="726"/>
      <c r="P1570" s="726"/>
      <c r="Q1570" s="726"/>
      <c r="R1570" s="726"/>
      <c r="S1570" s="726"/>
      <c r="T1570" s="726"/>
      <c r="U1570" s="726"/>
      <c r="V1570" s="726"/>
      <c r="W1570" s="726"/>
      <c r="X1570" s="726"/>
      <c r="Y1570" s="726"/>
      <c r="Z1570" s="726"/>
      <c r="AA1570" s="732"/>
      <c r="AB1570" s="732"/>
      <c r="AC1570" s="732"/>
      <c r="AD1570" s="732"/>
      <c r="AE1570" s="733"/>
      <c r="AF1570" s="734" t="str">
        <f t="shared" si="74"/>
        <v/>
      </c>
      <c r="AG1570" s="774"/>
      <c r="AH1570" s="778"/>
      <c r="AI1570" s="736"/>
      <c r="AJ1570" s="736"/>
      <c r="AK1570" s="736"/>
      <c r="AL1570" s="736"/>
      <c r="AM1570" s="736"/>
      <c r="AN1570" s="736"/>
      <c r="AO1570" s="736"/>
      <c r="AP1570" s="736"/>
      <c r="AQ1570" s="736"/>
      <c r="AR1570" s="736"/>
      <c r="AS1570" s="736"/>
      <c r="AT1570" s="736"/>
      <c r="AU1570" s="736"/>
      <c r="AV1570" s="736"/>
      <c r="AW1570" s="736"/>
      <c r="AX1570" s="736"/>
      <c r="AY1570" s="736"/>
      <c r="AZ1570" s="736"/>
      <c r="BA1570" s="736"/>
      <c r="BB1570" s="736"/>
      <c r="BC1570" s="736"/>
      <c r="BD1570" s="736"/>
      <c r="BE1570" s="736"/>
      <c r="BF1570" s="736"/>
      <c r="BG1570" s="736"/>
      <c r="BH1570" s="736"/>
      <c r="BI1570" s="736"/>
      <c r="BJ1570" s="736"/>
      <c r="BK1570" s="736"/>
      <c r="BL1570" s="736"/>
    </row>
    <row r="1571" spans="1:64" ht="18.75" x14ac:dyDescent="0.25">
      <c r="A1571" s="758"/>
      <c r="B1571" s="737"/>
      <c r="C1571" s="730"/>
      <c r="D1571" s="739"/>
      <c r="E1571" s="765"/>
      <c r="F1571" s="765"/>
      <c r="G1571" s="765"/>
      <c r="H1571" s="765"/>
      <c r="I1571" s="746" t="str">
        <f t="shared" si="73"/>
        <v/>
      </c>
      <c r="J1571" s="731"/>
      <c r="K1571" s="731" t="str">
        <f t="shared" si="72"/>
        <v/>
      </c>
      <c r="L1571" s="726"/>
      <c r="M1571" s="726"/>
      <c r="N1571" s="726"/>
      <c r="O1571" s="726"/>
      <c r="P1571" s="726"/>
      <c r="Q1571" s="726"/>
      <c r="R1571" s="726"/>
      <c r="S1571" s="726"/>
      <c r="T1571" s="726"/>
      <c r="U1571" s="726"/>
      <c r="V1571" s="726"/>
      <c r="W1571" s="726"/>
      <c r="X1571" s="726"/>
      <c r="Y1571" s="726"/>
      <c r="Z1571" s="726"/>
      <c r="AA1571" s="732"/>
      <c r="AB1571" s="732"/>
      <c r="AC1571" s="732"/>
      <c r="AD1571" s="732"/>
      <c r="AE1571" s="733"/>
      <c r="AF1571" s="734" t="str">
        <f t="shared" si="74"/>
        <v/>
      </c>
      <c r="AG1571" s="773"/>
    </row>
    <row r="1572" spans="1:64" ht="18.75" x14ac:dyDescent="0.25">
      <c r="A1572" s="758"/>
      <c r="B1572" s="737"/>
      <c r="C1572" s="730"/>
      <c r="D1572" s="739"/>
      <c r="E1572" s="765"/>
      <c r="F1572" s="765"/>
      <c r="G1572" s="765"/>
      <c r="H1572" s="765"/>
      <c r="I1572" s="746" t="str">
        <f t="shared" si="73"/>
        <v/>
      </c>
      <c r="J1572" s="731"/>
      <c r="K1572" s="731" t="str">
        <f t="shared" si="72"/>
        <v/>
      </c>
      <c r="L1572" s="726"/>
      <c r="M1572" s="726"/>
      <c r="N1572" s="726"/>
      <c r="O1572" s="726"/>
      <c r="P1572" s="726"/>
      <c r="Q1572" s="726"/>
      <c r="R1572" s="726"/>
      <c r="S1572" s="726"/>
      <c r="T1572" s="726"/>
      <c r="U1572" s="726"/>
      <c r="V1572" s="726"/>
      <c r="W1572" s="726"/>
      <c r="X1572" s="726"/>
      <c r="Y1572" s="726"/>
      <c r="Z1572" s="726"/>
      <c r="AA1572" s="732"/>
      <c r="AB1572" s="732"/>
      <c r="AC1572" s="732"/>
      <c r="AD1572" s="732"/>
      <c r="AE1572" s="733"/>
      <c r="AF1572" s="734" t="str">
        <f t="shared" si="74"/>
        <v/>
      </c>
      <c r="AG1572" s="774"/>
      <c r="AH1572" s="778"/>
      <c r="AI1572" s="736"/>
      <c r="AJ1572" s="736"/>
      <c r="AK1572" s="736"/>
      <c r="AL1572" s="736"/>
      <c r="AM1572" s="736"/>
      <c r="AN1572" s="736"/>
      <c r="AO1572" s="736"/>
      <c r="AP1572" s="736"/>
      <c r="AQ1572" s="736"/>
      <c r="AR1572" s="736"/>
      <c r="AS1572" s="736"/>
      <c r="AT1572" s="736"/>
      <c r="AU1572" s="736"/>
      <c r="AV1572" s="736"/>
      <c r="AW1572" s="736"/>
      <c r="AX1572" s="736"/>
      <c r="AY1572" s="736"/>
      <c r="AZ1572" s="736"/>
      <c r="BA1572" s="736"/>
      <c r="BB1572" s="736"/>
      <c r="BC1572" s="736"/>
      <c r="BD1572" s="736"/>
      <c r="BE1572" s="736"/>
      <c r="BF1572" s="736"/>
      <c r="BG1572" s="736"/>
      <c r="BH1572" s="736"/>
      <c r="BI1572" s="736"/>
      <c r="BJ1572" s="736"/>
      <c r="BK1572" s="736"/>
      <c r="BL1572" s="736"/>
    </row>
    <row r="1573" spans="1:64" ht="18.75" x14ac:dyDescent="0.25">
      <c r="A1573" s="758"/>
      <c r="B1573" s="737"/>
      <c r="C1573" s="730"/>
      <c r="D1573" s="739"/>
      <c r="E1573" s="765"/>
      <c r="F1573" s="765"/>
      <c r="G1573" s="765"/>
      <c r="H1573" s="765"/>
      <c r="I1573" s="746" t="str">
        <f t="shared" si="73"/>
        <v/>
      </c>
      <c r="J1573" s="731"/>
      <c r="K1573" s="731" t="str">
        <f t="shared" si="72"/>
        <v/>
      </c>
      <c r="L1573" s="726"/>
      <c r="M1573" s="726"/>
      <c r="N1573" s="726"/>
      <c r="O1573" s="726"/>
      <c r="P1573" s="726"/>
      <c r="Q1573" s="726"/>
      <c r="R1573" s="726"/>
      <c r="S1573" s="726"/>
      <c r="T1573" s="726"/>
      <c r="U1573" s="726"/>
      <c r="V1573" s="726"/>
      <c r="W1573" s="726"/>
      <c r="X1573" s="726"/>
      <c r="Y1573" s="726"/>
      <c r="Z1573" s="726"/>
      <c r="AA1573" s="732"/>
      <c r="AB1573" s="732"/>
      <c r="AC1573" s="732"/>
      <c r="AD1573" s="732"/>
      <c r="AE1573" s="733"/>
      <c r="AF1573" s="734" t="str">
        <f t="shared" si="74"/>
        <v/>
      </c>
      <c r="AG1573" s="773"/>
    </row>
    <row r="1574" spans="1:64" ht="18.75" x14ac:dyDescent="0.25">
      <c r="A1574" s="758"/>
      <c r="B1574" s="737"/>
      <c r="C1574" s="730"/>
      <c r="D1574" s="739"/>
      <c r="E1574" s="765"/>
      <c r="F1574" s="765"/>
      <c r="G1574" s="765"/>
      <c r="H1574" s="765"/>
      <c r="I1574" s="746" t="str">
        <f t="shared" si="73"/>
        <v/>
      </c>
      <c r="J1574" s="731"/>
      <c r="K1574" s="731" t="str">
        <f t="shared" si="72"/>
        <v/>
      </c>
      <c r="L1574" s="726"/>
      <c r="M1574" s="726"/>
      <c r="N1574" s="726"/>
      <c r="O1574" s="726"/>
      <c r="P1574" s="726"/>
      <c r="Q1574" s="726"/>
      <c r="R1574" s="726"/>
      <c r="S1574" s="726"/>
      <c r="T1574" s="726"/>
      <c r="U1574" s="726"/>
      <c r="V1574" s="726"/>
      <c r="W1574" s="726"/>
      <c r="X1574" s="726"/>
      <c r="Y1574" s="726"/>
      <c r="Z1574" s="726"/>
      <c r="AA1574" s="732"/>
      <c r="AB1574" s="732"/>
      <c r="AC1574" s="732"/>
      <c r="AD1574" s="732"/>
      <c r="AE1574" s="733"/>
      <c r="AF1574" s="734" t="str">
        <f t="shared" si="74"/>
        <v/>
      </c>
      <c r="AG1574" s="773"/>
    </row>
    <row r="1575" spans="1:64" ht="18.75" x14ac:dyDescent="0.25">
      <c r="A1575" s="758"/>
      <c r="B1575" s="737"/>
      <c r="C1575" s="730"/>
      <c r="D1575" s="739"/>
      <c r="E1575" s="765"/>
      <c r="F1575" s="765"/>
      <c r="G1575" s="765"/>
      <c r="H1575" s="765"/>
      <c r="I1575" s="746" t="str">
        <f t="shared" si="73"/>
        <v/>
      </c>
      <c r="J1575" s="731"/>
      <c r="K1575" s="731" t="str">
        <f t="shared" si="72"/>
        <v/>
      </c>
      <c r="L1575" s="726"/>
      <c r="M1575" s="726"/>
      <c r="N1575" s="726"/>
      <c r="O1575" s="726"/>
      <c r="P1575" s="726"/>
      <c r="Q1575" s="726"/>
      <c r="R1575" s="726"/>
      <c r="S1575" s="726"/>
      <c r="T1575" s="726"/>
      <c r="U1575" s="726"/>
      <c r="V1575" s="726"/>
      <c r="W1575" s="726"/>
      <c r="X1575" s="726"/>
      <c r="Y1575" s="726"/>
      <c r="Z1575" s="726"/>
      <c r="AA1575" s="732"/>
      <c r="AB1575" s="732"/>
      <c r="AC1575" s="732"/>
      <c r="AD1575" s="732"/>
      <c r="AE1575" s="733"/>
      <c r="AF1575" s="734" t="str">
        <f t="shared" si="74"/>
        <v/>
      </c>
      <c r="AG1575" s="774"/>
      <c r="AH1575" s="778"/>
      <c r="AI1575" s="736"/>
      <c r="AJ1575" s="736"/>
      <c r="AK1575" s="736"/>
      <c r="AL1575" s="736"/>
      <c r="AM1575" s="736"/>
      <c r="AN1575" s="736"/>
      <c r="AO1575" s="736"/>
      <c r="AP1575" s="736"/>
      <c r="AQ1575" s="736"/>
      <c r="AR1575" s="736"/>
      <c r="AS1575" s="736"/>
      <c r="AT1575" s="736"/>
      <c r="AU1575" s="736"/>
      <c r="AV1575" s="736"/>
      <c r="AW1575" s="736"/>
      <c r="AX1575" s="736"/>
      <c r="AY1575" s="736"/>
      <c r="AZ1575" s="736"/>
      <c r="BA1575" s="736"/>
      <c r="BB1575" s="736"/>
      <c r="BC1575" s="736"/>
      <c r="BD1575" s="736"/>
      <c r="BE1575" s="736"/>
      <c r="BF1575" s="736"/>
      <c r="BG1575" s="736"/>
      <c r="BH1575" s="736"/>
      <c r="BI1575" s="736"/>
      <c r="BJ1575" s="736"/>
      <c r="BK1575" s="736"/>
      <c r="BL1575" s="736"/>
    </row>
    <row r="1576" spans="1:64" ht="18.75" x14ac:dyDescent="0.25">
      <c r="A1576" s="758"/>
      <c r="B1576" s="737"/>
      <c r="C1576" s="730"/>
      <c r="D1576" s="739"/>
      <c r="E1576" s="765"/>
      <c r="F1576" s="765"/>
      <c r="G1576" s="765"/>
      <c r="H1576" s="765"/>
      <c r="I1576" s="746" t="str">
        <f t="shared" si="73"/>
        <v/>
      </c>
      <c r="J1576" s="731"/>
      <c r="K1576" s="731" t="str">
        <f t="shared" si="72"/>
        <v/>
      </c>
      <c r="L1576" s="726"/>
      <c r="M1576" s="726"/>
      <c r="N1576" s="726"/>
      <c r="O1576" s="726"/>
      <c r="P1576" s="726"/>
      <c r="Q1576" s="726"/>
      <c r="R1576" s="726"/>
      <c r="S1576" s="726"/>
      <c r="T1576" s="726"/>
      <c r="U1576" s="726"/>
      <c r="V1576" s="726"/>
      <c r="W1576" s="726"/>
      <c r="X1576" s="726"/>
      <c r="Y1576" s="726"/>
      <c r="Z1576" s="726"/>
      <c r="AA1576" s="732"/>
      <c r="AB1576" s="732"/>
      <c r="AC1576" s="732"/>
      <c r="AD1576" s="732"/>
      <c r="AE1576" s="733"/>
      <c r="AF1576" s="734" t="str">
        <f t="shared" si="74"/>
        <v/>
      </c>
      <c r="AG1576" s="774"/>
      <c r="AH1576" s="778"/>
      <c r="AI1576" s="736"/>
      <c r="AJ1576" s="736"/>
      <c r="AK1576" s="736"/>
      <c r="AL1576" s="736"/>
      <c r="AM1576" s="736"/>
      <c r="AN1576" s="736"/>
      <c r="AO1576" s="736"/>
      <c r="AP1576" s="736"/>
      <c r="AQ1576" s="736"/>
      <c r="AR1576" s="736"/>
      <c r="AS1576" s="736"/>
      <c r="AT1576" s="736"/>
      <c r="AU1576" s="736"/>
      <c r="AV1576" s="736"/>
      <c r="AW1576" s="736"/>
      <c r="AX1576" s="736"/>
      <c r="AY1576" s="736"/>
      <c r="AZ1576" s="736"/>
      <c r="BA1576" s="736"/>
      <c r="BB1576" s="736"/>
      <c r="BC1576" s="736"/>
      <c r="BD1576" s="736"/>
      <c r="BE1576" s="736"/>
      <c r="BF1576" s="736"/>
      <c r="BG1576" s="736"/>
      <c r="BH1576" s="736"/>
      <c r="BI1576" s="736"/>
      <c r="BJ1576" s="736"/>
      <c r="BK1576" s="736"/>
      <c r="BL1576" s="736"/>
    </row>
    <row r="1577" spans="1:64" ht="18.75" x14ac:dyDescent="0.25">
      <c r="A1577" s="758"/>
      <c r="B1577" s="737"/>
      <c r="C1577" s="730"/>
      <c r="D1577" s="739"/>
      <c r="E1577" s="765"/>
      <c r="F1577" s="765"/>
      <c r="G1577" s="765"/>
      <c r="H1577" s="765"/>
      <c r="I1577" s="746" t="str">
        <f t="shared" si="73"/>
        <v/>
      </c>
      <c r="J1577" s="731"/>
      <c r="K1577" s="731" t="str">
        <f t="shared" si="72"/>
        <v/>
      </c>
      <c r="L1577" s="726"/>
      <c r="M1577" s="726"/>
      <c r="N1577" s="726"/>
      <c r="O1577" s="726"/>
      <c r="P1577" s="726"/>
      <c r="Q1577" s="726"/>
      <c r="R1577" s="726"/>
      <c r="S1577" s="726"/>
      <c r="T1577" s="726"/>
      <c r="U1577" s="726"/>
      <c r="V1577" s="726"/>
      <c r="W1577" s="726"/>
      <c r="X1577" s="726"/>
      <c r="Y1577" s="726"/>
      <c r="Z1577" s="726"/>
      <c r="AA1577" s="732"/>
      <c r="AB1577" s="732"/>
      <c r="AC1577" s="732"/>
      <c r="AD1577" s="732"/>
      <c r="AE1577" s="733"/>
      <c r="AF1577" s="734" t="str">
        <f t="shared" si="74"/>
        <v/>
      </c>
      <c r="AG1577" s="774"/>
      <c r="AH1577" s="778"/>
      <c r="AI1577" s="736"/>
      <c r="AJ1577" s="736"/>
      <c r="AK1577" s="736"/>
      <c r="AL1577" s="736"/>
      <c r="AM1577" s="736"/>
      <c r="AN1577" s="736"/>
      <c r="AO1577" s="736"/>
      <c r="AP1577" s="736"/>
      <c r="AQ1577" s="736"/>
      <c r="AR1577" s="736"/>
      <c r="AS1577" s="736"/>
      <c r="AT1577" s="736"/>
      <c r="AU1577" s="736"/>
      <c r="AV1577" s="736"/>
      <c r="AW1577" s="736"/>
      <c r="AX1577" s="736"/>
      <c r="AY1577" s="736"/>
      <c r="AZ1577" s="736"/>
      <c r="BA1577" s="736"/>
      <c r="BB1577" s="736"/>
      <c r="BC1577" s="736"/>
      <c r="BD1577" s="736"/>
      <c r="BE1577" s="736"/>
      <c r="BF1577" s="736"/>
      <c r="BG1577" s="736"/>
      <c r="BH1577" s="736"/>
      <c r="BI1577" s="736"/>
      <c r="BJ1577" s="736"/>
      <c r="BK1577" s="736"/>
      <c r="BL1577" s="736"/>
    </row>
    <row r="1578" spans="1:64" ht="18.75" x14ac:dyDescent="0.25">
      <c r="A1578" s="758"/>
      <c r="B1578" s="737"/>
      <c r="C1578" s="730"/>
      <c r="D1578" s="739"/>
      <c r="E1578" s="765"/>
      <c r="F1578" s="765"/>
      <c r="G1578" s="765"/>
      <c r="H1578" s="765"/>
      <c r="I1578" s="746" t="str">
        <f t="shared" si="73"/>
        <v/>
      </c>
      <c r="J1578" s="731"/>
      <c r="K1578" s="731" t="str">
        <f t="shared" si="72"/>
        <v/>
      </c>
      <c r="L1578" s="726"/>
      <c r="M1578" s="726"/>
      <c r="N1578" s="726"/>
      <c r="O1578" s="726"/>
      <c r="P1578" s="726"/>
      <c r="Q1578" s="726"/>
      <c r="R1578" s="726"/>
      <c r="S1578" s="726"/>
      <c r="T1578" s="726"/>
      <c r="U1578" s="726"/>
      <c r="V1578" s="726"/>
      <c r="W1578" s="726"/>
      <c r="X1578" s="726"/>
      <c r="Y1578" s="726"/>
      <c r="Z1578" s="726"/>
      <c r="AA1578" s="732"/>
      <c r="AB1578" s="732"/>
      <c r="AC1578" s="732"/>
      <c r="AD1578" s="732"/>
      <c r="AE1578" s="733"/>
      <c r="AF1578" s="734" t="str">
        <f t="shared" si="74"/>
        <v/>
      </c>
      <c r="AG1578" s="773"/>
    </row>
    <row r="1579" spans="1:64" ht="18.75" x14ac:dyDescent="0.25">
      <c r="A1579" s="758"/>
      <c r="B1579" s="737"/>
      <c r="C1579" s="730"/>
      <c r="D1579" s="739"/>
      <c r="E1579" s="765"/>
      <c r="F1579" s="765"/>
      <c r="G1579" s="765"/>
      <c r="H1579" s="765"/>
      <c r="I1579" s="746" t="str">
        <f t="shared" si="73"/>
        <v/>
      </c>
      <c r="J1579" s="731"/>
      <c r="K1579" s="731" t="str">
        <f t="shared" si="72"/>
        <v/>
      </c>
      <c r="L1579" s="726"/>
      <c r="M1579" s="726"/>
      <c r="N1579" s="726"/>
      <c r="O1579" s="726"/>
      <c r="P1579" s="726"/>
      <c r="Q1579" s="726"/>
      <c r="R1579" s="726"/>
      <c r="S1579" s="726"/>
      <c r="T1579" s="726"/>
      <c r="U1579" s="726"/>
      <c r="V1579" s="726"/>
      <c r="W1579" s="726"/>
      <c r="X1579" s="726"/>
      <c r="Y1579" s="726"/>
      <c r="Z1579" s="726"/>
      <c r="AA1579" s="732"/>
      <c r="AB1579" s="732"/>
      <c r="AC1579" s="732"/>
      <c r="AD1579" s="732"/>
      <c r="AE1579" s="733"/>
      <c r="AF1579" s="734" t="str">
        <f t="shared" si="74"/>
        <v/>
      </c>
      <c r="AG1579" s="773"/>
    </row>
    <row r="1580" spans="1:64" ht="18.75" x14ac:dyDescent="0.25">
      <c r="A1580" s="758"/>
      <c r="B1580" s="737"/>
      <c r="C1580" s="730"/>
      <c r="D1580" s="739"/>
      <c r="E1580" s="765"/>
      <c r="F1580" s="765"/>
      <c r="G1580" s="765"/>
      <c r="H1580" s="765"/>
      <c r="I1580" s="746" t="str">
        <f t="shared" si="73"/>
        <v/>
      </c>
      <c r="J1580" s="731"/>
      <c r="K1580" s="731" t="str">
        <f t="shared" si="72"/>
        <v/>
      </c>
      <c r="L1580" s="726"/>
      <c r="M1580" s="726"/>
      <c r="N1580" s="726"/>
      <c r="O1580" s="726"/>
      <c r="P1580" s="726"/>
      <c r="Q1580" s="726"/>
      <c r="R1580" s="726"/>
      <c r="S1580" s="726"/>
      <c r="T1580" s="726"/>
      <c r="U1580" s="726"/>
      <c r="V1580" s="726"/>
      <c r="W1580" s="726"/>
      <c r="X1580" s="726"/>
      <c r="Y1580" s="726"/>
      <c r="Z1580" s="726"/>
      <c r="AA1580" s="732"/>
      <c r="AB1580" s="732"/>
      <c r="AC1580" s="732"/>
      <c r="AD1580" s="732"/>
      <c r="AE1580" s="733"/>
      <c r="AF1580" s="734" t="str">
        <f t="shared" si="74"/>
        <v/>
      </c>
      <c r="AG1580" s="773"/>
    </row>
    <row r="1581" spans="1:64" ht="18.75" x14ac:dyDescent="0.25">
      <c r="A1581" s="758"/>
      <c r="B1581" s="737"/>
      <c r="C1581" s="730"/>
      <c r="D1581" s="739"/>
      <c r="E1581" s="765"/>
      <c r="F1581" s="765"/>
      <c r="G1581" s="765"/>
      <c r="H1581" s="765"/>
      <c r="I1581" s="746" t="str">
        <f t="shared" si="73"/>
        <v/>
      </c>
      <c r="J1581" s="731"/>
      <c r="K1581" s="731" t="str">
        <f t="shared" si="72"/>
        <v/>
      </c>
      <c r="L1581" s="726"/>
      <c r="M1581" s="726"/>
      <c r="N1581" s="726"/>
      <c r="O1581" s="726"/>
      <c r="P1581" s="726"/>
      <c r="Q1581" s="726"/>
      <c r="R1581" s="726"/>
      <c r="S1581" s="726"/>
      <c r="T1581" s="726"/>
      <c r="U1581" s="726"/>
      <c r="V1581" s="726"/>
      <c r="W1581" s="726"/>
      <c r="X1581" s="726"/>
      <c r="Y1581" s="726"/>
      <c r="Z1581" s="726"/>
      <c r="AA1581" s="732"/>
      <c r="AB1581" s="732"/>
      <c r="AC1581" s="732"/>
      <c r="AD1581" s="732"/>
      <c r="AE1581" s="733"/>
      <c r="AF1581" s="734" t="str">
        <f t="shared" si="74"/>
        <v/>
      </c>
      <c r="AG1581" s="774"/>
      <c r="AH1581" s="778"/>
      <c r="AI1581" s="736"/>
      <c r="AJ1581" s="736"/>
      <c r="AK1581" s="736"/>
      <c r="AL1581" s="736"/>
      <c r="AM1581" s="736"/>
      <c r="AN1581" s="736"/>
      <c r="AO1581" s="736"/>
      <c r="AP1581" s="736"/>
      <c r="AQ1581" s="736"/>
      <c r="AR1581" s="736"/>
      <c r="AS1581" s="736"/>
      <c r="AT1581" s="736"/>
      <c r="AU1581" s="736"/>
      <c r="AV1581" s="736"/>
      <c r="AW1581" s="736"/>
      <c r="AX1581" s="736"/>
      <c r="AY1581" s="736"/>
      <c r="AZ1581" s="736"/>
      <c r="BA1581" s="736"/>
      <c r="BB1581" s="736"/>
      <c r="BC1581" s="736"/>
      <c r="BD1581" s="736"/>
      <c r="BE1581" s="736"/>
      <c r="BF1581" s="736"/>
      <c r="BG1581" s="736"/>
      <c r="BH1581" s="736"/>
      <c r="BI1581" s="736"/>
      <c r="BJ1581" s="736"/>
      <c r="BK1581" s="736"/>
      <c r="BL1581" s="736"/>
    </row>
    <row r="1582" spans="1:64" ht="18.75" x14ac:dyDescent="0.25">
      <c r="A1582" s="758"/>
      <c r="B1582" s="737"/>
      <c r="C1582" s="730"/>
      <c r="D1582" s="739"/>
      <c r="E1582" s="765"/>
      <c r="F1582" s="765"/>
      <c r="G1582" s="765"/>
      <c r="H1582" s="765"/>
      <c r="I1582" s="746" t="str">
        <f t="shared" si="73"/>
        <v/>
      </c>
      <c r="J1582" s="731"/>
      <c r="K1582" s="731" t="str">
        <f t="shared" si="72"/>
        <v/>
      </c>
      <c r="L1582" s="726"/>
      <c r="M1582" s="726"/>
      <c r="N1582" s="726"/>
      <c r="O1582" s="726"/>
      <c r="P1582" s="726"/>
      <c r="Q1582" s="726"/>
      <c r="R1582" s="726"/>
      <c r="S1582" s="726"/>
      <c r="T1582" s="726"/>
      <c r="U1582" s="726"/>
      <c r="V1582" s="726"/>
      <c r="W1582" s="726"/>
      <c r="X1582" s="726"/>
      <c r="Y1582" s="726"/>
      <c r="Z1582" s="726"/>
      <c r="AA1582" s="732"/>
      <c r="AB1582" s="732"/>
      <c r="AC1582" s="732"/>
      <c r="AD1582" s="732"/>
      <c r="AE1582" s="733"/>
      <c r="AF1582" s="734" t="str">
        <f t="shared" si="74"/>
        <v/>
      </c>
      <c r="AG1582" s="773"/>
    </row>
    <row r="1583" spans="1:64" ht="18.75" x14ac:dyDescent="0.25">
      <c r="A1583" s="758"/>
      <c r="B1583" s="737"/>
      <c r="C1583" s="730"/>
      <c r="D1583" s="739"/>
      <c r="E1583" s="765"/>
      <c r="F1583" s="765"/>
      <c r="G1583" s="765"/>
      <c r="H1583" s="765"/>
      <c r="I1583" s="746" t="str">
        <f t="shared" si="73"/>
        <v/>
      </c>
      <c r="J1583" s="731"/>
      <c r="K1583" s="731" t="str">
        <f t="shared" si="72"/>
        <v/>
      </c>
      <c r="L1583" s="726"/>
      <c r="M1583" s="726"/>
      <c r="N1583" s="726"/>
      <c r="O1583" s="726"/>
      <c r="P1583" s="726"/>
      <c r="Q1583" s="726"/>
      <c r="R1583" s="726"/>
      <c r="S1583" s="726"/>
      <c r="T1583" s="726"/>
      <c r="U1583" s="726"/>
      <c r="V1583" s="726"/>
      <c r="W1583" s="726"/>
      <c r="X1583" s="726"/>
      <c r="Y1583" s="726"/>
      <c r="Z1583" s="726"/>
      <c r="AA1583" s="732"/>
      <c r="AB1583" s="732"/>
      <c r="AC1583" s="732"/>
      <c r="AD1583" s="732"/>
      <c r="AE1583" s="733"/>
      <c r="AF1583" s="734" t="str">
        <f t="shared" si="74"/>
        <v/>
      </c>
      <c r="AG1583" s="773"/>
    </row>
    <row r="1584" spans="1:64" ht="18.75" x14ac:dyDescent="0.25">
      <c r="A1584" s="758"/>
      <c r="B1584" s="737"/>
      <c r="C1584" s="730"/>
      <c r="D1584" s="739"/>
      <c r="E1584" s="765"/>
      <c r="F1584" s="765"/>
      <c r="G1584" s="765"/>
      <c r="H1584" s="765"/>
      <c r="I1584" s="746" t="str">
        <f t="shared" si="73"/>
        <v/>
      </c>
      <c r="J1584" s="731"/>
      <c r="K1584" s="731" t="str">
        <f t="shared" si="72"/>
        <v/>
      </c>
      <c r="L1584" s="726"/>
      <c r="M1584" s="726"/>
      <c r="N1584" s="726"/>
      <c r="O1584" s="726"/>
      <c r="P1584" s="726"/>
      <c r="Q1584" s="726"/>
      <c r="R1584" s="726"/>
      <c r="S1584" s="726"/>
      <c r="T1584" s="726"/>
      <c r="U1584" s="726"/>
      <c r="V1584" s="726"/>
      <c r="W1584" s="726"/>
      <c r="X1584" s="726"/>
      <c r="Y1584" s="726"/>
      <c r="Z1584" s="726"/>
      <c r="AA1584" s="732"/>
      <c r="AB1584" s="732"/>
      <c r="AC1584" s="732"/>
      <c r="AD1584" s="732"/>
      <c r="AE1584" s="733"/>
      <c r="AF1584" s="734" t="str">
        <f t="shared" si="74"/>
        <v/>
      </c>
      <c r="AG1584" s="773"/>
    </row>
    <row r="1585" spans="1:64" ht="18.75" x14ac:dyDescent="0.25">
      <c r="A1585" s="758"/>
      <c r="B1585" s="737"/>
      <c r="C1585" s="730"/>
      <c r="D1585" s="739"/>
      <c r="E1585" s="765"/>
      <c r="F1585" s="765"/>
      <c r="G1585" s="765"/>
      <c r="H1585" s="765"/>
      <c r="I1585" s="746" t="str">
        <f t="shared" si="73"/>
        <v/>
      </c>
      <c r="J1585" s="731"/>
      <c r="K1585" s="731" t="str">
        <f t="shared" si="72"/>
        <v/>
      </c>
      <c r="L1585" s="726"/>
      <c r="M1585" s="726"/>
      <c r="N1585" s="726"/>
      <c r="O1585" s="726"/>
      <c r="P1585" s="726"/>
      <c r="Q1585" s="726"/>
      <c r="R1585" s="726"/>
      <c r="S1585" s="726"/>
      <c r="T1585" s="726"/>
      <c r="U1585" s="726"/>
      <c r="V1585" s="726"/>
      <c r="W1585" s="726"/>
      <c r="X1585" s="726"/>
      <c r="Y1585" s="726"/>
      <c r="Z1585" s="726"/>
      <c r="AA1585" s="732"/>
      <c r="AB1585" s="732"/>
      <c r="AC1585" s="732"/>
      <c r="AD1585" s="732"/>
      <c r="AE1585" s="733"/>
      <c r="AF1585" s="734" t="str">
        <f t="shared" si="74"/>
        <v/>
      </c>
      <c r="AG1585" s="773"/>
    </row>
    <row r="1586" spans="1:64" ht="18.75" x14ac:dyDescent="0.25">
      <c r="A1586" s="758"/>
      <c r="B1586" s="737"/>
      <c r="C1586" s="730"/>
      <c r="D1586" s="739"/>
      <c r="E1586" s="765"/>
      <c r="F1586" s="765"/>
      <c r="G1586" s="765"/>
      <c r="H1586" s="765"/>
      <c r="I1586" s="746" t="str">
        <f t="shared" si="73"/>
        <v/>
      </c>
      <c r="J1586" s="731"/>
      <c r="K1586" s="731" t="str">
        <f t="shared" si="72"/>
        <v/>
      </c>
      <c r="L1586" s="726"/>
      <c r="M1586" s="726"/>
      <c r="N1586" s="726"/>
      <c r="O1586" s="726"/>
      <c r="P1586" s="726"/>
      <c r="Q1586" s="726"/>
      <c r="R1586" s="726"/>
      <c r="S1586" s="726"/>
      <c r="T1586" s="726"/>
      <c r="U1586" s="726"/>
      <c r="V1586" s="726"/>
      <c r="W1586" s="726"/>
      <c r="X1586" s="726"/>
      <c r="Y1586" s="726"/>
      <c r="Z1586" s="726"/>
      <c r="AA1586" s="732"/>
      <c r="AB1586" s="732"/>
      <c r="AC1586" s="732"/>
      <c r="AD1586" s="732"/>
      <c r="AE1586" s="733"/>
      <c r="AF1586" s="734" t="str">
        <f t="shared" si="74"/>
        <v/>
      </c>
      <c r="AG1586" s="773"/>
    </row>
    <row r="1587" spans="1:64" ht="18.75" x14ac:dyDescent="0.25">
      <c r="A1587" s="758"/>
      <c r="B1587" s="737"/>
      <c r="C1587" s="730"/>
      <c r="D1587" s="739"/>
      <c r="E1587" s="765"/>
      <c r="F1587" s="765"/>
      <c r="G1587" s="765"/>
      <c r="H1587" s="765"/>
      <c r="I1587" s="746" t="str">
        <f t="shared" si="73"/>
        <v/>
      </c>
      <c r="J1587" s="731"/>
      <c r="K1587" s="731" t="str">
        <f t="shared" si="72"/>
        <v/>
      </c>
      <c r="L1587" s="726"/>
      <c r="M1587" s="726"/>
      <c r="N1587" s="726"/>
      <c r="O1587" s="726"/>
      <c r="P1587" s="726"/>
      <c r="Q1587" s="726"/>
      <c r="R1587" s="726"/>
      <c r="S1587" s="726"/>
      <c r="T1587" s="726"/>
      <c r="U1587" s="726"/>
      <c r="V1587" s="726"/>
      <c r="W1587" s="726"/>
      <c r="X1587" s="726"/>
      <c r="Y1587" s="726"/>
      <c r="Z1587" s="726"/>
      <c r="AA1587" s="732"/>
      <c r="AB1587" s="732"/>
      <c r="AC1587" s="732"/>
      <c r="AD1587" s="732"/>
      <c r="AE1587" s="733"/>
      <c r="AF1587" s="734" t="str">
        <f t="shared" si="74"/>
        <v/>
      </c>
      <c r="AG1587" s="773"/>
    </row>
    <row r="1588" spans="1:64" ht="18.75" x14ac:dyDescent="0.25">
      <c r="A1588" s="758"/>
      <c r="B1588" s="737"/>
      <c r="C1588" s="730"/>
      <c r="D1588" s="739"/>
      <c r="E1588" s="765"/>
      <c r="F1588" s="765"/>
      <c r="G1588" s="765"/>
      <c r="H1588" s="765"/>
      <c r="I1588" s="746" t="str">
        <f t="shared" si="73"/>
        <v/>
      </c>
      <c r="J1588" s="731"/>
      <c r="K1588" s="731" t="str">
        <f t="shared" si="72"/>
        <v/>
      </c>
      <c r="L1588" s="726"/>
      <c r="M1588" s="726"/>
      <c r="N1588" s="726"/>
      <c r="O1588" s="726"/>
      <c r="P1588" s="726"/>
      <c r="Q1588" s="726"/>
      <c r="R1588" s="726"/>
      <c r="S1588" s="726"/>
      <c r="T1588" s="726"/>
      <c r="U1588" s="726"/>
      <c r="V1588" s="726"/>
      <c r="W1588" s="726"/>
      <c r="X1588" s="726"/>
      <c r="Y1588" s="726"/>
      <c r="Z1588" s="726"/>
      <c r="AA1588" s="732"/>
      <c r="AB1588" s="732"/>
      <c r="AC1588" s="732"/>
      <c r="AD1588" s="732"/>
      <c r="AE1588" s="733"/>
      <c r="AF1588" s="734" t="str">
        <f t="shared" si="74"/>
        <v/>
      </c>
      <c r="AG1588" s="773"/>
    </row>
    <row r="1589" spans="1:64" ht="18.75" x14ac:dyDescent="0.25">
      <c r="A1589" s="758"/>
      <c r="B1589" s="737"/>
      <c r="C1589" s="730"/>
      <c r="D1589" s="739"/>
      <c r="E1589" s="765"/>
      <c r="F1589" s="765"/>
      <c r="G1589" s="765"/>
      <c r="H1589" s="765"/>
      <c r="I1589" s="746" t="str">
        <f t="shared" si="73"/>
        <v/>
      </c>
      <c r="J1589" s="731"/>
      <c r="K1589" s="731" t="str">
        <f t="shared" si="72"/>
        <v/>
      </c>
      <c r="L1589" s="726"/>
      <c r="M1589" s="726"/>
      <c r="N1589" s="726"/>
      <c r="O1589" s="726"/>
      <c r="P1589" s="726"/>
      <c r="Q1589" s="726"/>
      <c r="R1589" s="726"/>
      <c r="S1589" s="726"/>
      <c r="T1589" s="726"/>
      <c r="U1589" s="726"/>
      <c r="V1589" s="726"/>
      <c r="W1589" s="726"/>
      <c r="X1589" s="726"/>
      <c r="Y1589" s="726"/>
      <c r="Z1589" s="726"/>
      <c r="AA1589" s="732"/>
      <c r="AB1589" s="732"/>
      <c r="AC1589" s="732"/>
      <c r="AD1589" s="732"/>
      <c r="AE1589" s="733"/>
      <c r="AF1589" s="734" t="str">
        <f t="shared" si="74"/>
        <v/>
      </c>
      <c r="AG1589" s="773"/>
    </row>
    <row r="1590" spans="1:64" ht="18.75" x14ac:dyDescent="0.25">
      <c r="A1590" s="758"/>
      <c r="B1590" s="737"/>
      <c r="C1590" s="730"/>
      <c r="D1590" s="739"/>
      <c r="E1590" s="765"/>
      <c r="F1590" s="765"/>
      <c r="G1590" s="765"/>
      <c r="H1590" s="765"/>
      <c r="I1590" s="746" t="str">
        <f t="shared" si="73"/>
        <v/>
      </c>
      <c r="J1590" s="731"/>
      <c r="K1590" s="731" t="str">
        <f t="shared" si="72"/>
        <v/>
      </c>
      <c r="L1590" s="726"/>
      <c r="M1590" s="726"/>
      <c r="N1590" s="726"/>
      <c r="O1590" s="726"/>
      <c r="P1590" s="726"/>
      <c r="Q1590" s="726"/>
      <c r="R1590" s="726"/>
      <c r="S1590" s="726"/>
      <c r="T1590" s="726"/>
      <c r="U1590" s="726"/>
      <c r="V1590" s="726"/>
      <c r="W1590" s="726"/>
      <c r="X1590" s="726"/>
      <c r="Y1590" s="726"/>
      <c r="Z1590" s="726"/>
      <c r="AA1590" s="732"/>
      <c r="AB1590" s="732"/>
      <c r="AC1590" s="732"/>
      <c r="AD1590" s="732"/>
      <c r="AE1590" s="733"/>
      <c r="AF1590" s="734" t="str">
        <f t="shared" si="74"/>
        <v/>
      </c>
      <c r="AG1590" s="773"/>
    </row>
    <row r="1591" spans="1:64" ht="18.75" x14ac:dyDescent="0.25">
      <c r="A1591" s="758"/>
      <c r="B1591" s="737"/>
      <c r="C1591" s="730"/>
      <c r="D1591" s="739"/>
      <c r="E1591" s="765"/>
      <c r="F1591" s="765"/>
      <c r="G1591" s="765"/>
      <c r="H1591" s="765"/>
      <c r="I1591" s="746" t="str">
        <f t="shared" si="73"/>
        <v/>
      </c>
      <c r="J1591" s="731"/>
      <c r="K1591" s="731" t="str">
        <f t="shared" si="72"/>
        <v/>
      </c>
      <c r="L1591" s="726"/>
      <c r="M1591" s="726"/>
      <c r="N1591" s="726"/>
      <c r="O1591" s="726"/>
      <c r="P1591" s="726"/>
      <c r="Q1591" s="726"/>
      <c r="R1591" s="726"/>
      <c r="S1591" s="726"/>
      <c r="T1591" s="726"/>
      <c r="U1591" s="726"/>
      <c r="V1591" s="726"/>
      <c r="W1591" s="726"/>
      <c r="X1591" s="726"/>
      <c r="Y1591" s="726"/>
      <c r="Z1591" s="726"/>
      <c r="AA1591" s="732"/>
      <c r="AB1591" s="732"/>
      <c r="AC1591" s="732"/>
      <c r="AD1591" s="732"/>
      <c r="AE1591" s="733"/>
      <c r="AF1591" s="734" t="str">
        <f t="shared" si="74"/>
        <v/>
      </c>
      <c r="AG1591" s="773"/>
    </row>
    <row r="1592" spans="1:64" ht="18.75" x14ac:dyDescent="0.25">
      <c r="A1592" s="758"/>
      <c r="B1592" s="737"/>
      <c r="C1592" s="730"/>
      <c r="D1592" s="739"/>
      <c r="E1592" s="765"/>
      <c r="F1592" s="765"/>
      <c r="G1592" s="765"/>
      <c r="H1592" s="765"/>
      <c r="I1592" s="746" t="str">
        <f t="shared" si="73"/>
        <v/>
      </c>
      <c r="J1592" s="731"/>
      <c r="K1592" s="731" t="str">
        <f t="shared" si="72"/>
        <v/>
      </c>
      <c r="L1592" s="726"/>
      <c r="M1592" s="726"/>
      <c r="N1592" s="726"/>
      <c r="O1592" s="726"/>
      <c r="P1592" s="726"/>
      <c r="Q1592" s="726"/>
      <c r="R1592" s="726"/>
      <c r="S1592" s="726"/>
      <c r="T1592" s="726"/>
      <c r="U1592" s="726"/>
      <c r="V1592" s="726"/>
      <c r="W1592" s="726"/>
      <c r="X1592" s="726"/>
      <c r="Y1592" s="726"/>
      <c r="Z1592" s="726"/>
      <c r="AA1592" s="732"/>
      <c r="AB1592" s="732"/>
      <c r="AC1592" s="732"/>
      <c r="AD1592" s="732"/>
      <c r="AE1592" s="733"/>
      <c r="AF1592" s="734" t="str">
        <f t="shared" si="74"/>
        <v/>
      </c>
      <c r="AG1592" s="773"/>
    </row>
    <row r="1593" spans="1:64" ht="19.5" customHeight="1" x14ac:dyDescent="0.25">
      <c r="A1593" s="758"/>
      <c r="B1593" s="737"/>
      <c r="C1593" s="730"/>
      <c r="D1593" s="739"/>
      <c r="E1593" s="765"/>
      <c r="F1593" s="765"/>
      <c r="G1593" s="765"/>
      <c r="H1593" s="765"/>
      <c r="I1593" s="746" t="str">
        <f t="shared" si="73"/>
        <v/>
      </c>
      <c r="J1593" s="731"/>
      <c r="K1593" s="731" t="str">
        <f t="shared" si="72"/>
        <v/>
      </c>
      <c r="L1593" s="726"/>
      <c r="M1593" s="726"/>
      <c r="N1593" s="726"/>
      <c r="O1593" s="726"/>
      <c r="P1593" s="726"/>
      <c r="Q1593" s="726"/>
      <c r="R1593" s="726"/>
      <c r="S1593" s="726"/>
      <c r="T1593" s="726"/>
      <c r="U1593" s="726"/>
      <c r="V1593" s="726"/>
      <c r="W1593" s="726"/>
      <c r="X1593" s="726"/>
      <c r="Y1593" s="726"/>
      <c r="Z1593" s="726"/>
      <c r="AA1593" s="732"/>
      <c r="AB1593" s="732"/>
      <c r="AC1593" s="732"/>
      <c r="AD1593" s="732"/>
      <c r="AE1593" s="733"/>
      <c r="AF1593" s="734" t="str">
        <f t="shared" si="74"/>
        <v/>
      </c>
      <c r="AG1593" s="773"/>
    </row>
    <row r="1594" spans="1:64" ht="18.75" x14ac:dyDescent="0.25">
      <c r="A1594" s="758"/>
      <c r="B1594" s="737"/>
      <c r="C1594" s="730"/>
      <c r="D1594" s="739"/>
      <c r="E1594" s="765"/>
      <c r="F1594" s="765"/>
      <c r="G1594" s="765"/>
      <c r="H1594" s="765"/>
      <c r="I1594" s="746" t="str">
        <f t="shared" si="73"/>
        <v/>
      </c>
      <c r="J1594" s="731"/>
      <c r="K1594" s="731" t="str">
        <f t="shared" si="72"/>
        <v/>
      </c>
      <c r="L1594" s="726"/>
      <c r="M1594" s="726"/>
      <c r="N1594" s="726"/>
      <c r="O1594" s="726"/>
      <c r="P1594" s="726"/>
      <c r="Q1594" s="726"/>
      <c r="R1594" s="726"/>
      <c r="S1594" s="726"/>
      <c r="T1594" s="726"/>
      <c r="U1594" s="726"/>
      <c r="V1594" s="726"/>
      <c r="W1594" s="726"/>
      <c r="X1594" s="726"/>
      <c r="Y1594" s="726"/>
      <c r="Z1594" s="726"/>
      <c r="AA1594" s="732"/>
      <c r="AB1594" s="732"/>
      <c r="AC1594" s="732"/>
      <c r="AD1594" s="732"/>
      <c r="AE1594" s="733"/>
      <c r="AF1594" s="734" t="str">
        <f t="shared" si="74"/>
        <v/>
      </c>
      <c r="AG1594" s="773"/>
    </row>
    <row r="1595" spans="1:64" ht="18.75" x14ac:dyDescent="0.25">
      <c r="A1595" s="758"/>
      <c r="B1595" s="737"/>
      <c r="C1595" s="730"/>
      <c r="D1595" s="739"/>
      <c r="E1595" s="765"/>
      <c r="F1595" s="765"/>
      <c r="G1595" s="765"/>
      <c r="H1595" s="765"/>
      <c r="I1595" s="746" t="str">
        <f t="shared" si="73"/>
        <v/>
      </c>
      <c r="J1595" s="731"/>
      <c r="K1595" s="731" t="str">
        <f t="shared" si="72"/>
        <v/>
      </c>
      <c r="L1595" s="726"/>
      <c r="M1595" s="726"/>
      <c r="N1595" s="726"/>
      <c r="O1595" s="726"/>
      <c r="P1595" s="726"/>
      <c r="Q1595" s="726"/>
      <c r="R1595" s="726"/>
      <c r="S1595" s="726"/>
      <c r="T1595" s="726"/>
      <c r="U1595" s="726"/>
      <c r="V1595" s="726"/>
      <c r="W1595" s="726"/>
      <c r="X1595" s="726"/>
      <c r="Y1595" s="726"/>
      <c r="Z1595" s="726"/>
      <c r="AA1595" s="732"/>
      <c r="AB1595" s="732"/>
      <c r="AC1595" s="732"/>
      <c r="AD1595" s="732"/>
      <c r="AE1595" s="733"/>
      <c r="AF1595" s="734" t="str">
        <f t="shared" si="74"/>
        <v/>
      </c>
      <c r="AG1595" s="773"/>
    </row>
    <row r="1596" spans="1:64" ht="19.5" customHeight="1" x14ac:dyDescent="0.25">
      <c r="A1596" s="758"/>
      <c r="B1596" s="737"/>
      <c r="C1596" s="730"/>
      <c r="D1596" s="739"/>
      <c r="E1596" s="765"/>
      <c r="F1596" s="765"/>
      <c r="G1596" s="765"/>
      <c r="H1596" s="765"/>
      <c r="I1596" s="746" t="str">
        <f t="shared" si="73"/>
        <v/>
      </c>
      <c r="J1596" s="731"/>
      <c r="K1596" s="731" t="str">
        <f t="shared" si="72"/>
        <v/>
      </c>
      <c r="L1596" s="726"/>
      <c r="M1596" s="726"/>
      <c r="N1596" s="726"/>
      <c r="O1596" s="726"/>
      <c r="P1596" s="726"/>
      <c r="Q1596" s="726"/>
      <c r="R1596" s="726"/>
      <c r="S1596" s="726"/>
      <c r="T1596" s="726"/>
      <c r="U1596" s="726"/>
      <c r="V1596" s="726"/>
      <c r="W1596" s="726"/>
      <c r="X1596" s="726"/>
      <c r="Y1596" s="726"/>
      <c r="Z1596" s="726"/>
      <c r="AA1596" s="732"/>
      <c r="AB1596" s="732"/>
      <c r="AC1596" s="732"/>
      <c r="AD1596" s="732"/>
      <c r="AE1596" s="733"/>
      <c r="AF1596" s="734" t="str">
        <f t="shared" si="74"/>
        <v/>
      </c>
      <c r="AG1596" s="775"/>
      <c r="AH1596" s="779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  <c r="AW1596" s="36"/>
      <c r="AX1596" s="36"/>
      <c r="AY1596" s="36"/>
      <c r="AZ1596" s="36"/>
      <c r="BA1596" s="36"/>
      <c r="BB1596" s="36"/>
      <c r="BC1596" s="36"/>
      <c r="BD1596" s="36"/>
      <c r="BE1596" s="36"/>
      <c r="BF1596" s="36"/>
      <c r="BG1596" s="36"/>
      <c r="BH1596" s="36"/>
      <c r="BI1596" s="36"/>
      <c r="BJ1596" s="36"/>
      <c r="BK1596" s="36"/>
      <c r="BL1596" s="36"/>
    </row>
    <row r="1597" spans="1:64" ht="19.5" customHeight="1" x14ac:dyDescent="0.25">
      <c r="A1597" s="758"/>
      <c r="B1597" s="737"/>
      <c r="C1597" s="730"/>
      <c r="D1597" s="739"/>
      <c r="E1597" s="765"/>
      <c r="F1597" s="765"/>
      <c r="G1597" s="765"/>
      <c r="H1597" s="765"/>
      <c r="I1597" s="746" t="str">
        <f t="shared" si="73"/>
        <v/>
      </c>
      <c r="J1597" s="731"/>
      <c r="K1597" s="731" t="str">
        <f t="shared" si="72"/>
        <v/>
      </c>
      <c r="L1597" s="726"/>
      <c r="M1597" s="726"/>
      <c r="N1597" s="726"/>
      <c r="O1597" s="726"/>
      <c r="P1597" s="726"/>
      <c r="Q1597" s="726"/>
      <c r="R1597" s="726"/>
      <c r="S1597" s="726"/>
      <c r="T1597" s="726"/>
      <c r="U1597" s="726"/>
      <c r="V1597" s="726"/>
      <c r="W1597" s="726"/>
      <c r="X1597" s="726"/>
      <c r="Y1597" s="726"/>
      <c r="Z1597" s="726"/>
      <c r="AA1597" s="732"/>
      <c r="AB1597" s="732"/>
      <c r="AC1597" s="732"/>
      <c r="AD1597" s="732"/>
      <c r="AE1597" s="733"/>
      <c r="AF1597" s="734" t="str">
        <f t="shared" si="74"/>
        <v/>
      </c>
      <c r="AG1597" s="775"/>
      <c r="AH1597" s="779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36"/>
      <c r="BD1597" s="36"/>
      <c r="BE1597" s="36"/>
      <c r="BF1597" s="36"/>
      <c r="BG1597" s="36"/>
      <c r="BH1597" s="36"/>
      <c r="BI1597" s="36"/>
      <c r="BJ1597" s="36"/>
      <c r="BK1597" s="36"/>
      <c r="BL1597" s="36"/>
    </row>
    <row r="1598" spans="1:64" ht="18.75" x14ac:dyDescent="0.25">
      <c r="A1598" s="758"/>
      <c r="B1598" s="737"/>
      <c r="C1598" s="730"/>
      <c r="D1598" s="739"/>
      <c r="E1598" s="765"/>
      <c r="F1598" s="765"/>
      <c r="G1598" s="765"/>
      <c r="H1598" s="765"/>
      <c r="I1598" s="746" t="str">
        <f t="shared" si="73"/>
        <v/>
      </c>
      <c r="J1598" s="731"/>
      <c r="K1598" s="731" t="str">
        <f t="shared" si="72"/>
        <v/>
      </c>
      <c r="L1598" s="726"/>
      <c r="M1598" s="726"/>
      <c r="N1598" s="726"/>
      <c r="O1598" s="726"/>
      <c r="P1598" s="726"/>
      <c r="Q1598" s="726"/>
      <c r="R1598" s="726"/>
      <c r="S1598" s="726"/>
      <c r="T1598" s="726"/>
      <c r="U1598" s="726"/>
      <c r="V1598" s="726"/>
      <c r="W1598" s="726"/>
      <c r="X1598" s="726"/>
      <c r="Y1598" s="726"/>
      <c r="Z1598" s="726"/>
      <c r="AA1598" s="732"/>
      <c r="AB1598" s="732"/>
      <c r="AC1598" s="732"/>
      <c r="AD1598" s="732"/>
      <c r="AE1598" s="733"/>
      <c r="AF1598" s="734" t="str">
        <f t="shared" si="74"/>
        <v/>
      </c>
      <c r="AG1598" s="773"/>
    </row>
    <row r="1599" spans="1:64" ht="18.75" x14ac:dyDescent="0.25">
      <c r="A1599" s="758"/>
      <c r="B1599" s="737"/>
      <c r="C1599" s="730"/>
      <c r="D1599" s="739"/>
      <c r="E1599" s="765"/>
      <c r="F1599" s="765"/>
      <c r="G1599" s="765"/>
      <c r="H1599" s="765"/>
      <c r="I1599" s="746" t="str">
        <f t="shared" si="73"/>
        <v/>
      </c>
      <c r="J1599" s="731"/>
      <c r="K1599" s="731" t="str">
        <f t="shared" si="72"/>
        <v/>
      </c>
      <c r="L1599" s="726"/>
      <c r="M1599" s="726"/>
      <c r="N1599" s="726"/>
      <c r="O1599" s="726"/>
      <c r="P1599" s="726"/>
      <c r="Q1599" s="726"/>
      <c r="R1599" s="726"/>
      <c r="S1599" s="726"/>
      <c r="T1599" s="726"/>
      <c r="U1599" s="726"/>
      <c r="V1599" s="726"/>
      <c r="W1599" s="726"/>
      <c r="X1599" s="726"/>
      <c r="Y1599" s="726"/>
      <c r="Z1599" s="726"/>
      <c r="AA1599" s="732"/>
      <c r="AB1599" s="732"/>
      <c r="AC1599" s="732"/>
      <c r="AD1599" s="732"/>
      <c r="AE1599" s="733"/>
      <c r="AF1599" s="734" t="str">
        <f t="shared" si="74"/>
        <v/>
      </c>
      <c r="AG1599" s="773"/>
    </row>
    <row r="1600" spans="1:64" ht="18.75" x14ac:dyDescent="0.25">
      <c r="A1600" s="758"/>
      <c r="B1600" s="737"/>
      <c r="C1600" s="730"/>
      <c r="D1600" s="739"/>
      <c r="E1600" s="765"/>
      <c r="F1600" s="765"/>
      <c r="G1600" s="765"/>
      <c r="H1600" s="765"/>
      <c r="I1600" s="746" t="str">
        <f t="shared" si="73"/>
        <v/>
      </c>
      <c r="J1600" s="731"/>
      <c r="K1600" s="731" t="str">
        <f t="shared" si="72"/>
        <v/>
      </c>
      <c r="L1600" s="726"/>
      <c r="M1600" s="726"/>
      <c r="N1600" s="726"/>
      <c r="O1600" s="726"/>
      <c r="P1600" s="726"/>
      <c r="Q1600" s="726"/>
      <c r="R1600" s="726"/>
      <c r="S1600" s="726"/>
      <c r="T1600" s="726"/>
      <c r="U1600" s="726"/>
      <c r="V1600" s="726"/>
      <c r="W1600" s="726"/>
      <c r="X1600" s="726"/>
      <c r="Y1600" s="726"/>
      <c r="Z1600" s="726"/>
      <c r="AA1600" s="732"/>
      <c r="AB1600" s="732"/>
      <c r="AC1600" s="732"/>
      <c r="AD1600" s="732"/>
      <c r="AE1600" s="733"/>
      <c r="AF1600" s="734" t="str">
        <f t="shared" si="74"/>
        <v/>
      </c>
      <c r="AG1600" s="773"/>
    </row>
    <row r="1601" spans="1:64" ht="18.75" x14ac:dyDescent="0.25">
      <c r="A1601" s="758"/>
      <c r="B1601" s="737"/>
      <c r="C1601" s="730"/>
      <c r="D1601" s="739"/>
      <c r="E1601" s="765"/>
      <c r="F1601" s="765"/>
      <c r="G1601" s="765"/>
      <c r="H1601" s="765"/>
      <c r="I1601" s="746" t="str">
        <f t="shared" si="73"/>
        <v/>
      </c>
      <c r="J1601" s="731"/>
      <c r="K1601" s="731" t="str">
        <f t="shared" si="72"/>
        <v/>
      </c>
      <c r="L1601" s="726"/>
      <c r="M1601" s="726"/>
      <c r="N1601" s="726"/>
      <c r="O1601" s="726"/>
      <c r="P1601" s="726"/>
      <c r="Q1601" s="726"/>
      <c r="R1601" s="726"/>
      <c r="S1601" s="726"/>
      <c r="T1601" s="726"/>
      <c r="U1601" s="726"/>
      <c r="V1601" s="726"/>
      <c r="W1601" s="726"/>
      <c r="X1601" s="726"/>
      <c r="Y1601" s="726"/>
      <c r="Z1601" s="726"/>
      <c r="AA1601" s="732"/>
      <c r="AB1601" s="732"/>
      <c r="AC1601" s="732"/>
      <c r="AD1601" s="732"/>
      <c r="AE1601" s="733"/>
      <c r="AF1601" s="734" t="str">
        <f t="shared" si="74"/>
        <v/>
      </c>
      <c r="AG1601" s="773"/>
    </row>
    <row r="1602" spans="1:64" ht="18.75" x14ac:dyDescent="0.25">
      <c r="A1602" s="758"/>
      <c r="B1602" s="737"/>
      <c r="C1602" s="730"/>
      <c r="D1602" s="739"/>
      <c r="E1602" s="765"/>
      <c r="F1602" s="765"/>
      <c r="G1602" s="765"/>
      <c r="H1602" s="765"/>
      <c r="I1602" s="746" t="str">
        <f t="shared" si="73"/>
        <v/>
      </c>
      <c r="J1602" s="731"/>
      <c r="K1602" s="731" t="str">
        <f t="shared" si="72"/>
        <v/>
      </c>
      <c r="L1602" s="726"/>
      <c r="M1602" s="726"/>
      <c r="N1602" s="726"/>
      <c r="O1602" s="726"/>
      <c r="P1602" s="726"/>
      <c r="Q1602" s="726"/>
      <c r="R1602" s="726"/>
      <c r="S1602" s="726"/>
      <c r="T1602" s="726"/>
      <c r="U1602" s="726"/>
      <c r="V1602" s="726"/>
      <c r="W1602" s="726"/>
      <c r="X1602" s="726"/>
      <c r="Y1602" s="726"/>
      <c r="Z1602" s="726"/>
      <c r="AA1602" s="732"/>
      <c r="AB1602" s="732"/>
      <c r="AC1602" s="732"/>
      <c r="AD1602" s="732"/>
      <c r="AE1602" s="733"/>
      <c r="AF1602" s="734" t="str">
        <f t="shared" si="74"/>
        <v/>
      </c>
      <c r="AG1602" s="773"/>
    </row>
    <row r="1603" spans="1:64" ht="18.75" x14ac:dyDescent="0.25">
      <c r="A1603" s="758"/>
      <c r="B1603" s="737"/>
      <c r="C1603" s="730"/>
      <c r="D1603" s="739"/>
      <c r="E1603" s="765"/>
      <c r="F1603" s="765"/>
      <c r="G1603" s="765"/>
      <c r="H1603" s="765"/>
      <c r="I1603" s="746" t="str">
        <f t="shared" si="73"/>
        <v/>
      </c>
      <c r="J1603" s="731"/>
      <c r="K1603" s="731" t="str">
        <f t="shared" si="72"/>
        <v/>
      </c>
      <c r="L1603" s="726"/>
      <c r="M1603" s="726"/>
      <c r="N1603" s="726"/>
      <c r="O1603" s="726"/>
      <c r="P1603" s="726"/>
      <c r="Q1603" s="726"/>
      <c r="R1603" s="726"/>
      <c r="S1603" s="726"/>
      <c r="T1603" s="726"/>
      <c r="U1603" s="726"/>
      <c r="V1603" s="726"/>
      <c r="W1603" s="726"/>
      <c r="X1603" s="726"/>
      <c r="Y1603" s="726"/>
      <c r="Z1603" s="726"/>
      <c r="AA1603" s="732"/>
      <c r="AB1603" s="732"/>
      <c r="AC1603" s="732"/>
      <c r="AD1603" s="732"/>
      <c r="AE1603" s="733"/>
      <c r="AF1603" s="734" t="str">
        <f t="shared" si="74"/>
        <v/>
      </c>
      <c r="AG1603" s="773"/>
    </row>
    <row r="1604" spans="1:64" ht="18.75" x14ac:dyDescent="0.25">
      <c r="A1604" s="758"/>
      <c r="B1604" s="737"/>
      <c r="C1604" s="730"/>
      <c r="D1604" s="739"/>
      <c r="E1604" s="765"/>
      <c r="F1604" s="765"/>
      <c r="G1604" s="765"/>
      <c r="H1604" s="765"/>
      <c r="I1604" s="746" t="str">
        <f t="shared" si="73"/>
        <v/>
      </c>
      <c r="J1604" s="731"/>
      <c r="K1604" s="731" t="str">
        <f t="shared" ref="K1604:K1667" si="75">IF(AA1604-AE1604 = 0,"",AA1604-AE1604)</f>
        <v/>
      </c>
      <c r="L1604" s="726"/>
      <c r="M1604" s="726"/>
      <c r="N1604" s="726"/>
      <c r="O1604" s="726"/>
      <c r="P1604" s="726"/>
      <c r="Q1604" s="726"/>
      <c r="R1604" s="726"/>
      <c r="S1604" s="726"/>
      <c r="T1604" s="726"/>
      <c r="U1604" s="726"/>
      <c r="V1604" s="726"/>
      <c r="W1604" s="726"/>
      <c r="X1604" s="726"/>
      <c r="Y1604" s="726"/>
      <c r="Z1604" s="726"/>
      <c r="AA1604" s="732"/>
      <c r="AB1604" s="732"/>
      <c r="AC1604" s="732"/>
      <c r="AD1604" s="732"/>
      <c r="AE1604" s="733"/>
      <c r="AF1604" s="734" t="str">
        <f t="shared" si="74"/>
        <v/>
      </c>
      <c r="AG1604" s="775"/>
      <c r="AH1604" s="779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  <c r="AW1604" s="36"/>
      <c r="AX1604" s="36"/>
      <c r="AY1604" s="36"/>
      <c r="AZ1604" s="36"/>
      <c r="BA1604" s="36"/>
      <c r="BB1604" s="36"/>
      <c r="BC1604" s="36"/>
      <c r="BD1604" s="36"/>
      <c r="BE1604" s="36"/>
      <c r="BF1604" s="36"/>
      <c r="BG1604" s="36"/>
      <c r="BH1604" s="36"/>
      <c r="BI1604" s="36"/>
      <c r="BJ1604" s="36"/>
      <c r="BK1604" s="36"/>
      <c r="BL1604" s="36"/>
    </row>
    <row r="1605" spans="1:64" ht="18.75" x14ac:dyDescent="0.25">
      <c r="A1605" s="758"/>
      <c r="B1605" s="737"/>
      <c r="C1605" s="730"/>
      <c r="D1605" s="739"/>
      <c r="E1605" s="765"/>
      <c r="F1605" s="765"/>
      <c r="G1605" s="765"/>
      <c r="H1605" s="765"/>
      <c r="I1605" s="746" t="str">
        <f t="shared" ref="I1605:I1668" si="76">AF1605</f>
        <v/>
      </c>
      <c r="J1605" s="731"/>
      <c r="K1605" s="731" t="str">
        <f t="shared" si="75"/>
        <v/>
      </c>
      <c r="L1605" s="726"/>
      <c r="M1605" s="726"/>
      <c r="N1605" s="726"/>
      <c r="O1605" s="726"/>
      <c r="P1605" s="726"/>
      <c r="Q1605" s="726"/>
      <c r="R1605" s="726"/>
      <c r="S1605" s="726"/>
      <c r="T1605" s="726"/>
      <c r="U1605" s="726"/>
      <c r="V1605" s="726"/>
      <c r="W1605" s="726"/>
      <c r="X1605" s="726"/>
      <c r="Y1605" s="726"/>
      <c r="Z1605" s="726"/>
      <c r="AA1605" s="732"/>
      <c r="AB1605" s="732"/>
      <c r="AC1605" s="732"/>
      <c r="AD1605" s="732"/>
      <c r="AE1605" s="733"/>
      <c r="AF1605" s="734" t="str">
        <f t="shared" ref="AF1605:AF1668" si="77">IF(AE1605 &lt;&gt;"", AE1605/AA1605,"")</f>
        <v/>
      </c>
      <c r="AG1605" s="773"/>
    </row>
    <row r="1606" spans="1:64" ht="18.75" x14ac:dyDescent="0.25">
      <c r="A1606" s="758"/>
      <c r="B1606" s="737"/>
      <c r="C1606" s="730"/>
      <c r="D1606" s="739"/>
      <c r="E1606" s="765"/>
      <c r="F1606" s="765"/>
      <c r="G1606" s="765"/>
      <c r="H1606" s="765"/>
      <c r="I1606" s="746" t="str">
        <f t="shared" si="76"/>
        <v/>
      </c>
      <c r="J1606" s="731"/>
      <c r="K1606" s="731" t="str">
        <f t="shared" si="75"/>
        <v/>
      </c>
      <c r="L1606" s="726"/>
      <c r="M1606" s="726"/>
      <c r="N1606" s="726"/>
      <c r="O1606" s="726"/>
      <c r="P1606" s="726"/>
      <c r="Q1606" s="726"/>
      <c r="R1606" s="726"/>
      <c r="S1606" s="726"/>
      <c r="T1606" s="726"/>
      <c r="U1606" s="726"/>
      <c r="V1606" s="726"/>
      <c r="W1606" s="726"/>
      <c r="X1606" s="726"/>
      <c r="Y1606" s="726"/>
      <c r="Z1606" s="726"/>
      <c r="AA1606" s="732"/>
      <c r="AB1606" s="732"/>
      <c r="AC1606" s="732"/>
      <c r="AD1606" s="732"/>
      <c r="AE1606" s="733"/>
      <c r="AF1606" s="734" t="str">
        <f t="shared" si="77"/>
        <v/>
      </c>
      <c r="AG1606" s="773"/>
    </row>
    <row r="1607" spans="1:64" ht="18.75" x14ac:dyDescent="0.25">
      <c r="A1607" s="758"/>
      <c r="B1607" s="737"/>
      <c r="C1607" s="730"/>
      <c r="D1607" s="739"/>
      <c r="E1607" s="765"/>
      <c r="F1607" s="765"/>
      <c r="G1607" s="765"/>
      <c r="H1607" s="765"/>
      <c r="I1607" s="746" t="str">
        <f t="shared" si="76"/>
        <v/>
      </c>
      <c r="J1607" s="731"/>
      <c r="K1607" s="731" t="str">
        <f t="shared" si="75"/>
        <v/>
      </c>
      <c r="L1607" s="726"/>
      <c r="M1607" s="726"/>
      <c r="N1607" s="726"/>
      <c r="O1607" s="726"/>
      <c r="P1607" s="726"/>
      <c r="Q1607" s="726"/>
      <c r="R1607" s="726"/>
      <c r="S1607" s="726"/>
      <c r="T1607" s="726"/>
      <c r="U1607" s="726"/>
      <c r="V1607" s="726"/>
      <c r="W1607" s="726"/>
      <c r="X1607" s="726"/>
      <c r="Y1607" s="726"/>
      <c r="Z1607" s="726"/>
      <c r="AA1607" s="732"/>
      <c r="AB1607" s="732"/>
      <c r="AC1607" s="732"/>
      <c r="AD1607" s="732"/>
      <c r="AE1607" s="733"/>
      <c r="AF1607" s="734" t="str">
        <f t="shared" si="77"/>
        <v/>
      </c>
      <c r="AG1607" s="773"/>
    </row>
    <row r="1608" spans="1:64" ht="18.75" x14ac:dyDescent="0.25">
      <c r="A1608" s="758"/>
      <c r="B1608" s="737"/>
      <c r="C1608" s="730"/>
      <c r="D1608" s="739"/>
      <c r="E1608" s="765"/>
      <c r="F1608" s="765"/>
      <c r="G1608" s="765"/>
      <c r="H1608" s="765"/>
      <c r="I1608" s="746" t="str">
        <f t="shared" si="76"/>
        <v/>
      </c>
      <c r="J1608" s="731"/>
      <c r="K1608" s="731" t="str">
        <f t="shared" si="75"/>
        <v/>
      </c>
      <c r="L1608" s="726"/>
      <c r="M1608" s="726"/>
      <c r="N1608" s="726"/>
      <c r="O1608" s="726"/>
      <c r="P1608" s="726"/>
      <c r="Q1608" s="726"/>
      <c r="R1608" s="726"/>
      <c r="S1608" s="726"/>
      <c r="T1608" s="726"/>
      <c r="U1608" s="726"/>
      <c r="V1608" s="726"/>
      <c r="W1608" s="726"/>
      <c r="X1608" s="726"/>
      <c r="Y1608" s="726"/>
      <c r="Z1608" s="726"/>
      <c r="AA1608" s="732"/>
      <c r="AB1608" s="732"/>
      <c r="AC1608" s="732"/>
      <c r="AD1608" s="732"/>
      <c r="AE1608" s="733"/>
      <c r="AF1608" s="734" t="str">
        <f t="shared" si="77"/>
        <v/>
      </c>
      <c r="AG1608" s="773"/>
    </row>
    <row r="1609" spans="1:64" ht="18.75" x14ac:dyDescent="0.25">
      <c r="A1609" s="758"/>
      <c r="B1609" s="737"/>
      <c r="C1609" s="730"/>
      <c r="D1609" s="739"/>
      <c r="E1609" s="765"/>
      <c r="F1609" s="765"/>
      <c r="G1609" s="765"/>
      <c r="H1609" s="765"/>
      <c r="I1609" s="746" t="str">
        <f t="shared" si="76"/>
        <v/>
      </c>
      <c r="J1609" s="731"/>
      <c r="K1609" s="731" t="str">
        <f t="shared" si="75"/>
        <v/>
      </c>
      <c r="L1609" s="726"/>
      <c r="M1609" s="726"/>
      <c r="N1609" s="726"/>
      <c r="O1609" s="726"/>
      <c r="P1609" s="726"/>
      <c r="Q1609" s="726"/>
      <c r="R1609" s="726"/>
      <c r="S1609" s="726"/>
      <c r="T1609" s="726"/>
      <c r="U1609" s="726"/>
      <c r="V1609" s="726"/>
      <c r="W1609" s="726"/>
      <c r="X1609" s="726"/>
      <c r="Y1609" s="726"/>
      <c r="Z1609" s="726"/>
      <c r="AA1609" s="732"/>
      <c r="AB1609" s="732"/>
      <c r="AC1609" s="732"/>
      <c r="AD1609" s="732"/>
      <c r="AE1609" s="733"/>
      <c r="AF1609" s="734" t="str">
        <f t="shared" si="77"/>
        <v/>
      </c>
      <c r="AG1609" s="773"/>
    </row>
    <row r="1610" spans="1:64" ht="19.5" customHeight="1" x14ac:dyDescent="0.25">
      <c r="A1610" s="758"/>
      <c r="B1610" s="737"/>
      <c r="C1610" s="730"/>
      <c r="D1610" s="739"/>
      <c r="E1610" s="765"/>
      <c r="F1610" s="765"/>
      <c r="G1610" s="765"/>
      <c r="H1610" s="765"/>
      <c r="I1610" s="746" t="str">
        <f t="shared" si="76"/>
        <v/>
      </c>
      <c r="J1610" s="731"/>
      <c r="K1610" s="731" t="str">
        <f t="shared" si="75"/>
        <v/>
      </c>
      <c r="L1610" s="726"/>
      <c r="M1610" s="726"/>
      <c r="N1610" s="726"/>
      <c r="O1610" s="726"/>
      <c r="P1610" s="726"/>
      <c r="Q1610" s="726"/>
      <c r="R1610" s="726"/>
      <c r="S1610" s="726"/>
      <c r="T1610" s="726"/>
      <c r="U1610" s="726"/>
      <c r="V1610" s="726"/>
      <c r="W1610" s="726"/>
      <c r="X1610" s="726"/>
      <c r="Y1610" s="726"/>
      <c r="Z1610" s="726"/>
      <c r="AA1610" s="732"/>
      <c r="AB1610" s="732"/>
      <c r="AC1610" s="732"/>
      <c r="AD1610" s="732"/>
      <c r="AE1610" s="733"/>
      <c r="AF1610" s="734" t="str">
        <f t="shared" si="77"/>
        <v/>
      </c>
      <c r="AG1610" s="775"/>
      <c r="AH1610" s="779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36"/>
      <c r="BD1610" s="36"/>
      <c r="BE1610" s="36"/>
      <c r="BF1610" s="36"/>
      <c r="BG1610" s="36"/>
      <c r="BH1610" s="36"/>
      <c r="BI1610" s="36"/>
      <c r="BJ1610" s="36"/>
      <c r="BK1610" s="36"/>
      <c r="BL1610" s="36"/>
    </row>
    <row r="1611" spans="1:64" ht="19.5" customHeight="1" x14ac:dyDescent="0.25">
      <c r="A1611" s="758"/>
      <c r="B1611" s="737"/>
      <c r="C1611" s="730"/>
      <c r="D1611" s="739"/>
      <c r="E1611" s="765"/>
      <c r="F1611" s="765"/>
      <c r="G1611" s="765"/>
      <c r="H1611" s="765"/>
      <c r="I1611" s="746" t="str">
        <f t="shared" si="76"/>
        <v/>
      </c>
      <c r="J1611" s="731"/>
      <c r="K1611" s="731" t="str">
        <f t="shared" si="75"/>
        <v/>
      </c>
      <c r="L1611" s="726"/>
      <c r="M1611" s="726"/>
      <c r="N1611" s="726"/>
      <c r="O1611" s="726"/>
      <c r="P1611" s="726"/>
      <c r="Q1611" s="726"/>
      <c r="R1611" s="726"/>
      <c r="S1611" s="726"/>
      <c r="T1611" s="726"/>
      <c r="U1611" s="726"/>
      <c r="V1611" s="726"/>
      <c r="W1611" s="726"/>
      <c r="X1611" s="726"/>
      <c r="Y1611" s="726"/>
      <c r="Z1611" s="726"/>
      <c r="AA1611" s="732"/>
      <c r="AB1611" s="732"/>
      <c r="AC1611" s="732"/>
      <c r="AD1611" s="732"/>
      <c r="AE1611" s="733"/>
      <c r="AF1611" s="734" t="str">
        <f t="shared" si="77"/>
        <v/>
      </c>
      <c r="AG1611" s="775"/>
      <c r="AH1611" s="779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36"/>
      <c r="BD1611" s="36"/>
      <c r="BE1611" s="36"/>
      <c r="BF1611" s="36"/>
      <c r="BG1611" s="36"/>
      <c r="BH1611" s="36"/>
      <c r="BI1611" s="36"/>
      <c r="BJ1611" s="36"/>
      <c r="BK1611" s="36"/>
      <c r="BL1611" s="36"/>
    </row>
    <row r="1612" spans="1:64" ht="18.75" x14ac:dyDescent="0.25">
      <c r="A1612" s="758"/>
      <c r="B1612" s="737"/>
      <c r="C1612" s="730"/>
      <c r="D1612" s="739"/>
      <c r="E1612" s="765"/>
      <c r="F1612" s="765"/>
      <c r="G1612" s="765"/>
      <c r="H1612" s="765"/>
      <c r="I1612" s="746" t="str">
        <f t="shared" si="76"/>
        <v/>
      </c>
      <c r="J1612" s="731"/>
      <c r="K1612" s="731" t="str">
        <f t="shared" si="75"/>
        <v/>
      </c>
      <c r="L1612" s="726"/>
      <c r="M1612" s="726"/>
      <c r="N1612" s="726"/>
      <c r="O1612" s="726"/>
      <c r="P1612" s="726"/>
      <c r="Q1612" s="726"/>
      <c r="R1612" s="726"/>
      <c r="S1612" s="726"/>
      <c r="T1612" s="726"/>
      <c r="U1612" s="726"/>
      <c r="V1612" s="726"/>
      <c r="W1612" s="726"/>
      <c r="X1612" s="726"/>
      <c r="Y1612" s="726"/>
      <c r="Z1612" s="726"/>
      <c r="AA1612" s="732"/>
      <c r="AB1612" s="732"/>
      <c r="AC1612" s="732"/>
      <c r="AD1612" s="732"/>
      <c r="AE1612" s="733"/>
      <c r="AF1612" s="734" t="str">
        <f t="shared" si="77"/>
        <v/>
      </c>
      <c r="AG1612" s="773"/>
    </row>
    <row r="1613" spans="1:64" ht="18.75" x14ac:dyDescent="0.25">
      <c r="A1613" s="758"/>
      <c r="B1613" s="737"/>
      <c r="C1613" s="730"/>
      <c r="D1613" s="739"/>
      <c r="E1613" s="765"/>
      <c r="F1613" s="765"/>
      <c r="G1613" s="765"/>
      <c r="H1613" s="765"/>
      <c r="I1613" s="746" t="str">
        <f t="shared" si="76"/>
        <v/>
      </c>
      <c r="J1613" s="731"/>
      <c r="K1613" s="731" t="str">
        <f t="shared" si="75"/>
        <v/>
      </c>
      <c r="L1613" s="726"/>
      <c r="M1613" s="726"/>
      <c r="N1613" s="726"/>
      <c r="O1613" s="726"/>
      <c r="P1613" s="726"/>
      <c r="Q1613" s="726"/>
      <c r="R1613" s="726"/>
      <c r="S1613" s="726"/>
      <c r="T1613" s="726"/>
      <c r="U1613" s="726"/>
      <c r="V1613" s="726"/>
      <c r="W1613" s="726"/>
      <c r="X1613" s="726"/>
      <c r="Y1613" s="726"/>
      <c r="Z1613" s="726"/>
      <c r="AA1613" s="732"/>
      <c r="AB1613" s="732"/>
      <c r="AC1613" s="732"/>
      <c r="AD1613" s="732"/>
      <c r="AE1613" s="733"/>
      <c r="AF1613" s="734" t="str">
        <f t="shared" si="77"/>
        <v/>
      </c>
      <c r="AG1613" s="773"/>
    </row>
    <row r="1614" spans="1:64" ht="18.75" x14ac:dyDescent="0.25">
      <c r="A1614" s="758"/>
      <c r="B1614" s="737"/>
      <c r="C1614" s="730"/>
      <c r="D1614" s="739"/>
      <c r="E1614" s="765"/>
      <c r="F1614" s="765"/>
      <c r="G1614" s="765"/>
      <c r="H1614" s="765"/>
      <c r="I1614" s="746" t="str">
        <f t="shared" si="76"/>
        <v/>
      </c>
      <c r="J1614" s="731"/>
      <c r="K1614" s="731" t="str">
        <f t="shared" si="75"/>
        <v/>
      </c>
      <c r="L1614" s="726"/>
      <c r="M1614" s="726"/>
      <c r="N1614" s="726"/>
      <c r="O1614" s="726"/>
      <c r="P1614" s="726"/>
      <c r="Q1614" s="726"/>
      <c r="R1614" s="726"/>
      <c r="S1614" s="726"/>
      <c r="T1614" s="726"/>
      <c r="U1614" s="726"/>
      <c r="V1614" s="726"/>
      <c r="W1614" s="726"/>
      <c r="X1614" s="726"/>
      <c r="Y1614" s="726"/>
      <c r="Z1614" s="726"/>
      <c r="AA1614" s="732"/>
      <c r="AB1614" s="732"/>
      <c r="AC1614" s="732"/>
      <c r="AD1614" s="732"/>
      <c r="AE1614" s="733"/>
      <c r="AF1614" s="734" t="str">
        <f t="shared" si="77"/>
        <v/>
      </c>
      <c r="AG1614" s="773"/>
    </row>
    <row r="1615" spans="1:64" ht="18.75" x14ac:dyDescent="0.25">
      <c r="A1615" s="758"/>
      <c r="B1615" s="737"/>
      <c r="C1615" s="730"/>
      <c r="D1615" s="739"/>
      <c r="E1615" s="765"/>
      <c r="F1615" s="765"/>
      <c r="G1615" s="765"/>
      <c r="H1615" s="765"/>
      <c r="I1615" s="746" t="str">
        <f t="shared" si="76"/>
        <v/>
      </c>
      <c r="J1615" s="731"/>
      <c r="K1615" s="731" t="str">
        <f t="shared" si="75"/>
        <v/>
      </c>
      <c r="L1615" s="726"/>
      <c r="M1615" s="726"/>
      <c r="N1615" s="726"/>
      <c r="O1615" s="726"/>
      <c r="P1615" s="726"/>
      <c r="Q1615" s="726"/>
      <c r="R1615" s="726"/>
      <c r="S1615" s="726"/>
      <c r="T1615" s="726"/>
      <c r="U1615" s="726"/>
      <c r="V1615" s="726"/>
      <c r="W1615" s="726"/>
      <c r="X1615" s="726"/>
      <c r="Y1615" s="726"/>
      <c r="Z1615" s="726"/>
      <c r="AA1615" s="732"/>
      <c r="AB1615" s="732"/>
      <c r="AC1615" s="732"/>
      <c r="AD1615" s="732"/>
      <c r="AE1615" s="733"/>
      <c r="AF1615" s="734" t="str">
        <f t="shared" si="77"/>
        <v/>
      </c>
      <c r="AG1615" s="773"/>
    </row>
    <row r="1616" spans="1:64" ht="18.75" x14ac:dyDescent="0.25">
      <c r="A1616" s="758"/>
      <c r="B1616" s="737"/>
      <c r="C1616" s="730"/>
      <c r="D1616" s="739"/>
      <c r="E1616" s="765"/>
      <c r="F1616" s="765"/>
      <c r="G1616" s="765"/>
      <c r="H1616" s="765"/>
      <c r="I1616" s="746" t="str">
        <f t="shared" si="76"/>
        <v/>
      </c>
      <c r="J1616" s="731"/>
      <c r="K1616" s="731" t="str">
        <f t="shared" si="75"/>
        <v/>
      </c>
      <c r="L1616" s="726"/>
      <c r="M1616" s="726"/>
      <c r="N1616" s="726"/>
      <c r="O1616" s="726"/>
      <c r="P1616" s="726"/>
      <c r="Q1616" s="726"/>
      <c r="R1616" s="726"/>
      <c r="S1616" s="726"/>
      <c r="T1616" s="726"/>
      <c r="U1616" s="726"/>
      <c r="V1616" s="726"/>
      <c r="W1616" s="726"/>
      <c r="X1616" s="726"/>
      <c r="Y1616" s="726"/>
      <c r="Z1616" s="726"/>
      <c r="AA1616" s="732"/>
      <c r="AB1616" s="732"/>
      <c r="AC1616" s="732"/>
      <c r="AD1616" s="732"/>
      <c r="AE1616" s="733"/>
      <c r="AF1616" s="734" t="str">
        <f t="shared" si="77"/>
        <v/>
      </c>
      <c r="AG1616" s="773"/>
    </row>
    <row r="1617" spans="1:64" ht="18.75" x14ac:dyDescent="0.25">
      <c r="A1617" s="758"/>
      <c r="B1617" s="737"/>
      <c r="C1617" s="730"/>
      <c r="D1617" s="739"/>
      <c r="E1617" s="765"/>
      <c r="F1617" s="765"/>
      <c r="G1617" s="765"/>
      <c r="H1617" s="765"/>
      <c r="I1617" s="746" t="str">
        <f t="shared" si="76"/>
        <v/>
      </c>
      <c r="J1617" s="731"/>
      <c r="K1617" s="731" t="str">
        <f t="shared" si="75"/>
        <v/>
      </c>
      <c r="L1617" s="726"/>
      <c r="M1617" s="726"/>
      <c r="N1617" s="726"/>
      <c r="O1617" s="726"/>
      <c r="P1617" s="726"/>
      <c r="Q1617" s="726"/>
      <c r="R1617" s="726"/>
      <c r="S1617" s="726"/>
      <c r="T1617" s="726"/>
      <c r="U1617" s="726"/>
      <c r="V1617" s="726"/>
      <c r="W1617" s="726"/>
      <c r="X1617" s="726"/>
      <c r="Y1617" s="726"/>
      <c r="Z1617" s="726"/>
      <c r="AA1617" s="732"/>
      <c r="AB1617" s="732"/>
      <c r="AC1617" s="732"/>
      <c r="AD1617" s="732"/>
      <c r="AE1617" s="733"/>
      <c r="AF1617" s="734" t="str">
        <f t="shared" si="77"/>
        <v/>
      </c>
      <c r="AG1617" s="773"/>
    </row>
    <row r="1618" spans="1:64" ht="18.75" x14ac:dyDescent="0.25">
      <c r="A1618" s="758"/>
      <c r="B1618" s="737"/>
      <c r="C1618" s="730"/>
      <c r="D1618" s="739"/>
      <c r="E1618" s="765"/>
      <c r="F1618" s="765"/>
      <c r="G1618" s="765"/>
      <c r="H1618" s="765"/>
      <c r="I1618" s="746" t="str">
        <f t="shared" si="76"/>
        <v/>
      </c>
      <c r="J1618" s="731"/>
      <c r="K1618" s="731" t="str">
        <f t="shared" si="75"/>
        <v/>
      </c>
      <c r="L1618" s="726"/>
      <c r="M1618" s="726"/>
      <c r="N1618" s="726"/>
      <c r="O1618" s="726"/>
      <c r="P1618" s="726"/>
      <c r="Q1618" s="726"/>
      <c r="R1618" s="726"/>
      <c r="S1618" s="726"/>
      <c r="T1618" s="726"/>
      <c r="U1618" s="726"/>
      <c r="V1618" s="726"/>
      <c r="W1618" s="726"/>
      <c r="X1618" s="726"/>
      <c r="Y1618" s="726"/>
      <c r="Z1618" s="726"/>
      <c r="AA1618" s="732"/>
      <c r="AB1618" s="732"/>
      <c r="AC1618" s="732"/>
      <c r="AD1618" s="732"/>
      <c r="AE1618" s="733"/>
      <c r="AF1618" s="734" t="str">
        <f t="shared" si="77"/>
        <v/>
      </c>
      <c r="AG1618" s="775"/>
      <c r="AH1618" s="779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  <c r="AW1618" s="36"/>
      <c r="AX1618" s="36"/>
      <c r="AY1618" s="36"/>
      <c r="AZ1618" s="36"/>
      <c r="BA1618" s="36"/>
      <c r="BB1618" s="36"/>
      <c r="BC1618" s="36"/>
      <c r="BD1618" s="36"/>
      <c r="BE1618" s="36"/>
      <c r="BF1618" s="36"/>
      <c r="BG1618" s="36"/>
      <c r="BH1618" s="36"/>
      <c r="BI1618" s="36"/>
      <c r="BJ1618" s="36"/>
      <c r="BK1618" s="36"/>
      <c r="BL1618" s="36"/>
    </row>
    <row r="1619" spans="1:64" ht="18.75" x14ac:dyDescent="0.25">
      <c r="A1619" s="758"/>
      <c r="B1619" s="737"/>
      <c r="C1619" s="730"/>
      <c r="D1619" s="739"/>
      <c r="E1619" s="765"/>
      <c r="F1619" s="765"/>
      <c r="G1619" s="765"/>
      <c r="H1619" s="765"/>
      <c r="I1619" s="746" t="str">
        <f t="shared" si="76"/>
        <v/>
      </c>
      <c r="J1619" s="731"/>
      <c r="K1619" s="731" t="str">
        <f t="shared" si="75"/>
        <v/>
      </c>
      <c r="L1619" s="726"/>
      <c r="M1619" s="726"/>
      <c r="N1619" s="726"/>
      <c r="O1619" s="726"/>
      <c r="P1619" s="726"/>
      <c r="Q1619" s="726"/>
      <c r="R1619" s="726"/>
      <c r="S1619" s="726"/>
      <c r="T1619" s="726"/>
      <c r="U1619" s="726"/>
      <c r="V1619" s="726"/>
      <c r="W1619" s="726"/>
      <c r="X1619" s="726"/>
      <c r="Y1619" s="726"/>
      <c r="Z1619" s="726"/>
      <c r="AA1619" s="732"/>
      <c r="AB1619" s="732"/>
      <c r="AC1619" s="732"/>
      <c r="AD1619" s="732"/>
      <c r="AE1619" s="733"/>
      <c r="AF1619" s="734" t="str">
        <f t="shared" si="77"/>
        <v/>
      </c>
      <c r="AG1619" s="773"/>
    </row>
    <row r="1620" spans="1:64" ht="18.75" x14ac:dyDescent="0.25">
      <c r="A1620" s="758"/>
      <c r="B1620" s="737"/>
      <c r="C1620" s="730"/>
      <c r="D1620" s="739"/>
      <c r="E1620" s="765"/>
      <c r="F1620" s="765"/>
      <c r="G1620" s="765"/>
      <c r="H1620" s="765"/>
      <c r="I1620" s="746" t="str">
        <f t="shared" si="76"/>
        <v/>
      </c>
      <c r="J1620" s="731"/>
      <c r="K1620" s="731" t="str">
        <f t="shared" si="75"/>
        <v/>
      </c>
      <c r="L1620" s="726"/>
      <c r="M1620" s="726"/>
      <c r="N1620" s="726"/>
      <c r="O1620" s="726"/>
      <c r="P1620" s="726"/>
      <c r="Q1620" s="726"/>
      <c r="R1620" s="726"/>
      <c r="S1620" s="726"/>
      <c r="T1620" s="726"/>
      <c r="U1620" s="726"/>
      <c r="V1620" s="726"/>
      <c r="W1620" s="726"/>
      <c r="X1620" s="726"/>
      <c r="Y1620" s="726"/>
      <c r="Z1620" s="726"/>
      <c r="AA1620" s="732"/>
      <c r="AB1620" s="732"/>
      <c r="AC1620" s="732"/>
      <c r="AD1620" s="732"/>
      <c r="AE1620" s="733"/>
      <c r="AF1620" s="734" t="str">
        <f t="shared" si="77"/>
        <v/>
      </c>
      <c r="AG1620" s="773"/>
    </row>
    <row r="1621" spans="1:64" ht="18.75" x14ac:dyDescent="0.25">
      <c r="A1621" s="758"/>
      <c r="B1621" s="737"/>
      <c r="C1621" s="730"/>
      <c r="D1621" s="739"/>
      <c r="E1621" s="765"/>
      <c r="F1621" s="765"/>
      <c r="G1621" s="765"/>
      <c r="H1621" s="765"/>
      <c r="I1621" s="746" t="str">
        <f t="shared" si="76"/>
        <v/>
      </c>
      <c r="J1621" s="731"/>
      <c r="K1621" s="731" t="str">
        <f t="shared" si="75"/>
        <v/>
      </c>
      <c r="L1621" s="726"/>
      <c r="M1621" s="726"/>
      <c r="N1621" s="726"/>
      <c r="O1621" s="726"/>
      <c r="P1621" s="726"/>
      <c r="Q1621" s="726"/>
      <c r="R1621" s="726"/>
      <c r="S1621" s="726"/>
      <c r="T1621" s="726"/>
      <c r="U1621" s="726"/>
      <c r="V1621" s="726"/>
      <c r="W1621" s="726"/>
      <c r="X1621" s="726"/>
      <c r="Y1621" s="726"/>
      <c r="Z1621" s="726"/>
      <c r="AA1621" s="732"/>
      <c r="AB1621" s="732"/>
      <c r="AC1621" s="732"/>
      <c r="AD1621" s="732"/>
      <c r="AE1621" s="733"/>
      <c r="AF1621" s="734" t="str">
        <f t="shared" si="77"/>
        <v/>
      </c>
      <c r="AG1621" s="773"/>
    </row>
    <row r="1622" spans="1:64" ht="18.75" x14ac:dyDescent="0.25">
      <c r="A1622" s="758"/>
      <c r="B1622" s="737"/>
      <c r="C1622" s="730"/>
      <c r="D1622" s="739"/>
      <c r="E1622" s="765"/>
      <c r="F1622" s="765"/>
      <c r="G1622" s="765"/>
      <c r="H1622" s="765"/>
      <c r="I1622" s="746" t="str">
        <f t="shared" si="76"/>
        <v/>
      </c>
      <c r="J1622" s="731"/>
      <c r="K1622" s="731" t="str">
        <f t="shared" si="75"/>
        <v/>
      </c>
      <c r="L1622" s="726"/>
      <c r="M1622" s="726"/>
      <c r="N1622" s="726"/>
      <c r="O1622" s="726"/>
      <c r="P1622" s="726"/>
      <c r="Q1622" s="726"/>
      <c r="R1622" s="726"/>
      <c r="S1622" s="726"/>
      <c r="T1622" s="726"/>
      <c r="U1622" s="726"/>
      <c r="V1622" s="726"/>
      <c r="W1622" s="726"/>
      <c r="X1622" s="726"/>
      <c r="Y1622" s="726"/>
      <c r="Z1622" s="726"/>
      <c r="AA1622" s="732"/>
      <c r="AB1622" s="732"/>
      <c r="AC1622" s="732"/>
      <c r="AD1622" s="732"/>
      <c r="AE1622" s="733"/>
      <c r="AF1622" s="734" t="str">
        <f t="shared" si="77"/>
        <v/>
      </c>
      <c r="AG1622" s="773"/>
    </row>
    <row r="1623" spans="1:64" ht="18.75" x14ac:dyDescent="0.25">
      <c r="A1623" s="758"/>
      <c r="B1623" s="737"/>
      <c r="C1623" s="730"/>
      <c r="D1623" s="739"/>
      <c r="E1623" s="765"/>
      <c r="F1623" s="765"/>
      <c r="G1623" s="765"/>
      <c r="H1623" s="765"/>
      <c r="I1623" s="746" t="str">
        <f t="shared" si="76"/>
        <v/>
      </c>
      <c r="J1623" s="731"/>
      <c r="K1623" s="731" t="str">
        <f t="shared" si="75"/>
        <v/>
      </c>
      <c r="L1623" s="726"/>
      <c r="M1623" s="726"/>
      <c r="N1623" s="726"/>
      <c r="O1623" s="726"/>
      <c r="P1623" s="726"/>
      <c r="Q1623" s="726"/>
      <c r="R1623" s="726"/>
      <c r="S1623" s="726"/>
      <c r="T1623" s="726"/>
      <c r="U1623" s="726"/>
      <c r="V1623" s="726"/>
      <c r="W1623" s="726"/>
      <c r="X1623" s="726"/>
      <c r="Y1623" s="726"/>
      <c r="Z1623" s="726"/>
      <c r="AA1623" s="732"/>
      <c r="AB1623" s="732"/>
      <c r="AC1623" s="732"/>
      <c r="AD1623" s="732"/>
      <c r="AE1623" s="733"/>
      <c r="AF1623" s="734" t="str">
        <f t="shared" si="77"/>
        <v/>
      </c>
      <c r="AG1623" s="773"/>
    </row>
    <row r="1624" spans="1:64" ht="18.75" x14ac:dyDescent="0.25">
      <c r="A1624" s="758"/>
      <c r="B1624" s="737"/>
      <c r="C1624" s="730"/>
      <c r="D1624" s="739"/>
      <c r="E1624" s="765"/>
      <c r="F1624" s="765"/>
      <c r="G1624" s="765"/>
      <c r="H1624" s="765"/>
      <c r="I1624" s="746" t="str">
        <f t="shared" si="76"/>
        <v/>
      </c>
      <c r="J1624" s="731"/>
      <c r="K1624" s="731" t="str">
        <f t="shared" si="75"/>
        <v/>
      </c>
      <c r="L1624" s="726"/>
      <c r="M1624" s="726"/>
      <c r="N1624" s="726"/>
      <c r="O1624" s="726"/>
      <c r="P1624" s="726"/>
      <c r="Q1624" s="726"/>
      <c r="R1624" s="726"/>
      <c r="S1624" s="726"/>
      <c r="T1624" s="726"/>
      <c r="U1624" s="726"/>
      <c r="V1624" s="726"/>
      <c r="W1624" s="726"/>
      <c r="X1624" s="726"/>
      <c r="Y1624" s="726"/>
      <c r="Z1624" s="726"/>
      <c r="AA1624" s="732"/>
      <c r="AB1624" s="732"/>
      <c r="AC1624" s="732"/>
      <c r="AD1624" s="732"/>
      <c r="AE1624" s="733"/>
      <c r="AF1624" s="734" t="str">
        <f t="shared" si="77"/>
        <v/>
      </c>
      <c r="AG1624" s="773"/>
    </row>
    <row r="1625" spans="1:64" ht="19.5" customHeight="1" x14ac:dyDescent="0.25">
      <c r="A1625" s="758"/>
      <c r="B1625" s="737"/>
      <c r="C1625" s="730"/>
      <c r="D1625" s="739"/>
      <c r="E1625" s="765"/>
      <c r="F1625" s="765"/>
      <c r="G1625" s="765"/>
      <c r="H1625" s="765"/>
      <c r="I1625" s="746" t="str">
        <f t="shared" si="76"/>
        <v/>
      </c>
      <c r="J1625" s="731"/>
      <c r="K1625" s="731" t="str">
        <f t="shared" si="75"/>
        <v/>
      </c>
      <c r="L1625" s="726"/>
      <c r="M1625" s="726"/>
      <c r="N1625" s="726"/>
      <c r="O1625" s="726"/>
      <c r="P1625" s="726"/>
      <c r="Q1625" s="726"/>
      <c r="R1625" s="726"/>
      <c r="S1625" s="726"/>
      <c r="T1625" s="726"/>
      <c r="U1625" s="726"/>
      <c r="V1625" s="726"/>
      <c r="W1625" s="726"/>
      <c r="X1625" s="726"/>
      <c r="Y1625" s="726"/>
      <c r="Z1625" s="726"/>
      <c r="AA1625" s="732"/>
      <c r="AB1625" s="732"/>
      <c r="AC1625" s="732"/>
      <c r="AD1625" s="732"/>
      <c r="AE1625" s="733"/>
      <c r="AF1625" s="734" t="str">
        <f t="shared" si="77"/>
        <v/>
      </c>
      <c r="AG1625" s="775"/>
      <c r="AH1625" s="779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  <c r="AW1625" s="36"/>
      <c r="AX1625" s="36"/>
      <c r="AY1625" s="36"/>
      <c r="AZ1625" s="36"/>
      <c r="BA1625" s="36"/>
      <c r="BB1625" s="36"/>
      <c r="BC1625" s="36"/>
      <c r="BD1625" s="36"/>
      <c r="BE1625" s="36"/>
      <c r="BF1625" s="36"/>
      <c r="BG1625" s="36"/>
      <c r="BH1625" s="36"/>
      <c r="BI1625" s="36"/>
      <c r="BJ1625" s="36"/>
      <c r="BK1625" s="36"/>
      <c r="BL1625" s="36"/>
    </row>
    <row r="1626" spans="1:64" ht="19.5" customHeight="1" x14ac:dyDescent="0.25">
      <c r="A1626" s="758"/>
      <c r="B1626" s="737"/>
      <c r="C1626" s="730"/>
      <c r="D1626" s="739"/>
      <c r="E1626" s="765"/>
      <c r="F1626" s="765"/>
      <c r="G1626" s="765"/>
      <c r="H1626" s="765"/>
      <c r="I1626" s="746" t="str">
        <f t="shared" si="76"/>
        <v/>
      </c>
      <c r="J1626" s="731"/>
      <c r="K1626" s="731" t="str">
        <f t="shared" si="75"/>
        <v/>
      </c>
      <c r="L1626" s="726"/>
      <c r="M1626" s="726"/>
      <c r="N1626" s="726"/>
      <c r="O1626" s="726"/>
      <c r="P1626" s="726"/>
      <c r="Q1626" s="726"/>
      <c r="R1626" s="726"/>
      <c r="S1626" s="726"/>
      <c r="T1626" s="726"/>
      <c r="U1626" s="726"/>
      <c r="V1626" s="726"/>
      <c r="W1626" s="726"/>
      <c r="X1626" s="726"/>
      <c r="Y1626" s="726"/>
      <c r="Z1626" s="726"/>
      <c r="AA1626" s="732"/>
      <c r="AB1626" s="732"/>
      <c r="AC1626" s="732"/>
      <c r="AD1626" s="732"/>
      <c r="AE1626" s="733"/>
      <c r="AF1626" s="734" t="str">
        <f t="shared" si="77"/>
        <v/>
      </c>
      <c r="AG1626" s="775"/>
      <c r="AH1626" s="779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  <c r="AW1626" s="36"/>
      <c r="AX1626" s="36"/>
      <c r="AY1626" s="36"/>
      <c r="AZ1626" s="36"/>
      <c r="BA1626" s="36"/>
      <c r="BB1626" s="36"/>
      <c r="BC1626" s="36"/>
      <c r="BD1626" s="36"/>
      <c r="BE1626" s="36"/>
      <c r="BF1626" s="36"/>
      <c r="BG1626" s="36"/>
      <c r="BH1626" s="36"/>
      <c r="BI1626" s="36"/>
      <c r="BJ1626" s="36"/>
      <c r="BK1626" s="36"/>
      <c r="BL1626" s="36"/>
    </row>
    <row r="1627" spans="1:64" ht="18.75" x14ac:dyDescent="0.25">
      <c r="A1627" s="758"/>
      <c r="B1627" s="737"/>
      <c r="C1627" s="730"/>
      <c r="D1627" s="739"/>
      <c r="E1627" s="765"/>
      <c r="F1627" s="765"/>
      <c r="G1627" s="765"/>
      <c r="H1627" s="765"/>
      <c r="I1627" s="746" t="str">
        <f t="shared" si="76"/>
        <v/>
      </c>
      <c r="J1627" s="731"/>
      <c r="K1627" s="731" t="str">
        <f t="shared" si="75"/>
        <v/>
      </c>
      <c r="L1627" s="726"/>
      <c r="M1627" s="726"/>
      <c r="N1627" s="726"/>
      <c r="O1627" s="726"/>
      <c r="P1627" s="726"/>
      <c r="Q1627" s="726"/>
      <c r="R1627" s="726"/>
      <c r="S1627" s="726"/>
      <c r="T1627" s="726"/>
      <c r="U1627" s="726"/>
      <c r="V1627" s="726"/>
      <c r="W1627" s="726"/>
      <c r="X1627" s="726"/>
      <c r="Y1627" s="726"/>
      <c r="Z1627" s="726"/>
      <c r="AA1627" s="732"/>
      <c r="AB1627" s="732"/>
      <c r="AC1627" s="732"/>
      <c r="AD1627" s="732"/>
      <c r="AE1627" s="733"/>
      <c r="AF1627" s="734" t="str">
        <f t="shared" si="77"/>
        <v/>
      </c>
      <c r="AG1627" s="773"/>
    </row>
    <row r="1628" spans="1:64" ht="18.75" x14ac:dyDescent="0.25">
      <c r="A1628" s="758"/>
      <c r="B1628" s="737"/>
      <c r="C1628" s="730"/>
      <c r="D1628" s="739"/>
      <c r="E1628" s="765"/>
      <c r="F1628" s="765"/>
      <c r="G1628" s="765"/>
      <c r="H1628" s="765"/>
      <c r="I1628" s="746" t="str">
        <f t="shared" si="76"/>
        <v/>
      </c>
      <c r="J1628" s="731"/>
      <c r="K1628" s="731" t="str">
        <f t="shared" si="75"/>
        <v/>
      </c>
      <c r="L1628" s="726"/>
      <c r="M1628" s="726"/>
      <c r="N1628" s="726"/>
      <c r="O1628" s="726"/>
      <c r="P1628" s="726"/>
      <c r="Q1628" s="726"/>
      <c r="R1628" s="726"/>
      <c r="S1628" s="726"/>
      <c r="T1628" s="726"/>
      <c r="U1628" s="726"/>
      <c r="V1628" s="726"/>
      <c r="W1628" s="726"/>
      <c r="X1628" s="726"/>
      <c r="Y1628" s="726"/>
      <c r="Z1628" s="726"/>
      <c r="AA1628" s="732"/>
      <c r="AB1628" s="732"/>
      <c r="AC1628" s="732"/>
      <c r="AD1628" s="732"/>
      <c r="AE1628" s="733"/>
      <c r="AF1628" s="734" t="str">
        <f t="shared" si="77"/>
        <v/>
      </c>
      <c r="AG1628" s="773"/>
    </row>
    <row r="1629" spans="1:64" ht="18.75" x14ac:dyDescent="0.25">
      <c r="A1629" s="758"/>
      <c r="B1629" s="737"/>
      <c r="C1629" s="730"/>
      <c r="D1629" s="739"/>
      <c r="E1629" s="765"/>
      <c r="F1629" s="765"/>
      <c r="G1629" s="765"/>
      <c r="H1629" s="765"/>
      <c r="I1629" s="746" t="str">
        <f t="shared" si="76"/>
        <v/>
      </c>
      <c r="J1629" s="731"/>
      <c r="K1629" s="731" t="str">
        <f t="shared" si="75"/>
        <v/>
      </c>
      <c r="L1629" s="726"/>
      <c r="M1629" s="726"/>
      <c r="N1629" s="726"/>
      <c r="O1629" s="726"/>
      <c r="P1629" s="726"/>
      <c r="Q1629" s="726"/>
      <c r="R1629" s="726"/>
      <c r="S1629" s="726"/>
      <c r="T1629" s="726"/>
      <c r="U1629" s="726"/>
      <c r="V1629" s="726"/>
      <c r="W1629" s="726"/>
      <c r="X1629" s="726"/>
      <c r="Y1629" s="726"/>
      <c r="Z1629" s="726"/>
      <c r="AA1629" s="732"/>
      <c r="AB1629" s="732"/>
      <c r="AC1629" s="732"/>
      <c r="AD1629" s="732"/>
      <c r="AE1629" s="733"/>
      <c r="AF1629" s="734" t="str">
        <f t="shared" si="77"/>
        <v/>
      </c>
      <c r="AG1629" s="773"/>
    </row>
    <row r="1630" spans="1:64" ht="18.75" x14ac:dyDescent="0.25">
      <c r="A1630" s="758"/>
      <c r="B1630" s="737"/>
      <c r="C1630" s="730"/>
      <c r="D1630" s="739"/>
      <c r="E1630" s="765"/>
      <c r="F1630" s="765"/>
      <c r="G1630" s="765"/>
      <c r="H1630" s="765"/>
      <c r="I1630" s="746" t="str">
        <f t="shared" si="76"/>
        <v/>
      </c>
      <c r="J1630" s="731"/>
      <c r="K1630" s="731" t="str">
        <f t="shared" si="75"/>
        <v/>
      </c>
      <c r="L1630" s="726"/>
      <c r="M1630" s="726"/>
      <c r="N1630" s="726"/>
      <c r="O1630" s="726"/>
      <c r="P1630" s="726"/>
      <c r="Q1630" s="726"/>
      <c r="R1630" s="726"/>
      <c r="S1630" s="726"/>
      <c r="T1630" s="726"/>
      <c r="U1630" s="726"/>
      <c r="V1630" s="726"/>
      <c r="W1630" s="726"/>
      <c r="X1630" s="726"/>
      <c r="Y1630" s="726"/>
      <c r="Z1630" s="726"/>
      <c r="AA1630" s="732"/>
      <c r="AB1630" s="732"/>
      <c r="AC1630" s="732"/>
      <c r="AD1630" s="732"/>
      <c r="AE1630" s="733"/>
      <c r="AF1630" s="734" t="str">
        <f t="shared" si="77"/>
        <v/>
      </c>
      <c r="AG1630" s="773"/>
    </row>
    <row r="1631" spans="1:64" ht="18.75" x14ac:dyDescent="0.25">
      <c r="A1631" s="758"/>
      <c r="B1631" s="737"/>
      <c r="C1631" s="730"/>
      <c r="D1631" s="739"/>
      <c r="E1631" s="765"/>
      <c r="F1631" s="765"/>
      <c r="G1631" s="765"/>
      <c r="H1631" s="765"/>
      <c r="I1631" s="746" t="str">
        <f t="shared" si="76"/>
        <v/>
      </c>
      <c r="J1631" s="731"/>
      <c r="K1631" s="731" t="str">
        <f t="shared" si="75"/>
        <v/>
      </c>
      <c r="L1631" s="726"/>
      <c r="M1631" s="726"/>
      <c r="N1631" s="726"/>
      <c r="O1631" s="726"/>
      <c r="P1631" s="726"/>
      <c r="Q1631" s="726"/>
      <c r="R1631" s="726"/>
      <c r="S1631" s="726"/>
      <c r="T1631" s="726"/>
      <c r="U1631" s="726"/>
      <c r="V1631" s="726"/>
      <c r="W1631" s="726"/>
      <c r="X1631" s="726"/>
      <c r="Y1631" s="726"/>
      <c r="Z1631" s="726"/>
      <c r="AA1631" s="732"/>
      <c r="AB1631" s="732"/>
      <c r="AC1631" s="732"/>
      <c r="AD1631" s="732"/>
      <c r="AE1631" s="733"/>
      <c r="AF1631" s="734" t="str">
        <f t="shared" si="77"/>
        <v/>
      </c>
      <c r="AG1631" s="773"/>
    </row>
    <row r="1632" spans="1:64" ht="18.75" x14ac:dyDescent="0.25">
      <c r="A1632" s="758"/>
      <c r="B1632" s="737"/>
      <c r="C1632" s="730"/>
      <c r="D1632" s="739"/>
      <c r="E1632" s="765"/>
      <c r="F1632" s="765"/>
      <c r="G1632" s="765"/>
      <c r="H1632" s="765"/>
      <c r="I1632" s="746" t="str">
        <f t="shared" si="76"/>
        <v/>
      </c>
      <c r="J1632" s="731"/>
      <c r="K1632" s="731" t="str">
        <f t="shared" si="75"/>
        <v/>
      </c>
      <c r="L1632" s="726"/>
      <c r="M1632" s="726"/>
      <c r="N1632" s="726"/>
      <c r="O1632" s="726"/>
      <c r="P1632" s="726"/>
      <c r="Q1632" s="726"/>
      <c r="R1632" s="726"/>
      <c r="S1632" s="726"/>
      <c r="T1632" s="726"/>
      <c r="U1632" s="726"/>
      <c r="V1632" s="726"/>
      <c r="W1632" s="726"/>
      <c r="X1632" s="726"/>
      <c r="Y1632" s="726"/>
      <c r="Z1632" s="726"/>
      <c r="AA1632" s="732"/>
      <c r="AB1632" s="732"/>
      <c r="AC1632" s="732"/>
      <c r="AD1632" s="732"/>
      <c r="AE1632" s="733"/>
      <c r="AF1632" s="734" t="str">
        <f t="shared" si="77"/>
        <v/>
      </c>
      <c r="AG1632" s="773"/>
    </row>
    <row r="1633" spans="1:64" ht="18.75" x14ac:dyDescent="0.25">
      <c r="A1633" s="758"/>
      <c r="B1633" s="737"/>
      <c r="C1633" s="730"/>
      <c r="D1633" s="739"/>
      <c r="E1633" s="765"/>
      <c r="F1633" s="765"/>
      <c r="G1633" s="765"/>
      <c r="H1633" s="765"/>
      <c r="I1633" s="746" t="str">
        <f t="shared" si="76"/>
        <v/>
      </c>
      <c r="J1633" s="731"/>
      <c r="K1633" s="731" t="str">
        <f t="shared" si="75"/>
        <v/>
      </c>
      <c r="L1633" s="726"/>
      <c r="M1633" s="726"/>
      <c r="N1633" s="726"/>
      <c r="O1633" s="726"/>
      <c r="P1633" s="726"/>
      <c r="Q1633" s="726"/>
      <c r="R1633" s="726"/>
      <c r="S1633" s="726"/>
      <c r="T1633" s="726"/>
      <c r="U1633" s="726"/>
      <c r="V1633" s="726"/>
      <c r="W1633" s="726"/>
      <c r="X1633" s="726"/>
      <c r="Y1633" s="726"/>
      <c r="Z1633" s="726"/>
      <c r="AA1633" s="732"/>
      <c r="AB1633" s="732"/>
      <c r="AC1633" s="732"/>
      <c r="AD1633" s="732"/>
      <c r="AE1633" s="733"/>
      <c r="AF1633" s="734" t="str">
        <f t="shared" si="77"/>
        <v/>
      </c>
      <c r="AG1633" s="775"/>
      <c r="AH1633" s="779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  <c r="AW1633" s="36"/>
      <c r="AX1633" s="36"/>
      <c r="AY1633" s="36"/>
      <c r="AZ1633" s="36"/>
      <c r="BA1633" s="36"/>
      <c r="BB1633" s="36"/>
      <c r="BC1633" s="36"/>
      <c r="BD1633" s="36"/>
      <c r="BE1633" s="36"/>
      <c r="BF1633" s="36"/>
      <c r="BG1633" s="36"/>
      <c r="BH1633" s="36"/>
      <c r="BI1633" s="36"/>
      <c r="BJ1633" s="36"/>
      <c r="BK1633" s="36"/>
      <c r="BL1633" s="36"/>
    </row>
    <row r="1634" spans="1:64" ht="18.75" x14ac:dyDescent="0.25">
      <c r="A1634" s="758"/>
      <c r="B1634" s="737"/>
      <c r="C1634" s="730"/>
      <c r="D1634" s="739"/>
      <c r="E1634" s="765"/>
      <c r="F1634" s="765"/>
      <c r="G1634" s="765"/>
      <c r="H1634" s="765"/>
      <c r="I1634" s="746" t="str">
        <f t="shared" si="76"/>
        <v/>
      </c>
      <c r="J1634" s="731"/>
      <c r="K1634" s="731" t="str">
        <f t="shared" si="75"/>
        <v/>
      </c>
      <c r="L1634" s="726"/>
      <c r="M1634" s="726"/>
      <c r="N1634" s="726"/>
      <c r="O1634" s="726"/>
      <c r="P1634" s="726"/>
      <c r="Q1634" s="726"/>
      <c r="R1634" s="726"/>
      <c r="S1634" s="726"/>
      <c r="T1634" s="726"/>
      <c r="U1634" s="726"/>
      <c r="V1634" s="726"/>
      <c r="W1634" s="726"/>
      <c r="X1634" s="726"/>
      <c r="Y1634" s="726"/>
      <c r="Z1634" s="726"/>
      <c r="AA1634" s="732"/>
      <c r="AB1634" s="732"/>
      <c r="AC1634" s="732"/>
      <c r="AD1634" s="732"/>
      <c r="AE1634" s="733"/>
      <c r="AF1634" s="734" t="str">
        <f t="shared" si="77"/>
        <v/>
      </c>
      <c r="AG1634" s="773"/>
    </row>
    <row r="1635" spans="1:64" ht="18.75" x14ac:dyDescent="0.25">
      <c r="A1635" s="758"/>
      <c r="B1635" s="737"/>
      <c r="C1635" s="730"/>
      <c r="D1635" s="739"/>
      <c r="E1635" s="765"/>
      <c r="F1635" s="765"/>
      <c r="G1635" s="765"/>
      <c r="H1635" s="765"/>
      <c r="I1635" s="746" t="str">
        <f t="shared" si="76"/>
        <v/>
      </c>
      <c r="J1635" s="731"/>
      <c r="K1635" s="731" t="str">
        <f t="shared" si="75"/>
        <v/>
      </c>
      <c r="L1635" s="726"/>
      <c r="M1635" s="726"/>
      <c r="N1635" s="726"/>
      <c r="O1635" s="726"/>
      <c r="P1635" s="726"/>
      <c r="Q1635" s="726"/>
      <c r="R1635" s="726"/>
      <c r="S1635" s="726"/>
      <c r="T1635" s="726"/>
      <c r="U1635" s="726"/>
      <c r="V1635" s="726"/>
      <c r="W1635" s="726"/>
      <c r="X1635" s="726"/>
      <c r="Y1635" s="726"/>
      <c r="Z1635" s="726"/>
      <c r="AA1635" s="732"/>
      <c r="AB1635" s="732"/>
      <c r="AC1635" s="732"/>
      <c r="AD1635" s="732"/>
      <c r="AE1635" s="733"/>
      <c r="AF1635" s="734" t="str">
        <f t="shared" si="77"/>
        <v/>
      </c>
      <c r="AG1635" s="773"/>
    </row>
    <row r="1636" spans="1:64" ht="18.75" x14ac:dyDescent="0.25">
      <c r="A1636" s="758"/>
      <c r="B1636" s="737"/>
      <c r="C1636" s="730"/>
      <c r="D1636" s="739"/>
      <c r="E1636" s="765"/>
      <c r="F1636" s="765"/>
      <c r="G1636" s="765"/>
      <c r="H1636" s="765"/>
      <c r="I1636" s="746" t="str">
        <f t="shared" si="76"/>
        <v/>
      </c>
      <c r="J1636" s="731"/>
      <c r="K1636" s="731" t="str">
        <f t="shared" si="75"/>
        <v/>
      </c>
      <c r="L1636" s="726"/>
      <c r="M1636" s="726"/>
      <c r="N1636" s="726"/>
      <c r="O1636" s="726"/>
      <c r="P1636" s="726"/>
      <c r="Q1636" s="726"/>
      <c r="R1636" s="726"/>
      <c r="S1636" s="726"/>
      <c r="T1636" s="726"/>
      <c r="U1636" s="726"/>
      <c r="V1636" s="726"/>
      <c r="W1636" s="726"/>
      <c r="X1636" s="726"/>
      <c r="Y1636" s="726"/>
      <c r="Z1636" s="726"/>
      <c r="AA1636" s="732"/>
      <c r="AB1636" s="732"/>
      <c r="AC1636" s="732"/>
      <c r="AD1636" s="732"/>
      <c r="AE1636" s="733"/>
      <c r="AF1636" s="734" t="str">
        <f t="shared" si="77"/>
        <v/>
      </c>
      <c r="AG1636" s="773"/>
    </row>
    <row r="1637" spans="1:64" ht="18.75" x14ac:dyDescent="0.25">
      <c r="A1637" s="758"/>
      <c r="B1637" s="737"/>
      <c r="C1637" s="730"/>
      <c r="D1637" s="739"/>
      <c r="E1637" s="765"/>
      <c r="F1637" s="765"/>
      <c r="G1637" s="765"/>
      <c r="H1637" s="765"/>
      <c r="I1637" s="746" t="str">
        <f t="shared" si="76"/>
        <v/>
      </c>
      <c r="J1637" s="731"/>
      <c r="K1637" s="731" t="str">
        <f t="shared" si="75"/>
        <v/>
      </c>
      <c r="L1637" s="726"/>
      <c r="M1637" s="726"/>
      <c r="N1637" s="726"/>
      <c r="O1637" s="726"/>
      <c r="P1637" s="726"/>
      <c r="Q1637" s="726"/>
      <c r="R1637" s="726"/>
      <c r="S1637" s="726"/>
      <c r="T1637" s="726"/>
      <c r="U1637" s="726"/>
      <c r="V1637" s="726"/>
      <c r="W1637" s="726"/>
      <c r="X1637" s="726"/>
      <c r="Y1637" s="726"/>
      <c r="Z1637" s="726"/>
      <c r="AA1637" s="732"/>
      <c r="AB1637" s="732"/>
      <c r="AC1637" s="732"/>
      <c r="AD1637" s="732"/>
      <c r="AE1637" s="733"/>
      <c r="AF1637" s="734" t="str">
        <f t="shared" si="77"/>
        <v/>
      </c>
      <c r="AG1637" s="773"/>
    </row>
    <row r="1638" spans="1:64" ht="18.75" x14ac:dyDescent="0.25">
      <c r="A1638" s="758"/>
      <c r="B1638" s="737"/>
      <c r="C1638" s="730"/>
      <c r="D1638" s="739"/>
      <c r="E1638" s="765"/>
      <c r="F1638" s="765"/>
      <c r="G1638" s="765"/>
      <c r="H1638" s="765"/>
      <c r="I1638" s="746" t="str">
        <f t="shared" si="76"/>
        <v/>
      </c>
      <c r="J1638" s="731"/>
      <c r="K1638" s="731" t="str">
        <f t="shared" si="75"/>
        <v/>
      </c>
      <c r="L1638" s="726"/>
      <c r="M1638" s="726"/>
      <c r="N1638" s="726"/>
      <c r="O1638" s="726"/>
      <c r="P1638" s="726"/>
      <c r="Q1638" s="726"/>
      <c r="R1638" s="726"/>
      <c r="S1638" s="726"/>
      <c r="T1638" s="726"/>
      <c r="U1638" s="726"/>
      <c r="V1638" s="726"/>
      <c r="W1638" s="726"/>
      <c r="X1638" s="726"/>
      <c r="Y1638" s="726"/>
      <c r="Z1638" s="726"/>
      <c r="AA1638" s="732"/>
      <c r="AB1638" s="732"/>
      <c r="AC1638" s="732"/>
      <c r="AD1638" s="732"/>
      <c r="AE1638" s="733"/>
      <c r="AF1638" s="734" t="str">
        <f t="shared" si="77"/>
        <v/>
      </c>
      <c r="AG1638" s="773"/>
    </row>
    <row r="1639" spans="1:64" ht="18.75" customHeight="1" x14ac:dyDescent="0.25">
      <c r="A1639" s="758"/>
      <c r="B1639" s="737"/>
      <c r="C1639" s="730"/>
      <c r="D1639" s="739"/>
      <c r="E1639" s="765"/>
      <c r="F1639" s="765"/>
      <c r="G1639" s="765"/>
      <c r="H1639" s="765"/>
      <c r="I1639" s="746" t="str">
        <f t="shared" si="76"/>
        <v/>
      </c>
      <c r="J1639" s="731"/>
      <c r="K1639" s="731" t="str">
        <f t="shared" si="75"/>
        <v/>
      </c>
      <c r="L1639" s="726"/>
      <c r="M1639" s="726"/>
      <c r="N1639" s="726"/>
      <c r="O1639" s="726"/>
      <c r="P1639" s="726"/>
      <c r="Q1639" s="726"/>
      <c r="R1639" s="726"/>
      <c r="S1639" s="726"/>
      <c r="T1639" s="726"/>
      <c r="U1639" s="726"/>
      <c r="V1639" s="726"/>
      <c r="W1639" s="726"/>
      <c r="X1639" s="726"/>
      <c r="Y1639" s="726"/>
      <c r="Z1639" s="726"/>
      <c r="AA1639" s="732"/>
      <c r="AB1639" s="732"/>
      <c r="AC1639" s="732"/>
      <c r="AD1639" s="732"/>
      <c r="AE1639" s="733"/>
      <c r="AF1639" s="734" t="str">
        <f t="shared" si="77"/>
        <v/>
      </c>
      <c r="AG1639" s="772"/>
      <c r="AH1639" s="777"/>
      <c r="AI1639" s="735"/>
      <c r="AJ1639" s="735"/>
      <c r="AK1639" s="735"/>
      <c r="AL1639" s="735"/>
      <c r="AM1639" s="735"/>
      <c r="AN1639" s="735"/>
      <c r="AO1639" s="735"/>
      <c r="AP1639" s="735"/>
      <c r="AQ1639" s="735"/>
      <c r="AR1639" s="735"/>
      <c r="AS1639" s="735"/>
      <c r="AT1639" s="735"/>
      <c r="AU1639" s="735"/>
      <c r="AV1639" s="735"/>
      <c r="AW1639" s="735"/>
      <c r="AX1639" s="735"/>
      <c r="AY1639" s="735"/>
      <c r="AZ1639" s="735"/>
      <c r="BA1639" s="735"/>
      <c r="BB1639" s="735"/>
      <c r="BC1639" s="735"/>
      <c r="BD1639" s="735"/>
      <c r="BE1639" s="735"/>
      <c r="BF1639" s="735"/>
      <c r="BG1639" s="735"/>
      <c r="BH1639" s="735"/>
      <c r="BI1639" s="735"/>
      <c r="BJ1639" s="735"/>
      <c r="BK1639" s="735"/>
      <c r="BL1639" s="735"/>
    </row>
    <row r="1640" spans="1:64" ht="19.5" customHeight="1" x14ac:dyDescent="0.25">
      <c r="A1640" s="758"/>
      <c r="B1640" s="737"/>
      <c r="C1640" s="730"/>
      <c r="D1640" s="739"/>
      <c r="E1640" s="765"/>
      <c r="F1640" s="765"/>
      <c r="G1640" s="765"/>
      <c r="H1640" s="765"/>
      <c r="I1640" s="746" t="str">
        <f t="shared" si="76"/>
        <v/>
      </c>
      <c r="J1640" s="731"/>
      <c r="K1640" s="731" t="str">
        <f t="shared" si="75"/>
        <v/>
      </c>
      <c r="L1640" s="726"/>
      <c r="M1640" s="726"/>
      <c r="N1640" s="726"/>
      <c r="O1640" s="726"/>
      <c r="P1640" s="726"/>
      <c r="Q1640" s="726"/>
      <c r="R1640" s="726"/>
      <c r="S1640" s="726"/>
      <c r="T1640" s="726"/>
      <c r="U1640" s="726"/>
      <c r="V1640" s="726"/>
      <c r="W1640" s="726"/>
      <c r="X1640" s="726"/>
      <c r="Y1640" s="726"/>
      <c r="Z1640" s="726"/>
      <c r="AA1640" s="732"/>
      <c r="AB1640" s="732"/>
      <c r="AC1640" s="732"/>
      <c r="AD1640" s="732"/>
      <c r="AE1640" s="733"/>
      <c r="AF1640" s="734" t="str">
        <f t="shared" si="77"/>
        <v/>
      </c>
      <c r="AG1640" s="772"/>
      <c r="AH1640" s="777"/>
      <c r="AI1640" s="735"/>
      <c r="AJ1640" s="735"/>
      <c r="AK1640" s="735"/>
      <c r="AL1640" s="735"/>
      <c r="AM1640" s="735"/>
      <c r="AN1640" s="735"/>
      <c r="AO1640" s="735"/>
      <c r="AP1640" s="735"/>
      <c r="AQ1640" s="735"/>
      <c r="AR1640" s="735"/>
      <c r="AS1640" s="735"/>
      <c r="AT1640" s="735"/>
      <c r="AU1640" s="735"/>
      <c r="AV1640" s="735"/>
      <c r="AW1640" s="735"/>
      <c r="AX1640" s="735"/>
      <c r="AY1640" s="735"/>
      <c r="AZ1640" s="735"/>
      <c r="BA1640" s="735"/>
      <c r="BB1640" s="735"/>
      <c r="BC1640" s="735"/>
      <c r="BD1640" s="735"/>
      <c r="BE1640" s="735"/>
      <c r="BF1640" s="735"/>
      <c r="BG1640" s="735"/>
      <c r="BH1640" s="735"/>
      <c r="BI1640" s="735"/>
      <c r="BJ1640" s="735"/>
      <c r="BK1640" s="735"/>
      <c r="BL1640" s="735"/>
    </row>
    <row r="1641" spans="1:64" ht="19.5" customHeight="1" x14ac:dyDescent="0.25">
      <c r="A1641" s="758"/>
      <c r="B1641" s="737"/>
      <c r="C1641" s="730"/>
      <c r="D1641" s="739"/>
      <c r="E1641" s="765"/>
      <c r="F1641" s="765"/>
      <c r="G1641" s="765"/>
      <c r="H1641" s="765"/>
      <c r="I1641" s="746" t="str">
        <f t="shared" si="76"/>
        <v/>
      </c>
      <c r="J1641" s="731"/>
      <c r="K1641" s="731" t="str">
        <f t="shared" si="75"/>
        <v/>
      </c>
      <c r="L1641" s="726"/>
      <c r="M1641" s="726"/>
      <c r="N1641" s="726"/>
      <c r="O1641" s="726"/>
      <c r="P1641" s="726"/>
      <c r="Q1641" s="726"/>
      <c r="R1641" s="726"/>
      <c r="S1641" s="726"/>
      <c r="T1641" s="726"/>
      <c r="U1641" s="726"/>
      <c r="V1641" s="726"/>
      <c r="W1641" s="726"/>
      <c r="X1641" s="726"/>
      <c r="Y1641" s="726"/>
      <c r="Z1641" s="726"/>
      <c r="AA1641" s="732"/>
      <c r="AB1641" s="732"/>
      <c r="AC1641" s="732"/>
      <c r="AD1641" s="732"/>
      <c r="AE1641" s="733"/>
      <c r="AF1641" s="734" t="str">
        <f t="shared" si="77"/>
        <v/>
      </c>
      <c r="AG1641" s="772"/>
      <c r="AH1641" s="777"/>
      <c r="AI1641" s="735"/>
      <c r="AJ1641" s="735"/>
      <c r="AK1641" s="735"/>
      <c r="AL1641" s="735"/>
      <c r="AM1641" s="735"/>
      <c r="AN1641" s="735"/>
      <c r="AO1641" s="735"/>
      <c r="AP1641" s="735"/>
      <c r="AQ1641" s="735"/>
      <c r="AR1641" s="735"/>
      <c r="AS1641" s="735"/>
      <c r="AT1641" s="735"/>
      <c r="AU1641" s="735"/>
      <c r="AV1641" s="735"/>
      <c r="AW1641" s="735"/>
      <c r="AX1641" s="735"/>
      <c r="AY1641" s="735"/>
      <c r="AZ1641" s="735"/>
      <c r="BA1641" s="735"/>
      <c r="BB1641" s="735"/>
      <c r="BC1641" s="735"/>
      <c r="BD1641" s="735"/>
      <c r="BE1641" s="735"/>
      <c r="BF1641" s="735"/>
      <c r="BG1641" s="735"/>
      <c r="BH1641" s="735"/>
      <c r="BI1641" s="735"/>
      <c r="BJ1641" s="735"/>
      <c r="BK1641" s="735"/>
      <c r="BL1641" s="735"/>
    </row>
    <row r="1642" spans="1:64" ht="19.5" customHeight="1" x14ac:dyDescent="0.25">
      <c r="A1642" s="758"/>
      <c r="B1642" s="737"/>
      <c r="C1642" s="730"/>
      <c r="D1642" s="739"/>
      <c r="E1642" s="765"/>
      <c r="F1642" s="765"/>
      <c r="G1642" s="765"/>
      <c r="H1642" s="765"/>
      <c r="I1642" s="746" t="str">
        <f t="shared" si="76"/>
        <v/>
      </c>
      <c r="J1642" s="731"/>
      <c r="K1642" s="731" t="str">
        <f t="shared" si="75"/>
        <v/>
      </c>
      <c r="L1642" s="726"/>
      <c r="M1642" s="726"/>
      <c r="N1642" s="726"/>
      <c r="O1642" s="726"/>
      <c r="P1642" s="726"/>
      <c r="Q1642" s="726"/>
      <c r="R1642" s="726"/>
      <c r="S1642" s="726"/>
      <c r="T1642" s="726"/>
      <c r="U1642" s="726"/>
      <c r="V1642" s="726"/>
      <c r="W1642" s="726"/>
      <c r="X1642" s="726"/>
      <c r="Y1642" s="726"/>
      <c r="Z1642" s="726"/>
      <c r="AA1642" s="732"/>
      <c r="AB1642" s="732"/>
      <c r="AC1642" s="732"/>
      <c r="AD1642" s="732"/>
      <c r="AE1642" s="733"/>
      <c r="AF1642" s="734" t="str">
        <f t="shared" si="77"/>
        <v/>
      </c>
      <c r="AG1642" s="772"/>
      <c r="AH1642" s="777"/>
      <c r="AI1642" s="735"/>
      <c r="AJ1642" s="735"/>
      <c r="AK1642" s="735"/>
      <c r="AL1642" s="735"/>
      <c r="AM1642" s="735"/>
      <c r="AN1642" s="735"/>
      <c r="AO1642" s="735"/>
      <c r="AP1642" s="735"/>
      <c r="AQ1642" s="735"/>
      <c r="AR1642" s="735"/>
      <c r="AS1642" s="735"/>
      <c r="AT1642" s="735"/>
      <c r="AU1642" s="735"/>
      <c r="AV1642" s="735"/>
      <c r="AW1642" s="735"/>
      <c r="AX1642" s="735"/>
      <c r="AY1642" s="735"/>
      <c r="AZ1642" s="735"/>
      <c r="BA1642" s="735"/>
      <c r="BB1642" s="735"/>
      <c r="BC1642" s="735"/>
      <c r="BD1642" s="735"/>
      <c r="BE1642" s="735"/>
      <c r="BF1642" s="735"/>
      <c r="BG1642" s="735"/>
      <c r="BH1642" s="735"/>
      <c r="BI1642" s="735"/>
      <c r="BJ1642" s="735"/>
      <c r="BK1642" s="735"/>
      <c r="BL1642" s="735"/>
    </row>
    <row r="1643" spans="1:64" ht="18.75" x14ac:dyDescent="0.25">
      <c r="A1643" s="758"/>
      <c r="B1643" s="737"/>
      <c r="C1643" s="730"/>
      <c r="D1643" s="739"/>
      <c r="E1643" s="765"/>
      <c r="F1643" s="765"/>
      <c r="G1643" s="765"/>
      <c r="H1643" s="765"/>
      <c r="I1643" s="746" t="str">
        <f t="shared" si="76"/>
        <v/>
      </c>
      <c r="J1643" s="731"/>
      <c r="K1643" s="731" t="str">
        <f t="shared" si="75"/>
        <v/>
      </c>
      <c r="L1643" s="726"/>
      <c r="M1643" s="726"/>
      <c r="N1643" s="726"/>
      <c r="O1643" s="726"/>
      <c r="P1643" s="726"/>
      <c r="Q1643" s="726"/>
      <c r="R1643" s="726"/>
      <c r="S1643" s="726"/>
      <c r="T1643" s="726"/>
      <c r="U1643" s="726"/>
      <c r="V1643" s="726"/>
      <c r="W1643" s="726"/>
      <c r="X1643" s="726"/>
      <c r="Y1643" s="726"/>
      <c r="Z1643" s="726"/>
      <c r="AA1643" s="732"/>
      <c r="AB1643" s="732"/>
      <c r="AC1643" s="732"/>
      <c r="AD1643" s="732"/>
      <c r="AE1643" s="733"/>
      <c r="AF1643" s="734" t="str">
        <f t="shared" si="77"/>
        <v/>
      </c>
      <c r="AG1643" s="773"/>
    </row>
    <row r="1644" spans="1:64" ht="18.75" x14ac:dyDescent="0.25">
      <c r="A1644" s="758"/>
      <c r="B1644" s="737"/>
      <c r="C1644" s="730"/>
      <c r="D1644" s="739"/>
      <c r="E1644" s="765"/>
      <c r="F1644" s="765"/>
      <c r="G1644" s="765"/>
      <c r="H1644" s="765"/>
      <c r="I1644" s="746" t="str">
        <f t="shared" si="76"/>
        <v/>
      </c>
      <c r="J1644" s="731"/>
      <c r="K1644" s="731" t="str">
        <f t="shared" si="75"/>
        <v/>
      </c>
      <c r="L1644" s="726"/>
      <c r="M1644" s="726"/>
      <c r="N1644" s="726"/>
      <c r="O1644" s="726"/>
      <c r="P1644" s="726"/>
      <c r="Q1644" s="726"/>
      <c r="R1644" s="726"/>
      <c r="S1644" s="726"/>
      <c r="T1644" s="726"/>
      <c r="U1644" s="726"/>
      <c r="V1644" s="726"/>
      <c r="W1644" s="726"/>
      <c r="X1644" s="726"/>
      <c r="Y1644" s="726"/>
      <c r="Z1644" s="726"/>
      <c r="AA1644" s="732"/>
      <c r="AB1644" s="732"/>
      <c r="AC1644" s="732"/>
      <c r="AD1644" s="732"/>
      <c r="AE1644" s="733"/>
      <c r="AF1644" s="734" t="str">
        <f t="shared" si="77"/>
        <v/>
      </c>
      <c r="AG1644" s="773"/>
    </row>
    <row r="1645" spans="1:64" ht="18.75" x14ac:dyDescent="0.25">
      <c r="A1645" s="758"/>
      <c r="B1645" s="737"/>
      <c r="C1645" s="730"/>
      <c r="D1645" s="739"/>
      <c r="E1645" s="765"/>
      <c r="F1645" s="765"/>
      <c r="G1645" s="765"/>
      <c r="H1645" s="765"/>
      <c r="I1645" s="746" t="str">
        <f t="shared" si="76"/>
        <v/>
      </c>
      <c r="J1645" s="731"/>
      <c r="K1645" s="731" t="str">
        <f t="shared" si="75"/>
        <v/>
      </c>
      <c r="L1645" s="726"/>
      <c r="M1645" s="726"/>
      <c r="N1645" s="726"/>
      <c r="O1645" s="726"/>
      <c r="P1645" s="726"/>
      <c r="Q1645" s="726"/>
      <c r="R1645" s="726"/>
      <c r="S1645" s="726"/>
      <c r="T1645" s="726"/>
      <c r="U1645" s="726"/>
      <c r="V1645" s="726"/>
      <c r="W1645" s="726"/>
      <c r="X1645" s="726"/>
      <c r="Y1645" s="726"/>
      <c r="Z1645" s="726"/>
      <c r="AA1645" s="732"/>
      <c r="AB1645" s="732"/>
      <c r="AC1645" s="732"/>
      <c r="AD1645" s="732"/>
      <c r="AE1645" s="733"/>
      <c r="AF1645" s="734" t="str">
        <f t="shared" si="77"/>
        <v/>
      </c>
      <c r="AG1645" s="773"/>
    </row>
    <row r="1646" spans="1:64" ht="18.75" x14ac:dyDescent="0.25">
      <c r="A1646" s="758"/>
      <c r="B1646" s="737"/>
      <c r="C1646" s="730"/>
      <c r="D1646" s="739"/>
      <c r="E1646" s="765"/>
      <c r="F1646" s="765"/>
      <c r="G1646" s="765"/>
      <c r="H1646" s="765"/>
      <c r="I1646" s="746" t="str">
        <f t="shared" si="76"/>
        <v/>
      </c>
      <c r="J1646" s="731"/>
      <c r="K1646" s="731" t="str">
        <f t="shared" si="75"/>
        <v/>
      </c>
      <c r="L1646" s="726"/>
      <c r="M1646" s="726"/>
      <c r="N1646" s="726"/>
      <c r="O1646" s="726"/>
      <c r="P1646" s="726"/>
      <c r="Q1646" s="726"/>
      <c r="R1646" s="726"/>
      <c r="S1646" s="726"/>
      <c r="T1646" s="726"/>
      <c r="U1646" s="726"/>
      <c r="V1646" s="726"/>
      <c r="W1646" s="726"/>
      <c r="X1646" s="726"/>
      <c r="Y1646" s="726"/>
      <c r="Z1646" s="726"/>
      <c r="AA1646" s="732"/>
      <c r="AB1646" s="732"/>
      <c r="AC1646" s="732"/>
      <c r="AD1646" s="732"/>
      <c r="AE1646" s="733"/>
      <c r="AF1646" s="734" t="str">
        <f t="shared" si="77"/>
        <v/>
      </c>
      <c r="AG1646" s="773"/>
    </row>
    <row r="1647" spans="1:64" ht="18.75" x14ac:dyDescent="0.25">
      <c r="A1647" s="758"/>
      <c r="B1647" s="737"/>
      <c r="C1647" s="730"/>
      <c r="D1647" s="739"/>
      <c r="E1647" s="765"/>
      <c r="F1647" s="765"/>
      <c r="G1647" s="765"/>
      <c r="H1647" s="765"/>
      <c r="I1647" s="746" t="str">
        <f t="shared" si="76"/>
        <v/>
      </c>
      <c r="J1647" s="731"/>
      <c r="K1647" s="731" t="str">
        <f t="shared" si="75"/>
        <v/>
      </c>
      <c r="L1647" s="726"/>
      <c r="M1647" s="726"/>
      <c r="N1647" s="726"/>
      <c r="O1647" s="726"/>
      <c r="P1647" s="726"/>
      <c r="Q1647" s="726"/>
      <c r="R1647" s="726"/>
      <c r="S1647" s="726"/>
      <c r="T1647" s="726"/>
      <c r="U1647" s="726"/>
      <c r="V1647" s="726"/>
      <c r="W1647" s="726"/>
      <c r="X1647" s="726"/>
      <c r="Y1647" s="726"/>
      <c r="Z1647" s="726"/>
      <c r="AA1647" s="732"/>
      <c r="AB1647" s="732"/>
      <c r="AC1647" s="732"/>
      <c r="AD1647" s="732"/>
      <c r="AE1647" s="733"/>
      <c r="AF1647" s="734" t="str">
        <f t="shared" si="77"/>
        <v/>
      </c>
      <c r="AG1647" s="773"/>
    </row>
    <row r="1648" spans="1:64" ht="18.75" x14ac:dyDescent="0.25">
      <c r="A1648" s="758"/>
      <c r="B1648" s="737"/>
      <c r="C1648" s="730"/>
      <c r="D1648" s="739"/>
      <c r="E1648" s="765"/>
      <c r="F1648" s="765"/>
      <c r="G1648" s="765"/>
      <c r="H1648" s="765"/>
      <c r="I1648" s="746" t="str">
        <f t="shared" si="76"/>
        <v/>
      </c>
      <c r="J1648" s="731"/>
      <c r="K1648" s="731" t="str">
        <f t="shared" si="75"/>
        <v/>
      </c>
      <c r="L1648" s="726"/>
      <c r="M1648" s="726"/>
      <c r="N1648" s="726"/>
      <c r="O1648" s="726"/>
      <c r="P1648" s="726"/>
      <c r="Q1648" s="726"/>
      <c r="R1648" s="726"/>
      <c r="S1648" s="726"/>
      <c r="T1648" s="726"/>
      <c r="U1648" s="726"/>
      <c r="V1648" s="726"/>
      <c r="W1648" s="726"/>
      <c r="X1648" s="726"/>
      <c r="Y1648" s="726"/>
      <c r="Z1648" s="726"/>
      <c r="AA1648" s="732"/>
      <c r="AB1648" s="732"/>
      <c r="AC1648" s="732"/>
      <c r="AD1648" s="732"/>
      <c r="AE1648" s="733"/>
      <c r="AF1648" s="734" t="str">
        <f t="shared" si="77"/>
        <v/>
      </c>
      <c r="AG1648" s="773"/>
    </row>
    <row r="1649" spans="1:64" ht="18.75" x14ac:dyDescent="0.25">
      <c r="A1649" s="758"/>
      <c r="B1649" s="737"/>
      <c r="C1649" s="730"/>
      <c r="D1649" s="739"/>
      <c r="E1649" s="765"/>
      <c r="F1649" s="765"/>
      <c r="G1649" s="765"/>
      <c r="H1649" s="765"/>
      <c r="I1649" s="746" t="str">
        <f t="shared" si="76"/>
        <v/>
      </c>
      <c r="J1649" s="731"/>
      <c r="K1649" s="731" t="str">
        <f t="shared" si="75"/>
        <v/>
      </c>
      <c r="L1649" s="726"/>
      <c r="M1649" s="726"/>
      <c r="N1649" s="726"/>
      <c r="O1649" s="726"/>
      <c r="P1649" s="726"/>
      <c r="Q1649" s="726"/>
      <c r="R1649" s="726"/>
      <c r="S1649" s="726"/>
      <c r="T1649" s="726"/>
      <c r="U1649" s="726"/>
      <c r="V1649" s="726"/>
      <c r="W1649" s="726"/>
      <c r="X1649" s="726"/>
      <c r="Y1649" s="726"/>
      <c r="Z1649" s="726"/>
      <c r="AA1649" s="732"/>
      <c r="AB1649" s="732"/>
      <c r="AC1649" s="732"/>
      <c r="AD1649" s="732"/>
      <c r="AE1649" s="733"/>
      <c r="AF1649" s="734" t="str">
        <f t="shared" si="77"/>
        <v/>
      </c>
      <c r="AG1649" s="773"/>
    </row>
    <row r="1650" spans="1:64" ht="18.75" x14ac:dyDescent="0.25">
      <c r="A1650" s="758"/>
      <c r="B1650" s="737"/>
      <c r="C1650" s="730"/>
      <c r="D1650" s="739"/>
      <c r="E1650" s="765"/>
      <c r="F1650" s="765"/>
      <c r="G1650" s="765"/>
      <c r="H1650" s="765"/>
      <c r="I1650" s="746" t="str">
        <f t="shared" si="76"/>
        <v/>
      </c>
      <c r="J1650" s="731"/>
      <c r="K1650" s="731" t="str">
        <f t="shared" si="75"/>
        <v/>
      </c>
      <c r="L1650" s="726"/>
      <c r="M1650" s="726"/>
      <c r="N1650" s="726"/>
      <c r="O1650" s="726"/>
      <c r="P1650" s="726"/>
      <c r="Q1650" s="726"/>
      <c r="R1650" s="726"/>
      <c r="S1650" s="726"/>
      <c r="T1650" s="726"/>
      <c r="U1650" s="726"/>
      <c r="V1650" s="726"/>
      <c r="W1650" s="726"/>
      <c r="X1650" s="726"/>
      <c r="Y1650" s="726"/>
      <c r="Z1650" s="726"/>
      <c r="AA1650" s="732"/>
      <c r="AB1650" s="732"/>
      <c r="AC1650" s="732"/>
      <c r="AD1650" s="732"/>
      <c r="AE1650" s="733"/>
      <c r="AF1650" s="734" t="str">
        <f t="shared" si="77"/>
        <v/>
      </c>
      <c r="AG1650" s="773"/>
    </row>
    <row r="1651" spans="1:64" ht="18.75" x14ac:dyDescent="0.25">
      <c r="A1651" s="758"/>
      <c r="B1651" s="737"/>
      <c r="C1651" s="730"/>
      <c r="D1651" s="739"/>
      <c r="E1651" s="765"/>
      <c r="F1651" s="765"/>
      <c r="G1651" s="765"/>
      <c r="H1651" s="765"/>
      <c r="I1651" s="746" t="str">
        <f t="shared" si="76"/>
        <v/>
      </c>
      <c r="J1651" s="731"/>
      <c r="K1651" s="731" t="str">
        <f t="shared" si="75"/>
        <v/>
      </c>
      <c r="L1651" s="726"/>
      <c r="M1651" s="726"/>
      <c r="N1651" s="726"/>
      <c r="O1651" s="726"/>
      <c r="P1651" s="726"/>
      <c r="Q1651" s="726"/>
      <c r="R1651" s="726"/>
      <c r="S1651" s="726"/>
      <c r="T1651" s="726"/>
      <c r="U1651" s="726"/>
      <c r="V1651" s="726"/>
      <c r="W1651" s="726"/>
      <c r="X1651" s="726"/>
      <c r="Y1651" s="726"/>
      <c r="Z1651" s="726"/>
      <c r="AA1651" s="732"/>
      <c r="AB1651" s="732"/>
      <c r="AC1651" s="732"/>
      <c r="AD1651" s="732"/>
      <c r="AE1651" s="733"/>
      <c r="AF1651" s="734" t="str">
        <f t="shared" si="77"/>
        <v/>
      </c>
      <c r="AG1651" s="773"/>
    </row>
    <row r="1652" spans="1:64" ht="18.75" x14ac:dyDescent="0.25">
      <c r="A1652" s="758"/>
      <c r="B1652" s="737"/>
      <c r="C1652" s="730"/>
      <c r="D1652" s="739"/>
      <c r="E1652" s="765"/>
      <c r="F1652" s="765"/>
      <c r="G1652" s="765"/>
      <c r="H1652" s="765"/>
      <c r="I1652" s="746" t="str">
        <f t="shared" si="76"/>
        <v/>
      </c>
      <c r="J1652" s="731"/>
      <c r="K1652" s="731" t="str">
        <f t="shared" si="75"/>
        <v/>
      </c>
      <c r="L1652" s="726"/>
      <c r="M1652" s="726"/>
      <c r="N1652" s="726"/>
      <c r="O1652" s="726"/>
      <c r="P1652" s="726"/>
      <c r="Q1652" s="726"/>
      <c r="R1652" s="726"/>
      <c r="S1652" s="726"/>
      <c r="T1652" s="726"/>
      <c r="U1652" s="726"/>
      <c r="V1652" s="726"/>
      <c r="W1652" s="726"/>
      <c r="X1652" s="726"/>
      <c r="Y1652" s="726"/>
      <c r="Z1652" s="726"/>
      <c r="AA1652" s="732"/>
      <c r="AB1652" s="732"/>
      <c r="AC1652" s="732"/>
      <c r="AD1652" s="732"/>
      <c r="AE1652" s="733"/>
      <c r="AF1652" s="734" t="str">
        <f t="shared" si="77"/>
        <v/>
      </c>
      <c r="AG1652" s="773"/>
    </row>
    <row r="1653" spans="1:64" ht="18.75" x14ac:dyDescent="0.25">
      <c r="A1653" s="758"/>
      <c r="B1653" s="737"/>
      <c r="C1653" s="730"/>
      <c r="D1653" s="739"/>
      <c r="E1653" s="765"/>
      <c r="F1653" s="765"/>
      <c r="G1653" s="765"/>
      <c r="H1653" s="765"/>
      <c r="I1653" s="746" t="str">
        <f t="shared" si="76"/>
        <v/>
      </c>
      <c r="J1653" s="731"/>
      <c r="K1653" s="731" t="str">
        <f t="shared" si="75"/>
        <v/>
      </c>
      <c r="L1653" s="726"/>
      <c r="M1653" s="726"/>
      <c r="N1653" s="726"/>
      <c r="O1653" s="726"/>
      <c r="P1653" s="726"/>
      <c r="Q1653" s="726"/>
      <c r="R1653" s="726"/>
      <c r="S1653" s="726"/>
      <c r="T1653" s="726"/>
      <c r="U1653" s="726"/>
      <c r="V1653" s="726"/>
      <c r="W1653" s="726"/>
      <c r="X1653" s="726"/>
      <c r="Y1653" s="726"/>
      <c r="Z1653" s="726"/>
      <c r="AA1653" s="732"/>
      <c r="AB1653" s="732"/>
      <c r="AC1653" s="732"/>
      <c r="AD1653" s="732"/>
      <c r="AE1653" s="733"/>
      <c r="AF1653" s="734" t="str">
        <f t="shared" si="77"/>
        <v/>
      </c>
      <c r="AG1653" s="773"/>
    </row>
    <row r="1654" spans="1:64" ht="18.75" x14ac:dyDescent="0.25">
      <c r="A1654" s="758"/>
      <c r="B1654" s="737"/>
      <c r="C1654" s="730"/>
      <c r="D1654" s="739"/>
      <c r="E1654" s="765"/>
      <c r="F1654" s="765"/>
      <c r="G1654" s="765"/>
      <c r="H1654" s="765"/>
      <c r="I1654" s="746" t="str">
        <f t="shared" si="76"/>
        <v/>
      </c>
      <c r="J1654" s="731"/>
      <c r="K1654" s="731" t="str">
        <f t="shared" si="75"/>
        <v/>
      </c>
      <c r="L1654" s="726"/>
      <c r="M1654" s="726"/>
      <c r="N1654" s="726"/>
      <c r="O1654" s="726"/>
      <c r="P1654" s="726"/>
      <c r="Q1654" s="726"/>
      <c r="R1654" s="726"/>
      <c r="S1654" s="726"/>
      <c r="T1654" s="726"/>
      <c r="U1654" s="726"/>
      <c r="V1654" s="726"/>
      <c r="W1654" s="726"/>
      <c r="X1654" s="726"/>
      <c r="Y1654" s="726"/>
      <c r="Z1654" s="726"/>
      <c r="AA1654" s="732"/>
      <c r="AB1654" s="732"/>
      <c r="AC1654" s="732"/>
      <c r="AD1654" s="732"/>
      <c r="AE1654" s="733"/>
      <c r="AF1654" s="734" t="str">
        <f t="shared" si="77"/>
        <v/>
      </c>
      <c r="AG1654" s="773"/>
    </row>
    <row r="1655" spans="1:64" ht="18.75" x14ac:dyDescent="0.25">
      <c r="A1655" s="758"/>
      <c r="B1655" s="737"/>
      <c r="C1655" s="730"/>
      <c r="D1655" s="739"/>
      <c r="E1655" s="765"/>
      <c r="F1655" s="765"/>
      <c r="G1655" s="765"/>
      <c r="H1655" s="765"/>
      <c r="I1655" s="746" t="str">
        <f t="shared" si="76"/>
        <v/>
      </c>
      <c r="J1655" s="731"/>
      <c r="K1655" s="731" t="str">
        <f t="shared" si="75"/>
        <v/>
      </c>
      <c r="L1655" s="726"/>
      <c r="M1655" s="726"/>
      <c r="N1655" s="726"/>
      <c r="O1655" s="726"/>
      <c r="P1655" s="726"/>
      <c r="Q1655" s="726"/>
      <c r="R1655" s="726"/>
      <c r="S1655" s="726"/>
      <c r="T1655" s="726"/>
      <c r="U1655" s="726"/>
      <c r="V1655" s="726"/>
      <c r="W1655" s="726"/>
      <c r="X1655" s="726"/>
      <c r="Y1655" s="726"/>
      <c r="Z1655" s="726"/>
      <c r="AA1655" s="732"/>
      <c r="AB1655" s="732"/>
      <c r="AC1655" s="732"/>
      <c r="AD1655" s="732"/>
      <c r="AE1655" s="733"/>
      <c r="AF1655" s="734" t="str">
        <f t="shared" si="77"/>
        <v/>
      </c>
      <c r="AG1655" s="773"/>
    </row>
    <row r="1656" spans="1:64" ht="18.75" x14ac:dyDescent="0.25">
      <c r="A1656" s="758"/>
      <c r="B1656" s="737"/>
      <c r="C1656" s="730"/>
      <c r="D1656" s="739"/>
      <c r="E1656" s="765"/>
      <c r="F1656" s="765"/>
      <c r="G1656" s="765"/>
      <c r="H1656" s="765"/>
      <c r="I1656" s="746" t="str">
        <f t="shared" si="76"/>
        <v/>
      </c>
      <c r="J1656" s="731"/>
      <c r="K1656" s="731" t="str">
        <f t="shared" si="75"/>
        <v/>
      </c>
      <c r="L1656" s="726"/>
      <c r="M1656" s="726"/>
      <c r="N1656" s="726"/>
      <c r="O1656" s="726"/>
      <c r="P1656" s="726"/>
      <c r="Q1656" s="726"/>
      <c r="R1656" s="726"/>
      <c r="S1656" s="726"/>
      <c r="T1656" s="726"/>
      <c r="U1656" s="726"/>
      <c r="V1656" s="726"/>
      <c r="W1656" s="726"/>
      <c r="X1656" s="726"/>
      <c r="Y1656" s="726"/>
      <c r="Z1656" s="726"/>
      <c r="AA1656" s="732"/>
      <c r="AB1656" s="732"/>
      <c r="AC1656" s="732"/>
      <c r="AD1656" s="732"/>
      <c r="AE1656" s="733"/>
      <c r="AF1656" s="734" t="str">
        <f t="shared" si="77"/>
        <v/>
      </c>
      <c r="AG1656" s="773"/>
    </row>
    <row r="1657" spans="1:64" ht="18.75" x14ac:dyDescent="0.25">
      <c r="A1657" s="758"/>
      <c r="B1657" s="737"/>
      <c r="C1657" s="730"/>
      <c r="D1657" s="739"/>
      <c r="E1657" s="765"/>
      <c r="F1657" s="765"/>
      <c r="G1657" s="765"/>
      <c r="H1657" s="765"/>
      <c r="I1657" s="746" t="str">
        <f t="shared" si="76"/>
        <v/>
      </c>
      <c r="J1657" s="731"/>
      <c r="K1657" s="731" t="str">
        <f t="shared" si="75"/>
        <v/>
      </c>
      <c r="L1657" s="726"/>
      <c r="M1657" s="726"/>
      <c r="N1657" s="726"/>
      <c r="O1657" s="726"/>
      <c r="P1657" s="726"/>
      <c r="Q1657" s="726"/>
      <c r="R1657" s="726"/>
      <c r="S1657" s="726"/>
      <c r="T1657" s="726"/>
      <c r="U1657" s="726"/>
      <c r="V1657" s="726"/>
      <c r="W1657" s="726"/>
      <c r="X1657" s="726"/>
      <c r="Y1657" s="726"/>
      <c r="Z1657" s="726"/>
      <c r="AA1657" s="732"/>
      <c r="AB1657" s="732"/>
      <c r="AC1657" s="732"/>
      <c r="AD1657" s="732"/>
      <c r="AE1657" s="733"/>
      <c r="AF1657" s="734" t="str">
        <f t="shared" si="77"/>
        <v/>
      </c>
      <c r="AG1657" s="773"/>
    </row>
    <row r="1658" spans="1:64" ht="18.75" x14ac:dyDescent="0.25">
      <c r="A1658" s="758"/>
      <c r="B1658" s="737"/>
      <c r="C1658" s="730"/>
      <c r="D1658" s="739"/>
      <c r="E1658" s="765"/>
      <c r="F1658" s="765"/>
      <c r="G1658" s="765"/>
      <c r="H1658" s="765"/>
      <c r="I1658" s="746" t="str">
        <f t="shared" si="76"/>
        <v/>
      </c>
      <c r="J1658" s="731"/>
      <c r="K1658" s="731" t="str">
        <f t="shared" si="75"/>
        <v/>
      </c>
      <c r="L1658" s="726"/>
      <c r="M1658" s="726"/>
      <c r="N1658" s="726"/>
      <c r="O1658" s="726"/>
      <c r="P1658" s="726"/>
      <c r="Q1658" s="726"/>
      <c r="R1658" s="726"/>
      <c r="S1658" s="726"/>
      <c r="T1658" s="726"/>
      <c r="U1658" s="726"/>
      <c r="V1658" s="726"/>
      <c r="W1658" s="726"/>
      <c r="X1658" s="726"/>
      <c r="Y1658" s="726"/>
      <c r="Z1658" s="726"/>
      <c r="AA1658" s="732"/>
      <c r="AB1658" s="732"/>
      <c r="AC1658" s="732"/>
      <c r="AD1658" s="732"/>
      <c r="AE1658" s="733"/>
      <c r="AF1658" s="734" t="str">
        <f t="shared" si="77"/>
        <v/>
      </c>
      <c r="AG1658" s="773"/>
    </row>
    <row r="1659" spans="1:64" ht="18.75" x14ac:dyDescent="0.25">
      <c r="A1659" s="758"/>
      <c r="B1659" s="737"/>
      <c r="C1659" s="730"/>
      <c r="D1659" s="739"/>
      <c r="E1659" s="765"/>
      <c r="F1659" s="765"/>
      <c r="G1659" s="765"/>
      <c r="H1659" s="765"/>
      <c r="I1659" s="746" t="str">
        <f t="shared" si="76"/>
        <v/>
      </c>
      <c r="J1659" s="731"/>
      <c r="K1659" s="731" t="str">
        <f t="shared" si="75"/>
        <v/>
      </c>
      <c r="L1659" s="726"/>
      <c r="M1659" s="726"/>
      <c r="N1659" s="726"/>
      <c r="O1659" s="726"/>
      <c r="P1659" s="726"/>
      <c r="Q1659" s="726"/>
      <c r="R1659" s="726"/>
      <c r="S1659" s="726"/>
      <c r="T1659" s="726"/>
      <c r="U1659" s="726"/>
      <c r="V1659" s="726"/>
      <c r="W1659" s="726"/>
      <c r="X1659" s="726"/>
      <c r="Y1659" s="726"/>
      <c r="Z1659" s="726"/>
      <c r="AA1659" s="732"/>
      <c r="AB1659" s="732"/>
      <c r="AC1659" s="732"/>
      <c r="AD1659" s="732"/>
      <c r="AE1659" s="733"/>
      <c r="AF1659" s="734" t="str">
        <f t="shared" si="77"/>
        <v/>
      </c>
      <c r="AG1659" s="773"/>
    </row>
    <row r="1660" spans="1:64" ht="18.75" x14ac:dyDescent="0.25">
      <c r="A1660" s="758"/>
      <c r="B1660" s="737"/>
      <c r="C1660" s="730"/>
      <c r="D1660" s="739"/>
      <c r="E1660" s="765"/>
      <c r="F1660" s="765"/>
      <c r="G1660" s="765"/>
      <c r="H1660" s="765"/>
      <c r="I1660" s="746" t="str">
        <f t="shared" si="76"/>
        <v/>
      </c>
      <c r="J1660" s="731"/>
      <c r="K1660" s="731" t="str">
        <f t="shared" si="75"/>
        <v/>
      </c>
      <c r="L1660" s="726"/>
      <c r="M1660" s="726"/>
      <c r="N1660" s="726"/>
      <c r="O1660" s="726"/>
      <c r="P1660" s="726"/>
      <c r="Q1660" s="726"/>
      <c r="R1660" s="726"/>
      <c r="S1660" s="726"/>
      <c r="T1660" s="726"/>
      <c r="U1660" s="726"/>
      <c r="V1660" s="726"/>
      <c r="W1660" s="726"/>
      <c r="X1660" s="726"/>
      <c r="Y1660" s="726"/>
      <c r="Z1660" s="726"/>
      <c r="AA1660" s="732"/>
      <c r="AB1660" s="732"/>
      <c r="AC1660" s="732"/>
      <c r="AD1660" s="732"/>
      <c r="AE1660" s="733"/>
      <c r="AF1660" s="734" t="str">
        <f t="shared" si="77"/>
        <v/>
      </c>
      <c r="AG1660" s="774"/>
      <c r="AH1660" s="778"/>
      <c r="AI1660" s="736"/>
      <c r="AJ1660" s="736"/>
      <c r="AK1660" s="736"/>
      <c r="AL1660" s="736"/>
      <c r="AM1660" s="736"/>
      <c r="AN1660" s="736"/>
      <c r="AO1660" s="736"/>
      <c r="AP1660" s="736"/>
      <c r="AQ1660" s="736"/>
      <c r="AR1660" s="736"/>
      <c r="AS1660" s="736"/>
      <c r="AT1660" s="736"/>
      <c r="AU1660" s="736"/>
      <c r="AV1660" s="736"/>
      <c r="AW1660" s="736"/>
      <c r="AX1660" s="736"/>
      <c r="AY1660" s="736"/>
      <c r="AZ1660" s="736"/>
      <c r="BA1660" s="736"/>
      <c r="BB1660" s="736"/>
      <c r="BC1660" s="736"/>
      <c r="BD1660" s="736"/>
      <c r="BE1660" s="736"/>
      <c r="BF1660" s="736"/>
      <c r="BG1660" s="736"/>
      <c r="BH1660" s="736"/>
      <c r="BI1660" s="736"/>
      <c r="BJ1660" s="736"/>
      <c r="BK1660" s="736"/>
      <c r="BL1660" s="736"/>
    </row>
    <row r="1661" spans="1:64" ht="18.75" x14ac:dyDescent="0.25">
      <c r="A1661" s="758"/>
      <c r="B1661" s="737"/>
      <c r="C1661" s="730"/>
      <c r="D1661" s="739"/>
      <c r="E1661" s="765"/>
      <c r="F1661" s="765"/>
      <c r="G1661" s="765"/>
      <c r="H1661" s="765"/>
      <c r="I1661" s="746" t="str">
        <f t="shared" si="76"/>
        <v/>
      </c>
      <c r="J1661" s="731"/>
      <c r="K1661" s="731" t="str">
        <f t="shared" si="75"/>
        <v/>
      </c>
      <c r="L1661" s="726"/>
      <c r="M1661" s="726"/>
      <c r="N1661" s="726"/>
      <c r="O1661" s="726"/>
      <c r="P1661" s="726"/>
      <c r="Q1661" s="726"/>
      <c r="R1661" s="726"/>
      <c r="S1661" s="726"/>
      <c r="T1661" s="726"/>
      <c r="U1661" s="726"/>
      <c r="V1661" s="726"/>
      <c r="W1661" s="726"/>
      <c r="X1661" s="726"/>
      <c r="Y1661" s="726"/>
      <c r="Z1661" s="726"/>
      <c r="AA1661" s="732"/>
      <c r="AB1661" s="732"/>
      <c r="AC1661" s="732"/>
      <c r="AD1661" s="732"/>
      <c r="AE1661" s="733"/>
      <c r="AF1661" s="734" t="str">
        <f t="shared" si="77"/>
        <v/>
      </c>
      <c r="AG1661" s="774"/>
      <c r="AH1661" s="778"/>
      <c r="AI1661" s="736"/>
      <c r="AJ1661" s="736"/>
      <c r="AK1661" s="736"/>
      <c r="AL1661" s="736"/>
      <c r="AM1661" s="736"/>
      <c r="AN1661" s="736"/>
      <c r="AO1661" s="736"/>
      <c r="AP1661" s="736"/>
      <c r="AQ1661" s="736"/>
      <c r="AR1661" s="736"/>
      <c r="AS1661" s="736"/>
      <c r="AT1661" s="736"/>
      <c r="AU1661" s="736"/>
      <c r="AV1661" s="736"/>
      <c r="AW1661" s="736"/>
      <c r="AX1661" s="736"/>
      <c r="AY1661" s="736"/>
      <c r="AZ1661" s="736"/>
      <c r="BA1661" s="736"/>
      <c r="BB1661" s="736"/>
      <c r="BC1661" s="736"/>
      <c r="BD1661" s="736"/>
      <c r="BE1661" s="736"/>
      <c r="BF1661" s="736"/>
      <c r="BG1661" s="736"/>
      <c r="BH1661" s="736"/>
      <c r="BI1661" s="736"/>
      <c r="BJ1661" s="736"/>
      <c r="BK1661" s="736"/>
      <c r="BL1661" s="736"/>
    </row>
    <row r="1662" spans="1:64" ht="18.75" x14ac:dyDescent="0.25">
      <c r="A1662" s="758"/>
      <c r="B1662" s="737"/>
      <c r="C1662" s="730"/>
      <c r="D1662" s="739"/>
      <c r="E1662" s="765"/>
      <c r="F1662" s="765"/>
      <c r="G1662" s="765"/>
      <c r="H1662" s="765"/>
      <c r="I1662" s="746" t="str">
        <f t="shared" si="76"/>
        <v/>
      </c>
      <c r="J1662" s="731"/>
      <c r="K1662" s="731" t="str">
        <f t="shared" si="75"/>
        <v/>
      </c>
      <c r="L1662" s="726"/>
      <c r="M1662" s="726"/>
      <c r="N1662" s="726"/>
      <c r="O1662" s="726"/>
      <c r="P1662" s="726"/>
      <c r="Q1662" s="726"/>
      <c r="R1662" s="726"/>
      <c r="S1662" s="726"/>
      <c r="T1662" s="726"/>
      <c r="U1662" s="726"/>
      <c r="V1662" s="726"/>
      <c r="W1662" s="726"/>
      <c r="X1662" s="726"/>
      <c r="Y1662" s="726"/>
      <c r="Z1662" s="726"/>
      <c r="AA1662" s="732"/>
      <c r="AB1662" s="732"/>
      <c r="AC1662" s="732"/>
      <c r="AD1662" s="732"/>
      <c r="AE1662" s="733"/>
      <c r="AF1662" s="734" t="str">
        <f t="shared" si="77"/>
        <v/>
      </c>
      <c r="AG1662" s="773"/>
    </row>
    <row r="1663" spans="1:64" ht="18.75" x14ac:dyDescent="0.25">
      <c r="A1663" s="758"/>
      <c r="B1663" s="737"/>
      <c r="C1663" s="730"/>
      <c r="D1663" s="739"/>
      <c r="E1663" s="765"/>
      <c r="F1663" s="765"/>
      <c r="G1663" s="765"/>
      <c r="H1663" s="765"/>
      <c r="I1663" s="746" t="str">
        <f t="shared" si="76"/>
        <v/>
      </c>
      <c r="J1663" s="731"/>
      <c r="K1663" s="731" t="str">
        <f t="shared" si="75"/>
        <v/>
      </c>
      <c r="L1663" s="726"/>
      <c r="M1663" s="726"/>
      <c r="N1663" s="726"/>
      <c r="O1663" s="726"/>
      <c r="P1663" s="726"/>
      <c r="Q1663" s="726"/>
      <c r="R1663" s="726"/>
      <c r="S1663" s="726"/>
      <c r="T1663" s="726"/>
      <c r="U1663" s="726"/>
      <c r="V1663" s="726"/>
      <c r="W1663" s="726"/>
      <c r="X1663" s="726"/>
      <c r="Y1663" s="726"/>
      <c r="Z1663" s="726"/>
      <c r="AA1663" s="732"/>
      <c r="AB1663" s="732"/>
      <c r="AC1663" s="732"/>
      <c r="AD1663" s="732"/>
      <c r="AE1663" s="733"/>
      <c r="AF1663" s="734" t="str">
        <f t="shared" si="77"/>
        <v/>
      </c>
      <c r="AG1663" s="773"/>
    </row>
    <row r="1664" spans="1:64" ht="18.75" x14ac:dyDescent="0.25">
      <c r="A1664" s="758"/>
      <c r="B1664" s="737"/>
      <c r="C1664" s="730"/>
      <c r="D1664" s="739"/>
      <c r="E1664" s="765"/>
      <c r="F1664" s="765"/>
      <c r="G1664" s="765"/>
      <c r="H1664" s="765"/>
      <c r="I1664" s="746" t="str">
        <f t="shared" si="76"/>
        <v/>
      </c>
      <c r="J1664" s="731"/>
      <c r="K1664" s="731" t="str">
        <f t="shared" si="75"/>
        <v/>
      </c>
      <c r="L1664" s="726"/>
      <c r="M1664" s="726"/>
      <c r="N1664" s="726"/>
      <c r="O1664" s="726"/>
      <c r="P1664" s="726"/>
      <c r="Q1664" s="726"/>
      <c r="R1664" s="726"/>
      <c r="S1664" s="726"/>
      <c r="T1664" s="726"/>
      <c r="U1664" s="726"/>
      <c r="V1664" s="726"/>
      <c r="W1664" s="726"/>
      <c r="X1664" s="726"/>
      <c r="Y1664" s="726"/>
      <c r="Z1664" s="726"/>
      <c r="AA1664" s="732"/>
      <c r="AB1664" s="732"/>
      <c r="AC1664" s="732"/>
      <c r="AD1664" s="732"/>
      <c r="AE1664" s="733"/>
      <c r="AF1664" s="734" t="str">
        <f t="shared" si="77"/>
        <v/>
      </c>
      <c r="AG1664" s="774"/>
      <c r="AH1664" s="778"/>
      <c r="AI1664" s="736"/>
      <c r="AJ1664" s="736"/>
      <c r="AK1664" s="736"/>
      <c r="AL1664" s="736"/>
      <c r="AM1664" s="736"/>
      <c r="AN1664" s="736"/>
      <c r="AO1664" s="736"/>
      <c r="AP1664" s="736"/>
      <c r="AQ1664" s="736"/>
      <c r="AR1664" s="736"/>
      <c r="AS1664" s="736"/>
      <c r="AT1664" s="736"/>
      <c r="AU1664" s="736"/>
      <c r="AV1664" s="736"/>
      <c r="AW1664" s="736"/>
      <c r="AX1664" s="736"/>
      <c r="AY1664" s="736"/>
      <c r="AZ1664" s="736"/>
      <c r="BA1664" s="736"/>
      <c r="BB1664" s="736"/>
      <c r="BC1664" s="736"/>
      <c r="BD1664" s="736"/>
      <c r="BE1664" s="736"/>
      <c r="BF1664" s="736"/>
      <c r="BG1664" s="736"/>
      <c r="BH1664" s="736"/>
      <c r="BI1664" s="736"/>
      <c r="BJ1664" s="736"/>
      <c r="BK1664" s="736"/>
      <c r="BL1664" s="736"/>
    </row>
    <row r="1665" spans="1:64" ht="18.75" x14ac:dyDescent="0.25">
      <c r="A1665" s="758"/>
      <c r="B1665" s="737"/>
      <c r="C1665" s="730"/>
      <c r="D1665" s="739"/>
      <c r="E1665" s="765"/>
      <c r="F1665" s="765"/>
      <c r="G1665" s="765"/>
      <c r="H1665" s="765"/>
      <c r="I1665" s="746" t="str">
        <f t="shared" si="76"/>
        <v/>
      </c>
      <c r="J1665" s="731"/>
      <c r="K1665" s="731" t="str">
        <f t="shared" si="75"/>
        <v/>
      </c>
      <c r="L1665" s="726"/>
      <c r="M1665" s="726"/>
      <c r="N1665" s="726"/>
      <c r="O1665" s="726"/>
      <c r="P1665" s="726"/>
      <c r="Q1665" s="726"/>
      <c r="R1665" s="726"/>
      <c r="S1665" s="726"/>
      <c r="T1665" s="726"/>
      <c r="U1665" s="726"/>
      <c r="V1665" s="726"/>
      <c r="W1665" s="726"/>
      <c r="X1665" s="726"/>
      <c r="Y1665" s="726"/>
      <c r="Z1665" s="726"/>
      <c r="AA1665" s="732"/>
      <c r="AB1665" s="732"/>
      <c r="AC1665" s="732"/>
      <c r="AD1665" s="732"/>
      <c r="AE1665" s="733"/>
      <c r="AF1665" s="734" t="str">
        <f t="shared" si="77"/>
        <v/>
      </c>
      <c r="AG1665" s="773"/>
    </row>
    <row r="1666" spans="1:64" ht="18.75" x14ac:dyDescent="0.25">
      <c r="A1666" s="758"/>
      <c r="B1666" s="737"/>
      <c r="C1666" s="730"/>
      <c r="D1666" s="739"/>
      <c r="E1666" s="765"/>
      <c r="F1666" s="765"/>
      <c r="G1666" s="765"/>
      <c r="H1666" s="765"/>
      <c r="I1666" s="746" t="str">
        <f t="shared" si="76"/>
        <v/>
      </c>
      <c r="J1666" s="731"/>
      <c r="K1666" s="731" t="str">
        <f t="shared" si="75"/>
        <v/>
      </c>
      <c r="L1666" s="726"/>
      <c r="M1666" s="726"/>
      <c r="N1666" s="726"/>
      <c r="O1666" s="726"/>
      <c r="P1666" s="726"/>
      <c r="Q1666" s="726"/>
      <c r="R1666" s="726"/>
      <c r="S1666" s="726"/>
      <c r="T1666" s="726"/>
      <c r="U1666" s="726"/>
      <c r="V1666" s="726"/>
      <c r="W1666" s="726"/>
      <c r="X1666" s="726"/>
      <c r="Y1666" s="726"/>
      <c r="Z1666" s="726"/>
      <c r="AA1666" s="732"/>
      <c r="AB1666" s="732"/>
      <c r="AC1666" s="732"/>
      <c r="AD1666" s="732"/>
      <c r="AE1666" s="733"/>
      <c r="AF1666" s="734" t="str">
        <f t="shared" si="77"/>
        <v/>
      </c>
      <c r="AG1666" s="773"/>
    </row>
    <row r="1667" spans="1:64" ht="18.75" x14ac:dyDescent="0.25">
      <c r="A1667" s="758"/>
      <c r="B1667" s="737"/>
      <c r="C1667" s="730"/>
      <c r="D1667" s="739"/>
      <c r="E1667" s="765"/>
      <c r="F1667" s="765"/>
      <c r="G1667" s="765"/>
      <c r="H1667" s="765"/>
      <c r="I1667" s="746" t="str">
        <f t="shared" si="76"/>
        <v/>
      </c>
      <c r="J1667" s="731"/>
      <c r="K1667" s="731" t="str">
        <f t="shared" si="75"/>
        <v/>
      </c>
      <c r="L1667" s="726"/>
      <c r="M1667" s="726"/>
      <c r="N1667" s="726"/>
      <c r="O1667" s="726"/>
      <c r="P1667" s="726"/>
      <c r="Q1667" s="726"/>
      <c r="R1667" s="726"/>
      <c r="S1667" s="726"/>
      <c r="T1667" s="726"/>
      <c r="U1667" s="726"/>
      <c r="V1667" s="726"/>
      <c r="W1667" s="726"/>
      <c r="X1667" s="726"/>
      <c r="Y1667" s="726"/>
      <c r="Z1667" s="726"/>
      <c r="AA1667" s="732"/>
      <c r="AB1667" s="732"/>
      <c r="AC1667" s="732"/>
      <c r="AD1667" s="732"/>
      <c r="AE1667" s="733"/>
      <c r="AF1667" s="734" t="str">
        <f t="shared" si="77"/>
        <v/>
      </c>
      <c r="AG1667" s="774"/>
      <c r="AH1667" s="778"/>
      <c r="AI1667" s="736"/>
      <c r="AJ1667" s="736"/>
      <c r="AK1667" s="736"/>
      <c r="AL1667" s="736"/>
      <c r="AM1667" s="736"/>
      <c r="AN1667" s="736"/>
      <c r="AO1667" s="736"/>
      <c r="AP1667" s="736"/>
      <c r="AQ1667" s="736"/>
      <c r="AR1667" s="736"/>
      <c r="AS1667" s="736"/>
      <c r="AT1667" s="736"/>
      <c r="AU1667" s="736"/>
      <c r="AV1667" s="736"/>
      <c r="AW1667" s="736"/>
      <c r="AX1667" s="736"/>
      <c r="AY1667" s="736"/>
      <c r="AZ1667" s="736"/>
      <c r="BA1667" s="736"/>
      <c r="BB1667" s="736"/>
      <c r="BC1667" s="736"/>
      <c r="BD1667" s="736"/>
      <c r="BE1667" s="736"/>
      <c r="BF1667" s="736"/>
      <c r="BG1667" s="736"/>
      <c r="BH1667" s="736"/>
      <c r="BI1667" s="736"/>
      <c r="BJ1667" s="736"/>
      <c r="BK1667" s="736"/>
      <c r="BL1667" s="736"/>
    </row>
    <row r="1668" spans="1:64" ht="18.75" x14ac:dyDescent="0.25">
      <c r="A1668" s="758"/>
      <c r="B1668" s="737"/>
      <c r="C1668" s="730"/>
      <c r="D1668" s="739"/>
      <c r="E1668" s="765"/>
      <c r="F1668" s="765"/>
      <c r="G1668" s="765"/>
      <c r="H1668" s="765"/>
      <c r="I1668" s="746" t="str">
        <f t="shared" si="76"/>
        <v/>
      </c>
      <c r="J1668" s="731"/>
      <c r="K1668" s="731" t="str">
        <f t="shared" ref="K1668:K1731" si="78">IF(AA1668-AE1668 = 0,"",AA1668-AE1668)</f>
        <v/>
      </c>
      <c r="L1668" s="726"/>
      <c r="M1668" s="726"/>
      <c r="N1668" s="726"/>
      <c r="O1668" s="726"/>
      <c r="P1668" s="726"/>
      <c r="Q1668" s="726"/>
      <c r="R1668" s="726"/>
      <c r="S1668" s="726"/>
      <c r="T1668" s="726"/>
      <c r="U1668" s="726"/>
      <c r="V1668" s="726"/>
      <c r="W1668" s="726"/>
      <c r="X1668" s="726"/>
      <c r="Y1668" s="726"/>
      <c r="Z1668" s="726"/>
      <c r="AA1668" s="732"/>
      <c r="AB1668" s="732"/>
      <c r="AC1668" s="732"/>
      <c r="AD1668" s="732"/>
      <c r="AE1668" s="733"/>
      <c r="AF1668" s="734" t="str">
        <f t="shared" si="77"/>
        <v/>
      </c>
      <c r="AG1668" s="773"/>
    </row>
    <row r="1669" spans="1:64" ht="18.75" x14ac:dyDescent="0.25">
      <c r="A1669" s="758"/>
      <c r="B1669" s="737"/>
      <c r="C1669" s="730"/>
      <c r="D1669" s="739"/>
      <c r="E1669" s="765"/>
      <c r="F1669" s="765"/>
      <c r="G1669" s="765"/>
      <c r="H1669" s="765"/>
      <c r="I1669" s="746" t="str">
        <f t="shared" ref="I1669:I1732" si="79">AF1669</f>
        <v/>
      </c>
      <c r="J1669" s="731"/>
      <c r="K1669" s="731" t="str">
        <f t="shared" si="78"/>
        <v/>
      </c>
      <c r="L1669" s="726"/>
      <c r="M1669" s="726"/>
      <c r="N1669" s="726"/>
      <c r="O1669" s="726"/>
      <c r="P1669" s="726"/>
      <c r="Q1669" s="726"/>
      <c r="R1669" s="726"/>
      <c r="S1669" s="726"/>
      <c r="T1669" s="726"/>
      <c r="U1669" s="726"/>
      <c r="V1669" s="726"/>
      <c r="W1669" s="726"/>
      <c r="X1669" s="726"/>
      <c r="Y1669" s="726"/>
      <c r="Z1669" s="726"/>
      <c r="AA1669" s="732"/>
      <c r="AB1669" s="732"/>
      <c r="AC1669" s="732"/>
      <c r="AD1669" s="732"/>
      <c r="AE1669" s="733"/>
      <c r="AF1669" s="734" t="str">
        <f t="shared" ref="AF1669:AF1732" si="80">IF(AE1669 &lt;&gt;"", AE1669/AA1669,"")</f>
        <v/>
      </c>
      <c r="AG1669" s="774"/>
      <c r="AH1669" s="778"/>
      <c r="AI1669" s="736"/>
      <c r="AJ1669" s="736"/>
      <c r="AK1669" s="736"/>
      <c r="AL1669" s="736"/>
      <c r="AM1669" s="736"/>
      <c r="AN1669" s="736"/>
      <c r="AO1669" s="736"/>
      <c r="AP1669" s="736"/>
      <c r="AQ1669" s="736"/>
      <c r="AR1669" s="736"/>
      <c r="AS1669" s="736"/>
      <c r="AT1669" s="736"/>
      <c r="AU1669" s="736"/>
      <c r="AV1669" s="736"/>
      <c r="AW1669" s="736"/>
      <c r="AX1669" s="736"/>
      <c r="AY1669" s="736"/>
      <c r="AZ1669" s="736"/>
      <c r="BA1669" s="736"/>
      <c r="BB1669" s="736"/>
      <c r="BC1669" s="736"/>
      <c r="BD1669" s="736"/>
      <c r="BE1669" s="736"/>
      <c r="BF1669" s="736"/>
      <c r="BG1669" s="736"/>
      <c r="BH1669" s="736"/>
      <c r="BI1669" s="736"/>
      <c r="BJ1669" s="736"/>
      <c r="BK1669" s="736"/>
      <c r="BL1669" s="736"/>
    </row>
    <row r="1670" spans="1:64" ht="18.75" x14ac:dyDescent="0.25">
      <c r="A1670" s="758"/>
      <c r="B1670" s="737"/>
      <c r="C1670" s="730"/>
      <c r="D1670" s="739"/>
      <c r="E1670" s="765"/>
      <c r="F1670" s="765"/>
      <c r="G1670" s="765"/>
      <c r="H1670" s="765"/>
      <c r="I1670" s="746" t="str">
        <f t="shared" si="79"/>
        <v/>
      </c>
      <c r="J1670" s="731"/>
      <c r="K1670" s="731" t="str">
        <f t="shared" si="78"/>
        <v/>
      </c>
      <c r="L1670" s="726"/>
      <c r="M1670" s="726"/>
      <c r="N1670" s="726"/>
      <c r="O1670" s="726"/>
      <c r="P1670" s="726"/>
      <c r="Q1670" s="726"/>
      <c r="R1670" s="726"/>
      <c r="S1670" s="726"/>
      <c r="T1670" s="726"/>
      <c r="U1670" s="726"/>
      <c r="V1670" s="726"/>
      <c r="W1670" s="726"/>
      <c r="X1670" s="726"/>
      <c r="Y1670" s="726"/>
      <c r="Z1670" s="726"/>
      <c r="AA1670" s="732"/>
      <c r="AB1670" s="732"/>
      <c r="AC1670" s="732"/>
      <c r="AD1670" s="732"/>
      <c r="AE1670" s="733"/>
      <c r="AF1670" s="734" t="str">
        <f t="shared" si="80"/>
        <v/>
      </c>
      <c r="AG1670" s="774"/>
      <c r="AH1670" s="778"/>
      <c r="AI1670" s="736"/>
      <c r="AJ1670" s="736"/>
      <c r="AK1670" s="736"/>
      <c r="AL1670" s="736"/>
      <c r="AM1670" s="736"/>
      <c r="AN1670" s="736"/>
      <c r="AO1670" s="736"/>
      <c r="AP1670" s="736"/>
      <c r="AQ1670" s="736"/>
      <c r="AR1670" s="736"/>
      <c r="AS1670" s="736"/>
      <c r="AT1670" s="736"/>
      <c r="AU1670" s="736"/>
      <c r="AV1670" s="736"/>
      <c r="AW1670" s="736"/>
      <c r="AX1670" s="736"/>
      <c r="AY1670" s="736"/>
      <c r="AZ1670" s="736"/>
      <c r="BA1670" s="736"/>
      <c r="BB1670" s="736"/>
      <c r="BC1670" s="736"/>
      <c r="BD1670" s="736"/>
      <c r="BE1670" s="736"/>
      <c r="BF1670" s="736"/>
      <c r="BG1670" s="736"/>
      <c r="BH1670" s="736"/>
      <c r="BI1670" s="736"/>
      <c r="BJ1670" s="736"/>
      <c r="BK1670" s="736"/>
      <c r="BL1670" s="736"/>
    </row>
    <row r="1671" spans="1:64" ht="18.75" x14ac:dyDescent="0.25">
      <c r="A1671" s="758"/>
      <c r="B1671" s="737"/>
      <c r="C1671" s="730"/>
      <c r="D1671" s="739"/>
      <c r="E1671" s="765"/>
      <c r="F1671" s="765"/>
      <c r="G1671" s="765"/>
      <c r="H1671" s="765"/>
      <c r="I1671" s="746" t="str">
        <f t="shared" si="79"/>
        <v/>
      </c>
      <c r="J1671" s="731"/>
      <c r="K1671" s="731" t="str">
        <f t="shared" si="78"/>
        <v/>
      </c>
      <c r="L1671" s="726"/>
      <c r="M1671" s="726"/>
      <c r="N1671" s="726"/>
      <c r="O1671" s="726"/>
      <c r="P1671" s="726"/>
      <c r="Q1671" s="726"/>
      <c r="R1671" s="726"/>
      <c r="S1671" s="726"/>
      <c r="T1671" s="726"/>
      <c r="U1671" s="726"/>
      <c r="V1671" s="726"/>
      <c r="W1671" s="726"/>
      <c r="X1671" s="726"/>
      <c r="Y1671" s="726"/>
      <c r="Z1671" s="726"/>
      <c r="AA1671" s="732"/>
      <c r="AB1671" s="732"/>
      <c r="AC1671" s="732"/>
      <c r="AD1671" s="732"/>
      <c r="AE1671" s="733"/>
      <c r="AF1671" s="734" t="str">
        <f t="shared" si="80"/>
        <v/>
      </c>
      <c r="AG1671" s="773"/>
    </row>
    <row r="1672" spans="1:64" ht="18.75" x14ac:dyDescent="0.25">
      <c r="A1672" s="758"/>
      <c r="B1672" s="737"/>
      <c r="C1672" s="730"/>
      <c r="D1672" s="739"/>
      <c r="E1672" s="765"/>
      <c r="F1672" s="765"/>
      <c r="G1672" s="765"/>
      <c r="H1672" s="765"/>
      <c r="I1672" s="746" t="str">
        <f t="shared" si="79"/>
        <v/>
      </c>
      <c r="J1672" s="731"/>
      <c r="K1672" s="731" t="str">
        <f t="shared" si="78"/>
        <v/>
      </c>
      <c r="L1672" s="726"/>
      <c r="M1672" s="726"/>
      <c r="N1672" s="726"/>
      <c r="O1672" s="726"/>
      <c r="P1672" s="726"/>
      <c r="Q1672" s="726"/>
      <c r="R1672" s="726"/>
      <c r="S1672" s="726"/>
      <c r="T1672" s="726"/>
      <c r="U1672" s="726"/>
      <c r="V1672" s="726"/>
      <c r="W1672" s="726"/>
      <c r="X1672" s="726"/>
      <c r="Y1672" s="726"/>
      <c r="Z1672" s="726"/>
      <c r="AA1672" s="732"/>
      <c r="AB1672" s="732"/>
      <c r="AC1672" s="732"/>
      <c r="AD1672" s="732"/>
      <c r="AE1672" s="733"/>
      <c r="AF1672" s="734" t="str">
        <f t="shared" si="80"/>
        <v/>
      </c>
      <c r="AG1672" s="774"/>
      <c r="AH1672" s="778"/>
      <c r="AI1672" s="736"/>
      <c r="AJ1672" s="736"/>
      <c r="AK1672" s="736"/>
      <c r="AL1672" s="736"/>
      <c r="AM1672" s="736"/>
      <c r="AN1672" s="736"/>
      <c r="AO1672" s="736"/>
      <c r="AP1672" s="736"/>
      <c r="AQ1672" s="736"/>
      <c r="AR1672" s="736"/>
      <c r="AS1672" s="736"/>
      <c r="AT1672" s="736"/>
      <c r="AU1672" s="736"/>
      <c r="AV1672" s="736"/>
      <c r="AW1672" s="736"/>
      <c r="AX1672" s="736"/>
      <c r="AY1672" s="736"/>
      <c r="AZ1672" s="736"/>
      <c r="BA1672" s="736"/>
      <c r="BB1672" s="736"/>
      <c r="BC1672" s="736"/>
      <c r="BD1672" s="736"/>
      <c r="BE1672" s="736"/>
      <c r="BF1672" s="736"/>
      <c r="BG1672" s="736"/>
      <c r="BH1672" s="736"/>
      <c r="BI1672" s="736"/>
      <c r="BJ1672" s="736"/>
      <c r="BK1672" s="736"/>
      <c r="BL1672" s="736"/>
    </row>
    <row r="1673" spans="1:64" ht="18.75" x14ac:dyDescent="0.25">
      <c r="A1673" s="758"/>
      <c r="B1673" s="737"/>
      <c r="C1673" s="730"/>
      <c r="D1673" s="739"/>
      <c r="E1673" s="765"/>
      <c r="F1673" s="765"/>
      <c r="G1673" s="765"/>
      <c r="H1673" s="765"/>
      <c r="I1673" s="746" t="str">
        <f t="shared" si="79"/>
        <v/>
      </c>
      <c r="J1673" s="731"/>
      <c r="K1673" s="731" t="str">
        <f t="shared" si="78"/>
        <v/>
      </c>
      <c r="L1673" s="726"/>
      <c r="M1673" s="726"/>
      <c r="N1673" s="726"/>
      <c r="O1673" s="726"/>
      <c r="P1673" s="726"/>
      <c r="Q1673" s="726"/>
      <c r="R1673" s="726"/>
      <c r="S1673" s="726"/>
      <c r="T1673" s="726"/>
      <c r="U1673" s="726"/>
      <c r="V1673" s="726"/>
      <c r="W1673" s="726"/>
      <c r="X1673" s="726"/>
      <c r="Y1673" s="726"/>
      <c r="Z1673" s="726"/>
      <c r="AA1673" s="732"/>
      <c r="AB1673" s="732"/>
      <c r="AC1673" s="732"/>
      <c r="AD1673" s="732"/>
      <c r="AE1673" s="733"/>
      <c r="AF1673" s="734" t="str">
        <f t="shared" si="80"/>
        <v/>
      </c>
      <c r="AG1673" s="773"/>
    </row>
    <row r="1674" spans="1:64" ht="18.75" x14ac:dyDescent="0.25">
      <c r="A1674" s="758"/>
      <c r="B1674" s="737"/>
      <c r="C1674" s="730"/>
      <c r="D1674" s="739"/>
      <c r="E1674" s="765"/>
      <c r="F1674" s="765"/>
      <c r="G1674" s="765"/>
      <c r="H1674" s="765"/>
      <c r="I1674" s="746" t="str">
        <f t="shared" si="79"/>
        <v/>
      </c>
      <c r="J1674" s="731"/>
      <c r="K1674" s="731" t="str">
        <f t="shared" si="78"/>
        <v/>
      </c>
      <c r="L1674" s="726"/>
      <c r="M1674" s="726"/>
      <c r="N1674" s="726"/>
      <c r="O1674" s="726"/>
      <c r="P1674" s="726"/>
      <c r="Q1674" s="726"/>
      <c r="R1674" s="726"/>
      <c r="S1674" s="726"/>
      <c r="T1674" s="726"/>
      <c r="U1674" s="726"/>
      <c r="V1674" s="726"/>
      <c r="W1674" s="726"/>
      <c r="X1674" s="726"/>
      <c r="Y1674" s="726"/>
      <c r="Z1674" s="726"/>
      <c r="AA1674" s="732"/>
      <c r="AB1674" s="732"/>
      <c r="AC1674" s="732"/>
      <c r="AD1674" s="732"/>
      <c r="AE1674" s="733"/>
      <c r="AF1674" s="734" t="str">
        <f t="shared" si="80"/>
        <v/>
      </c>
      <c r="AG1674" s="774"/>
      <c r="AH1674" s="778"/>
      <c r="AI1674" s="736"/>
      <c r="AJ1674" s="736"/>
      <c r="AK1674" s="736"/>
      <c r="AL1674" s="736"/>
      <c r="AM1674" s="736"/>
      <c r="AN1674" s="736"/>
      <c r="AO1674" s="736"/>
      <c r="AP1674" s="736"/>
      <c r="AQ1674" s="736"/>
      <c r="AR1674" s="736"/>
      <c r="AS1674" s="736"/>
      <c r="AT1674" s="736"/>
      <c r="AU1674" s="736"/>
      <c r="AV1674" s="736"/>
      <c r="AW1674" s="736"/>
      <c r="AX1674" s="736"/>
      <c r="AY1674" s="736"/>
      <c r="AZ1674" s="736"/>
      <c r="BA1674" s="736"/>
      <c r="BB1674" s="736"/>
      <c r="BC1674" s="736"/>
      <c r="BD1674" s="736"/>
      <c r="BE1674" s="736"/>
      <c r="BF1674" s="736"/>
      <c r="BG1674" s="736"/>
      <c r="BH1674" s="736"/>
      <c r="BI1674" s="736"/>
      <c r="BJ1674" s="736"/>
      <c r="BK1674" s="736"/>
      <c r="BL1674" s="736"/>
    </row>
    <row r="1675" spans="1:64" ht="18.75" x14ac:dyDescent="0.25">
      <c r="A1675" s="758"/>
      <c r="B1675" s="737"/>
      <c r="C1675" s="730"/>
      <c r="D1675" s="739"/>
      <c r="E1675" s="765"/>
      <c r="F1675" s="765"/>
      <c r="G1675" s="765"/>
      <c r="H1675" s="765"/>
      <c r="I1675" s="746" t="str">
        <f t="shared" si="79"/>
        <v/>
      </c>
      <c r="J1675" s="731"/>
      <c r="K1675" s="731" t="str">
        <f t="shared" si="78"/>
        <v/>
      </c>
      <c r="L1675" s="726"/>
      <c r="M1675" s="726"/>
      <c r="N1675" s="726"/>
      <c r="O1675" s="726"/>
      <c r="P1675" s="726"/>
      <c r="Q1675" s="726"/>
      <c r="R1675" s="726"/>
      <c r="S1675" s="726"/>
      <c r="T1675" s="726"/>
      <c r="U1675" s="726"/>
      <c r="V1675" s="726"/>
      <c r="W1675" s="726"/>
      <c r="X1675" s="726"/>
      <c r="Y1675" s="726"/>
      <c r="Z1675" s="726"/>
      <c r="AA1675" s="732"/>
      <c r="AB1675" s="732"/>
      <c r="AC1675" s="732"/>
      <c r="AD1675" s="732"/>
      <c r="AE1675" s="733"/>
      <c r="AF1675" s="734" t="str">
        <f t="shared" si="80"/>
        <v/>
      </c>
      <c r="AG1675" s="774"/>
      <c r="AH1675" s="778"/>
      <c r="AI1675" s="736"/>
      <c r="AJ1675" s="736"/>
      <c r="AK1675" s="736"/>
      <c r="AL1675" s="736"/>
      <c r="AM1675" s="736"/>
      <c r="AN1675" s="736"/>
      <c r="AO1675" s="736"/>
      <c r="AP1675" s="736"/>
      <c r="AQ1675" s="736"/>
      <c r="AR1675" s="736"/>
      <c r="AS1675" s="736"/>
      <c r="AT1675" s="736"/>
      <c r="AU1675" s="736"/>
      <c r="AV1675" s="736"/>
      <c r="AW1675" s="736"/>
      <c r="AX1675" s="736"/>
      <c r="AY1675" s="736"/>
      <c r="AZ1675" s="736"/>
      <c r="BA1675" s="736"/>
      <c r="BB1675" s="736"/>
      <c r="BC1675" s="736"/>
      <c r="BD1675" s="736"/>
      <c r="BE1675" s="736"/>
      <c r="BF1675" s="736"/>
      <c r="BG1675" s="736"/>
      <c r="BH1675" s="736"/>
      <c r="BI1675" s="736"/>
      <c r="BJ1675" s="736"/>
      <c r="BK1675" s="736"/>
      <c r="BL1675" s="736"/>
    </row>
    <row r="1676" spans="1:64" ht="18.75" x14ac:dyDescent="0.25">
      <c r="A1676" s="758"/>
      <c r="B1676" s="737"/>
      <c r="C1676" s="730"/>
      <c r="D1676" s="739"/>
      <c r="E1676" s="765"/>
      <c r="F1676" s="765"/>
      <c r="G1676" s="765"/>
      <c r="H1676" s="765"/>
      <c r="I1676" s="746" t="str">
        <f t="shared" si="79"/>
        <v/>
      </c>
      <c r="J1676" s="731"/>
      <c r="K1676" s="731" t="str">
        <f t="shared" si="78"/>
        <v/>
      </c>
      <c r="L1676" s="726"/>
      <c r="M1676" s="726"/>
      <c r="N1676" s="726"/>
      <c r="O1676" s="726"/>
      <c r="P1676" s="726"/>
      <c r="Q1676" s="726"/>
      <c r="R1676" s="726"/>
      <c r="S1676" s="726"/>
      <c r="T1676" s="726"/>
      <c r="U1676" s="726"/>
      <c r="V1676" s="726"/>
      <c r="W1676" s="726"/>
      <c r="X1676" s="726"/>
      <c r="Y1676" s="726"/>
      <c r="Z1676" s="726"/>
      <c r="AA1676" s="732"/>
      <c r="AB1676" s="732"/>
      <c r="AC1676" s="732"/>
      <c r="AD1676" s="732"/>
      <c r="AE1676" s="733"/>
      <c r="AF1676" s="734" t="str">
        <f t="shared" si="80"/>
        <v/>
      </c>
      <c r="AG1676" s="774"/>
      <c r="AH1676" s="778"/>
      <c r="AI1676" s="736"/>
      <c r="AJ1676" s="736"/>
      <c r="AK1676" s="736"/>
      <c r="AL1676" s="736"/>
      <c r="AM1676" s="736"/>
      <c r="AN1676" s="736"/>
      <c r="AO1676" s="736"/>
      <c r="AP1676" s="736"/>
      <c r="AQ1676" s="736"/>
      <c r="AR1676" s="736"/>
      <c r="AS1676" s="736"/>
      <c r="AT1676" s="736"/>
      <c r="AU1676" s="736"/>
      <c r="AV1676" s="736"/>
      <c r="AW1676" s="736"/>
      <c r="AX1676" s="736"/>
      <c r="AY1676" s="736"/>
      <c r="AZ1676" s="736"/>
      <c r="BA1676" s="736"/>
      <c r="BB1676" s="736"/>
      <c r="BC1676" s="736"/>
      <c r="BD1676" s="736"/>
      <c r="BE1676" s="736"/>
      <c r="BF1676" s="736"/>
      <c r="BG1676" s="736"/>
      <c r="BH1676" s="736"/>
      <c r="BI1676" s="736"/>
      <c r="BJ1676" s="736"/>
      <c r="BK1676" s="736"/>
      <c r="BL1676" s="736"/>
    </row>
    <row r="1677" spans="1:64" ht="18.75" x14ac:dyDescent="0.25">
      <c r="A1677" s="758"/>
      <c r="B1677" s="737"/>
      <c r="C1677" s="730"/>
      <c r="D1677" s="739"/>
      <c r="E1677" s="765"/>
      <c r="F1677" s="765"/>
      <c r="G1677" s="765"/>
      <c r="H1677" s="765"/>
      <c r="I1677" s="746" t="str">
        <f t="shared" si="79"/>
        <v/>
      </c>
      <c r="J1677" s="731"/>
      <c r="K1677" s="731" t="str">
        <f t="shared" si="78"/>
        <v/>
      </c>
      <c r="L1677" s="726"/>
      <c r="M1677" s="726"/>
      <c r="N1677" s="726"/>
      <c r="O1677" s="726"/>
      <c r="P1677" s="726"/>
      <c r="Q1677" s="726"/>
      <c r="R1677" s="726"/>
      <c r="S1677" s="726"/>
      <c r="T1677" s="726"/>
      <c r="U1677" s="726"/>
      <c r="V1677" s="726"/>
      <c r="W1677" s="726"/>
      <c r="X1677" s="726"/>
      <c r="Y1677" s="726"/>
      <c r="Z1677" s="726"/>
      <c r="AA1677" s="732"/>
      <c r="AB1677" s="732"/>
      <c r="AC1677" s="732"/>
      <c r="AD1677" s="732"/>
      <c r="AE1677" s="733"/>
      <c r="AF1677" s="734" t="str">
        <f t="shared" si="80"/>
        <v/>
      </c>
      <c r="AG1677" s="774"/>
      <c r="AH1677" s="778"/>
      <c r="AI1677" s="736"/>
      <c r="AJ1677" s="736"/>
      <c r="AK1677" s="736"/>
      <c r="AL1677" s="736"/>
      <c r="AM1677" s="736"/>
      <c r="AN1677" s="736"/>
      <c r="AO1677" s="736"/>
      <c r="AP1677" s="736"/>
      <c r="AQ1677" s="736"/>
      <c r="AR1677" s="736"/>
      <c r="AS1677" s="736"/>
      <c r="AT1677" s="736"/>
      <c r="AU1677" s="736"/>
      <c r="AV1677" s="736"/>
      <c r="AW1677" s="736"/>
      <c r="AX1677" s="736"/>
      <c r="AY1677" s="736"/>
      <c r="AZ1677" s="736"/>
      <c r="BA1677" s="736"/>
      <c r="BB1677" s="736"/>
      <c r="BC1677" s="736"/>
      <c r="BD1677" s="736"/>
      <c r="BE1677" s="736"/>
      <c r="BF1677" s="736"/>
      <c r="BG1677" s="736"/>
      <c r="BH1677" s="736"/>
      <c r="BI1677" s="736"/>
      <c r="BJ1677" s="736"/>
      <c r="BK1677" s="736"/>
      <c r="BL1677" s="736"/>
    </row>
    <row r="1678" spans="1:64" ht="18.75" x14ac:dyDescent="0.25">
      <c r="A1678" s="758"/>
      <c r="B1678" s="737"/>
      <c r="C1678" s="730"/>
      <c r="D1678" s="739"/>
      <c r="E1678" s="765"/>
      <c r="F1678" s="765"/>
      <c r="G1678" s="765"/>
      <c r="H1678" s="765"/>
      <c r="I1678" s="746" t="str">
        <f t="shared" si="79"/>
        <v/>
      </c>
      <c r="J1678" s="731"/>
      <c r="K1678" s="731" t="str">
        <f t="shared" si="78"/>
        <v/>
      </c>
      <c r="L1678" s="726"/>
      <c r="M1678" s="726"/>
      <c r="N1678" s="726"/>
      <c r="O1678" s="726"/>
      <c r="P1678" s="726"/>
      <c r="Q1678" s="726"/>
      <c r="R1678" s="726"/>
      <c r="S1678" s="726"/>
      <c r="T1678" s="726"/>
      <c r="U1678" s="726"/>
      <c r="V1678" s="726"/>
      <c r="W1678" s="726"/>
      <c r="X1678" s="726"/>
      <c r="Y1678" s="726"/>
      <c r="Z1678" s="726"/>
      <c r="AA1678" s="732"/>
      <c r="AB1678" s="732"/>
      <c r="AC1678" s="732"/>
      <c r="AD1678" s="732"/>
      <c r="AE1678" s="733"/>
      <c r="AF1678" s="734" t="str">
        <f t="shared" si="80"/>
        <v/>
      </c>
      <c r="AG1678" s="774"/>
      <c r="AH1678" s="778"/>
      <c r="AI1678" s="736"/>
      <c r="AJ1678" s="736"/>
      <c r="AK1678" s="736"/>
      <c r="AL1678" s="736"/>
      <c r="AM1678" s="736"/>
      <c r="AN1678" s="736"/>
      <c r="AO1678" s="736"/>
      <c r="AP1678" s="736"/>
      <c r="AQ1678" s="736"/>
      <c r="AR1678" s="736"/>
      <c r="AS1678" s="736"/>
      <c r="AT1678" s="736"/>
      <c r="AU1678" s="736"/>
      <c r="AV1678" s="736"/>
      <c r="AW1678" s="736"/>
      <c r="AX1678" s="736"/>
      <c r="AY1678" s="736"/>
      <c r="AZ1678" s="736"/>
      <c r="BA1678" s="736"/>
      <c r="BB1678" s="736"/>
      <c r="BC1678" s="736"/>
      <c r="BD1678" s="736"/>
      <c r="BE1678" s="736"/>
      <c r="BF1678" s="736"/>
      <c r="BG1678" s="736"/>
      <c r="BH1678" s="736"/>
      <c r="BI1678" s="736"/>
      <c r="BJ1678" s="736"/>
      <c r="BK1678" s="736"/>
      <c r="BL1678" s="736"/>
    </row>
    <row r="1679" spans="1:64" ht="18.75" x14ac:dyDescent="0.25">
      <c r="A1679" s="758"/>
      <c r="B1679" s="737"/>
      <c r="C1679" s="730"/>
      <c r="D1679" s="739"/>
      <c r="E1679" s="765"/>
      <c r="F1679" s="765"/>
      <c r="G1679" s="765"/>
      <c r="H1679" s="765"/>
      <c r="I1679" s="746" t="str">
        <f t="shared" si="79"/>
        <v/>
      </c>
      <c r="J1679" s="731"/>
      <c r="K1679" s="731" t="str">
        <f t="shared" si="78"/>
        <v/>
      </c>
      <c r="L1679" s="726"/>
      <c r="M1679" s="726"/>
      <c r="N1679" s="726"/>
      <c r="O1679" s="726"/>
      <c r="P1679" s="726"/>
      <c r="Q1679" s="726"/>
      <c r="R1679" s="726"/>
      <c r="S1679" s="726"/>
      <c r="T1679" s="726"/>
      <c r="U1679" s="726"/>
      <c r="V1679" s="726"/>
      <c r="W1679" s="726"/>
      <c r="X1679" s="726"/>
      <c r="Y1679" s="726"/>
      <c r="Z1679" s="726"/>
      <c r="AA1679" s="732"/>
      <c r="AB1679" s="732"/>
      <c r="AC1679" s="732"/>
      <c r="AD1679" s="732"/>
      <c r="AE1679" s="733"/>
      <c r="AF1679" s="734" t="str">
        <f t="shared" si="80"/>
        <v/>
      </c>
      <c r="AG1679" s="774"/>
      <c r="AH1679" s="778"/>
      <c r="AI1679" s="736"/>
      <c r="AJ1679" s="736"/>
      <c r="AK1679" s="736"/>
      <c r="AL1679" s="736"/>
      <c r="AM1679" s="736"/>
      <c r="AN1679" s="736"/>
      <c r="AO1679" s="736"/>
      <c r="AP1679" s="736"/>
      <c r="AQ1679" s="736"/>
      <c r="AR1679" s="736"/>
      <c r="AS1679" s="736"/>
      <c r="AT1679" s="736"/>
      <c r="AU1679" s="736"/>
      <c r="AV1679" s="736"/>
      <c r="AW1679" s="736"/>
      <c r="AX1679" s="736"/>
      <c r="AY1679" s="736"/>
      <c r="AZ1679" s="736"/>
      <c r="BA1679" s="736"/>
      <c r="BB1679" s="736"/>
      <c r="BC1679" s="736"/>
      <c r="BD1679" s="736"/>
      <c r="BE1679" s="736"/>
      <c r="BF1679" s="736"/>
      <c r="BG1679" s="736"/>
      <c r="BH1679" s="736"/>
      <c r="BI1679" s="736"/>
      <c r="BJ1679" s="736"/>
      <c r="BK1679" s="736"/>
      <c r="BL1679" s="736"/>
    </row>
    <row r="1680" spans="1:64" ht="18.75" x14ac:dyDescent="0.25">
      <c r="A1680" s="758"/>
      <c r="B1680" s="737"/>
      <c r="C1680" s="730"/>
      <c r="D1680" s="739"/>
      <c r="E1680" s="765"/>
      <c r="F1680" s="765"/>
      <c r="G1680" s="765"/>
      <c r="H1680" s="765"/>
      <c r="I1680" s="746" t="str">
        <f t="shared" si="79"/>
        <v/>
      </c>
      <c r="J1680" s="731"/>
      <c r="K1680" s="731" t="str">
        <f t="shared" si="78"/>
        <v/>
      </c>
      <c r="L1680" s="726"/>
      <c r="M1680" s="726"/>
      <c r="N1680" s="726"/>
      <c r="O1680" s="726"/>
      <c r="P1680" s="726"/>
      <c r="Q1680" s="726"/>
      <c r="R1680" s="726"/>
      <c r="S1680" s="726"/>
      <c r="T1680" s="726"/>
      <c r="U1680" s="726"/>
      <c r="V1680" s="726"/>
      <c r="W1680" s="726"/>
      <c r="X1680" s="726"/>
      <c r="Y1680" s="726"/>
      <c r="Z1680" s="726"/>
      <c r="AA1680" s="732"/>
      <c r="AB1680" s="732"/>
      <c r="AC1680" s="732"/>
      <c r="AD1680" s="732"/>
      <c r="AE1680" s="733"/>
      <c r="AF1680" s="734" t="str">
        <f t="shared" si="80"/>
        <v/>
      </c>
      <c r="AG1680" s="774"/>
      <c r="AH1680" s="778"/>
      <c r="AI1680" s="736"/>
      <c r="AJ1680" s="736"/>
      <c r="AK1680" s="736"/>
      <c r="AL1680" s="736"/>
      <c r="AM1680" s="736"/>
      <c r="AN1680" s="736"/>
      <c r="AO1680" s="736"/>
      <c r="AP1680" s="736"/>
      <c r="AQ1680" s="736"/>
      <c r="AR1680" s="736"/>
      <c r="AS1680" s="736"/>
      <c r="AT1680" s="736"/>
      <c r="AU1680" s="736"/>
      <c r="AV1680" s="736"/>
      <c r="AW1680" s="736"/>
      <c r="AX1680" s="736"/>
      <c r="AY1680" s="736"/>
      <c r="AZ1680" s="736"/>
      <c r="BA1680" s="736"/>
      <c r="BB1680" s="736"/>
      <c r="BC1680" s="736"/>
      <c r="BD1680" s="736"/>
      <c r="BE1680" s="736"/>
      <c r="BF1680" s="736"/>
      <c r="BG1680" s="736"/>
      <c r="BH1680" s="736"/>
      <c r="BI1680" s="736"/>
      <c r="BJ1680" s="736"/>
      <c r="BK1680" s="736"/>
      <c r="BL1680" s="736"/>
    </row>
    <row r="1681" spans="1:64" ht="18.75" x14ac:dyDescent="0.25">
      <c r="A1681" s="758"/>
      <c r="B1681" s="737"/>
      <c r="C1681" s="730"/>
      <c r="D1681" s="739"/>
      <c r="E1681" s="765"/>
      <c r="F1681" s="765"/>
      <c r="G1681" s="765"/>
      <c r="H1681" s="765"/>
      <c r="I1681" s="746" t="str">
        <f t="shared" si="79"/>
        <v/>
      </c>
      <c r="J1681" s="731"/>
      <c r="K1681" s="731" t="str">
        <f t="shared" si="78"/>
        <v/>
      </c>
      <c r="L1681" s="726"/>
      <c r="M1681" s="726"/>
      <c r="N1681" s="726"/>
      <c r="O1681" s="726"/>
      <c r="P1681" s="726"/>
      <c r="Q1681" s="726"/>
      <c r="R1681" s="726"/>
      <c r="S1681" s="726"/>
      <c r="T1681" s="726"/>
      <c r="U1681" s="726"/>
      <c r="V1681" s="726"/>
      <c r="W1681" s="726"/>
      <c r="X1681" s="726"/>
      <c r="Y1681" s="726"/>
      <c r="Z1681" s="726"/>
      <c r="AA1681" s="732"/>
      <c r="AB1681" s="732"/>
      <c r="AC1681" s="732"/>
      <c r="AD1681" s="732"/>
      <c r="AE1681" s="733"/>
      <c r="AF1681" s="734" t="str">
        <f t="shared" si="80"/>
        <v/>
      </c>
      <c r="AG1681" s="773"/>
    </row>
    <row r="1682" spans="1:64" ht="18.75" x14ac:dyDescent="0.25">
      <c r="A1682" s="758"/>
      <c r="B1682" s="737"/>
      <c r="C1682" s="730"/>
      <c r="D1682" s="739"/>
      <c r="E1682" s="765"/>
      <c r="F1682" s="765"/>
      <c r="G1682" s="765"/>
      <c r="H1682" s="765"/>
      <c r="I1682" s="746" t="str">
        <f t="shared" si="79"/>
        <v/>
      </c>
      <c r="J1682" s="731"/>
      <c r="K1682" s="731" t="str">
        <f t="shared" si="78"/>
        <v/>
      </c>
      <c r="L1682" s="726"/>
      <c r="M1682" s="726"/>
      <c r="N1682" s="726"/>
      <c r="O1682" s="726"/>
      <c r="P1682" s="726"/>
      <c r="Q1682" s="726"/>
      <c r="R1682" s="726"/>
      <c r="S1682" s="726"/>
      <c r="T1682" s="726"/>
      <c r="U1682" s="726"/>
      <c r="V1682" s="726"/>
      <c r="W1682" s="726"/>
      <c r="X1682" s="726"/>
      <c r="Y1682" s="726"/>
      <c r="Z1682" s="726"/>
      <c r="AA1682" s="732"/>
      <c r="AB1682" s="732"/>
      <c r="AC1682" s="732"/>
      <c r="AD1682" s="732"/>
      <c r="AE1682" s="733"/>
      <c r="AF1682" s="734" t="str">
        <f t="shared" si="80"/>
        <v/>
      </c>
      <c r="AG1682" s="774"/>
      <c r="AH1682" s="778"/>
      <c r="AI1682" s="736"/>
      <c r="AJ1682" s="736"/>
      <c r="AK1682" s="736"/>
      <c r="AL1682" s="736"/>
      <c r="AM1682" s="736"/>
      <c r="AN1682" s="736"/>
      <c r="AO1682" s="736"/>
      <c r="AP1682" s="736"/>
      <c r="AQ1682" s="736"/>
      <c r="AR1682" s="736"/>
      <c r="AS1682" s="736"/>
      <c r="AT1682" s="736"/>
      <c r="AU1682" s="736"/>
      <c r="AV1682" s="736"/>
      <c r="AW1682" s="736"/>
      <c r="AX1682" s="736"/>
      <c r="AY1682" s="736"/>
      <c r="AZ1682" s="736"/>
      <c r="BA1682" s="736"/>
      <c r="BB1682" s="736"/>
      <c r="BC1682" s="736"/>
      <c r="BD1682" s="736"/>
      <c r="BE1682" s="736"/>
      <c r="BF1682" s="736"/>
      <c r="BG1682" s="736"/>
      <c r="BH1682" s="736"/>
      <c r="BI1682" s="736"/>
      <c r="BJ1682" s="736"/>
      <c r="BK1682" s="736"/>
      <c r="BL1682" s="736"/>
    </row>
    <row r="1683" spans="1:64" ht="18.75" x14ac:dyDescent="0.25">
      <c r="A1683" s="758"/>
      <c r="B1683" s="737"/>
      <c r="C1683" s="730"/>
      <c r="D1683" s="739"/>
      <c r="E1683" s="765"/>
      <c r="F1683" s="765"/>
      <c r="G1683" s="765"/>
      <c r="H1683" s="765"/>
      <c r="I1683" s="746" t="str">
        <f t="shared" si="79"/>
        <v/>
      </c>
      <c r="J1683" s="731"/>
      <c r="K1683" s="731" t="str">
        <f t="shared" si="78"/>
        <v/>
      </c>
      <c r="L1683" s="726"/>
      <c r="M1683" s="726"/>
      <c r="N1683" s="726"/>
      <c r="O1683" s="726"/>
      <c r="P1683" s="726"/>
      <c r="Q1683" s="726"/>
      <c r="R1683" s="726"/>
      <c r="S1683" s="726"/>
      <c r="T1683" s="726"/>
      <c r="U1683" s="726"/>
      <c r="V1683" s="726"/>
      <c r="W1683" s="726"/>
      <c r="X1683" s="726"/>
      <c r="Y1683" s="726"/>
      <c r="Z1683" s="726"/>
      <c r="AA1683" s="732"/>
      <c r="AB1683" s="732"/>
      <c r="AC1683" s="732"/>
      <c r="AD1683" s="732"/>
      <c r="AE1683" s="733"/>
      <c r="AF1683" s="734" t="str">
        <f t="shared" si="80"/>
        <v/>
      </c>
      <c r="AG1683" s="774"/>
      <c r="AH1683" s="778"/>
      <c r="AI1683" s="736"/>
      <c r="AJ1683" s="736"/>
      <c r="AK1683" s="736"/>
      <c r="AL1683" s="736"/>
      <c r="AM1683" s="736"/>
      <c r="AN1683" s="736"/>
      <c r="AO1683" s="736"/>
      <c r="AP1683" s="736"/>
      <c r="AQ1683" s="736"/>
      <c r="AR1683" s="736"/>
      <c r="AS1683" s="736"/>
      <c r="AT1683" s="736"/>
      <c r="AU1683" s="736"/>
      <c r="AV1683" s="736"/>
      <c r="AW1683" s="736"/>
      <c r="AX1683" s="736"/>
      <c r="AY1683" s="736"/>
      <c r="AZ1683" s="736"/>
      <c r="BA1683" s="736"/>
      <c r="BB1683" s="736"/>
      <c r="BC1683" s="736"/>
      <c r="BD1683" s="736"/>
      <c r="BE1683" s="736"/>
      <c r="BF1683" s="736"/>
      <c r="BG1683" s="736"/>
      <c r="BH1683" s="736"/>
      <c r="BI1683" s="736"/>
      <c r="BJ1683" s="736"/>
      <c r="BK1683" s="736"/>
      <c r="BL1683" s="736"/>
    </row>
    <row r="1684" spans="1:64" ht="18.75" x14ac:dyDescent="0.25">
      <c r="A1684" s="758"/>
      <c r="B1684" s="737"/>
      <c r="C1684" s="730"/>
      <c r="D1684" s="739"/>
      <c r="E1684" s="765"/>
      <c r="F1684" s="765"/>
      <c r="G1684" s="765"/>
      <c r="H1684" s="765"/>
      <c r="I1684" s="746" t="str">
        <f t="shared" si="79"/>
        <v/>
      </c>
      <c r="J1684" s="731"/>
      <c r="K1684" s="731" t="str">
        <f t="shared" si="78"/>
        <v/>
      </c>
      <c r="L1684" s="726"/>
      <c r="M1684" s="726"/>
      <c r="N1684" s="726"/>
      <c r="O1684" s="726"/>
      <c r="P1684" s="726"/>
      <c r="Q1684" s="726"/>
      <c r="R1684" s="726"/>
      <c r="S1684" s="726"/>
      <c r="T1684" s="726"/>
      <c r="U1684" s="726"/>
      <c r="V1684" s="726"/>
      <c r="W1684" s="726"/>
      <c r="X1684" s="726"/>
      <c r="Y1684" s="726"/>
      <c r="Z1684" s="726"/>
      <c r="AA1684" s="732"/>
      <c r="AB1684" s="732"/>
      <c r="AC1684" s="732"/>
      <c r="AD1684" s="732"/>
      <c r="AE1684" s="733"/>
      <c r="AF1684" s="734" t="str">
        <f t="shared" si="80"/>
        <v/>
      </c>
      <c r="AG1684" s="774"/>
      <c r="AH1684" s="778"/>
      <c r="AI1684" s="736"/>
      <c r="AJ1684" s="736"/>
      <c r="AK1684" s="736"/>
      <c r="AL1684" s="736"/>
      <c r="AM1684" s="736"/>
      <c r="AN1684" s="736"/>
      <c r="AO1684" s="736"/>
      <c r="AP1684" s="736"/>
      <c r="AQ1684" s="736"/>
      <c r="AR1684" s="736"/>
      <c r="AS1684" s="736"/>
      <c r="AT1684" s="736"/>
      <c r="AU1684" s="736"/>
      <c r="AV1684" s="736"/>
      <c r="AW1684" s="736"/>
      <c r="AX1684" s="736"/>
      <c r="AY1684" s="736"/>
      <c r="AZ1684" s="736"/>
      <c r="BA1684" s="736"/>
      <c r="BB1684" s="736"/>
      <c r="BC1684" s="736"/>
      <c r="BD1684" s="736"/>
      <c r="BE1684" s="736"/>
      <c r="BF1684" s="736"/>
      <c r="BG1684" s="736"/>
      <c r="BH1684" s="736"/>
      <c r="BI1684" s="736"/>
      <c r="BJ1684" s="736"/>
      <c r="BK1684" s="736"/>
      <c r="BL1684" s="736"/>
    </row>
    <row r="1685" spans="1:64" ht="18.75" x14ac:dyDescent="0.25">
      <c r="A1685" s="758"/>
      <c r="B1685" s="737"/>
      <c r="C1685" s="730"/>
      <c r="D1685" s="739"/>
      <c r="E1685" s="765"/>
      <c r="F1685" s="765"/>
      <c r="G1685" s="765"/>
      <c r="H1685" s="765"/>
      <c r="I1685" s="746" t="str">
        <f t="shared" si="79"/>
        <v/>
      </c>
      <c r="J1685" s="731"/>
      <c r="K1685" s="731" t="str">
        <f t="shared" si="78"/>
        <v/>
      </c>
      <c r="L1685" s="726"/>
      <c r="M1685" s="726"/>
      <c r="N1685" s="726"/>
      <c r="O1685" s="726"/>
      <c r="P1685" s="726"/>
      <c r="Q1685" s="726"/>
      <c r="R1685" s="726"/>
      <c r="S1685" s="726"/>
      <c r="T1685" s="726"/>
      <c r="U1685" s="726"/>
      <c r="V1685" s="726"/>
      <c r="W1685" s="726"/>
      <c r="X1685" s="726"/>
      <c r="Y1685" s="726"/>
      <c r="Z1685" s="726"/>
      <c r="AA1685" s="732"/>
      <c r="AB1685" s="732"/>
      <c r="AC1685" s="732"/>
      <c r="AD1685" s="732"/>
      <c r="AE1685" s="733"/>
      <c r="AF1685" s="734" t="str">
        <f t="shared" si="80"/>
        <v/>
      </c>
      <c r="AG1685" s="774"/>
      <c r="AH1685" s="778"/>
      <c r="AI1685" s="736"/>
      <c r="AJ1685" s="736"/>
      <c r="AK1685" s="736"/>
      <c r="AL1685" s="736"/>
      <c r="AM1685" s="736"/>
      <c r="AN1685" s="736"/>
      <c r="AO1685" s="736"/>
      <c r="AP1685" s="736"/>
      <c r="AQ1685" s="736"/>
      <c r="AR1685" s="736"/>
      <c r="AS1685" s="736"/>
      <c r="AT1685" s="736"/>
      <c r="AU1685" s="736"/>
      <c r="AV1685" s="736"/>
      <c r="AW1685" s="736"/>
      <c r="AX1685" s="736"/>
      <c r="AY1685" s="736"/>
      <c r="AZ1685" s="736"/>
      <c r="BA1685" s="736"/>
      <c r="BB1685" s="736"/>
      <c r="BC1685" s="736"/>
      <c r="BD1685" s="736"/>
      <c r="BE1685" s="736"/>
      <c r="BF1685" s="736"/>
      <c r="BG1685" s="736"/>
      <c r="BH1685" s="736"/>
      <c r="BI1685" s="736"/>
      <c r="BJ1685" s="736"/>
      <c r="BK1685" s="736"/>
      <c r="BL1685" s="736"/>
    </row>
    <row r="1686" spans="1:64" ht="18.75" x14ac:dyDescent="0.25">
      <c r="A1686" s="758"/>
      <c r="B1686" s="737"/>
      <c r="C1686" s="730"/>
      <c r="D1686" s="739"/>
      <c r="E1686" s="765"/>
      <c r="F1686" s="765"/>
      <c r="G1686" s="765"/>
      <c r="H1686" s="765"/>
      <c r="I1686" s="746" t="str">
        <f t="shared" si="79"/>
        <v/>
      </c>
      <c r="J1686" s="731"/>
      <c r="K1686" s="731" t="str">
        <f t="shared" si="78"/>
        <v/>
      </c>
      <c r="L1686" s="726"/>
      <c r="M1686" s="726"/>
      <c r="N1686" s="726"/>
      <c r="O1686" s="726"/>
      <c r="P1686" s="726"/>
      <c r="Q1686" s="726"/>
      <c r="R1686" s="726"/>
      <c r="S1686" s="726"/>
      <c r="T1686" s="726"/>
      <c r="U1686" s="726"/>
      <c r="V1686" s="726"/>
      <c r="W1686" s="726"/>
      <c r="X1686" s="726"/>
      <c r="Y1686" s="726"/>
      <c r="Z1686" s="726"/>
      <c r="AA1686" s="732"/>
      <c r="AB1686" s="732"/>
      <c r="AC1686" s="732"/>
      <c r="AD1686" s="732"/>
      <c r="AE1686" s="733"/>
      <c r="AF1686" s="734" t="str">
        <f t="shared" si="80"/>
        <v/>
      </c>
      <c r="AG1686" s="774"/>
      <c r="AH1686" s="778"/>
      <c r="AI1686" s="736"/>
      <c r="AJ1686" s="736"/>
      <c r="AK1686" s="736"/>
      <c r="AL1686" s="736"/>
      <c r="AM1686" s="736"/>
      <c r="AN1686" s="736"/>
      <c r="AO1686" s="736"/>
      <c r="AP1686" s="736"/>
      <c r="AQ1686" s="736"/>
      <c r="AR1686" s="736"/>
      <c r="AS1686" s="736"/>
      <c r="AT1686" s="736"/>
      <c r="AU1686" s="736"/>
      <c r="AV1686" s="736"/>
      <c r="AW1686" s="736"/>
      <c r="AX1686" s="736"/>
      <c r="AY1686" s="736"/>
      <c r="AZ1686" s="736"/>
      <c r="BA1686" s="736"/>
      <c r="BB1686" s="736"/>
      <c r="BC1686" s="736"/>
      <c r="BD1686" s="736"/>
      <c r="BE1686" s="736"/>
      <c r="BF1686" s="736"/>
      <c r="BG1686" s="736"/>
      <c r="BH1686" s="736"/>
      <c r="BI1686" s="736"/>
      <c r="BJ1686" s="736"/>
      <c r="BK1686" s="736"/>
      <c r="BL1686" s="736"/>
    </row>
    <row r="1687" spans="1:64" ht="18.75" x14ac:dyDescent="0.25">
      <c r="A1687" s="758"/>
      <c r="B1687" s="737"/>
      <c r="C1687" s="730"/>
      <c r="D1687" s="739"/>
      <c r="E1687" s="765"/>
      <c r="F1687" s="765"/>
      <c r="G1687" s="765"/>
      <c r="H1687" s="765"/>
      <c r="I1687" s="746" t="str">
        <f t="shared" si="79"/>
        <v/>
      </c>
      <c r="J1687" s="731"/>
      <c r="K1687" s="731" t="str">
        <f t="shared" si="78"/>
        <v/>
      </c>
      <c r="L1687" s="726"/>
      <c r="M1687" s="726"/>
      <c r="N1687" s="726"/>
      <c r="O1687" s="726"/>
      <c r="P1687" s="726"/>
      <c r="Q1687" s="726"/>
      <c r="R1687" s="726"/>
      <c r="S1687" s="726"/>
      <c r="T1687" s="726"/>
      <c r="U1687" s="726"/>
      <c r="V1687" s="726"/>
      <c r="W1687" s="726"/>
      <c r="X1687" s="726"/>
      <c r="Y1687" s="726"/>
      <c r="Z1687" s="726"/>
      <c r="AA1687" s="732"/>
      <c r="AB1687" s="732"/>
      <c r="AC1687" s="732"/>
      <c r="AD1687" s="732"/>
      <c r="AE1687" s="733"/>
      <c r="AF1687" s="734" t="str">
        <f t="shared" si="80"/>
        <v/>
      </c>
      <c r="AG1687" s="774"/>
      <c r="AH1687" s="778"/>
      <c r="AI1687" s="736"/>
      <c r="AJ1687" s="736"/>
      <c r="AK1687" s="736"/>
      <c r="AL1687" s="736"/>
      <c r="AM1687" s="736"/>
      <c r="AN1687" s="736"/>
      <c r="AO1687" s="736"/>
      <c r="AP1687" s="736"/>
      <c r="AQ1687" s="736"/>
      <c r="AR1687" s="736"/>
      <c r="AS1687" s="736"/>
      <c r="AT1687" s="736"/>
      <c r="AU1687" s="736"/>
      <c r="AV1687" s="736"/>
      <c r="AW1687" s="736"/>
      <c r="AX1687" s="736"/>
      <c r="AY1687" s="736"/>
      <c r="AZ1687" s="736"/>
      <c r="BA1687" s="736"/>
      <c r="BB1687" s="736"/>
      <c r="BC1687" s="736"/>
      <c r="BD1687" s="736"/>
      <c r="BE1687" s="736"/>
      <c r="BF1687" s="736"/>
      <c r="BG1687" s="736"/>
      <c r="BH1687" s="736"/>
      <c r="BI1687" s="736"/>
      <c r="BJ1687" s="736"/>
      <c r="BK1687" s="736"/>
      <c r="BL1687" s="736"/>
    </row>
    <row r="1688" spans="1:64" ht="18.75" x14ac:dyDescent="0.25">
      <c r="A1688" s="758"/>
      <c r="B1688" s="737"/>
      <c r="C1688" s="730"/>
      <c r="D1688" s="739"/>
      <c r="E1688" s="765"/>
      <c r="F1688" s="765"/>
      <c r="G1688" s="765"/>
      <c r="H1688" s="765"/>
      <c r="I1688" s="746" t="str">
        <f t="shared" si="79"/>
        <v/>
      </c>
      <c r="J1688" s="731"/>
      <c r="K1688" s="731" t="str">
        <f t="shared" si="78"/>
        <v/>
      </c>
      <c r="L1688" s="726"/>
      <c r="M1688" s="726"/>
      <c r="N1688" s="726"/>
      <c r="O1688" s="726"/>
      <c r="P1688" s="726"/>
      <c r="Q1688" s="726"/>
      <c r="R1688" s="726"/>
      <c r="S1688" s="726"/>
      <c r="T1688" s="726"/>
      <c r="U1688" s="726"/>
      <c r="V1688" s="726"/>
      <c r="W1688" s="726"/>
      <c r="X1688" s="726"/>
      <c r="Y1688" s="726"/>
      <c r="Z1688" s="726"/>
      <c r="AA1688" s="732"/>
      <c r="AB1688" s="732"/>
      <c r="AC1688" s="732"/>
      <c r="AD1688" s="732"/>
      <c r="AE1688" s="733"/>
      <c r="AF1688" s="734" t="str">
        <f t="shared" si="80"/>
        <v/>
      </c>
      <c r="AG1688" s="773"/>
    </row>
    <row r="1689" spans="1:64" ht="18.75" x14ac:dyDescent="0.25">
      <c r="A1689" s="758"/>
      <c r="B1689" s="737"/>
      <c r="C1689" s="730"/>
      <c r="D1689" s="739"/>
      <c r="E1689" s="765"/>
      <c r="F1689" s="765"/>
      <c r="G1689" s="765"/>
      <c r="H1689" s="765"/>
      <c r="I1689" s="746" t="str">
        <f t="shared" si="79"/>
        <v/>
      </c>
      <c r="J1689" s="731"/>
      <c r="K1689" s="731" t="str">
        <f t="shared" si="78"/>
        <v/>
      </c>
      <c r="L1689" s="726"/>
      <c r="M1689" s="726"/>
      <c r="N1689" s="726"/>
      <c r="O1689" s="726"/>
      <c r="P1689" s="726"/>
      <c r="Q1689" s="726"/>
      <c r="R1689" s="726"/>
      <c r="S1689" s="726"/>
      <c r="T1689" s="726"/>
      <c r="U1689" s="726"/>
      <c r="V1689" s="726"/>
      <c r="W1689" s="726"/>
      <c r="X1689" s="726"/>
      <c r="Y1689" s="726"/>
      <c r="Z1689" s="726"/>
      <c r="AA1689" s="732"/>
      <c r="AB1689" s="732"/>
      <c r="AC1689" s="732"/>
      <c r="AD1689" s="732"/>
      <c r="AE1689" s="733"/>
      <c r="AF1689" s="734" t="str">
        <f t="shared" si="80"/>
        <v/>
      </c>
      <c r="AG1689" s="774"/>
      <c r="AH1689" s="778"/>
      <c r="AI1689" s="736"/>
      <c r="AJ1689" s="736"/>
      <c r="AK1689" s="736"/>
      <c r="AL1689" s="736"/>
      <c r="AM1689" s="736"/>
      <c r="AN1689" s="736"/>
      <c r="AO1689" s="736"/>
      <c r="AP1689" s="736"/>
      <c r="AQ1689" s="736"/>
      <c r="AR1689" s="736"/>
      <c r="AS1689" s="736"/>
      <c r="AT1689" s="736"/>
      <c r="AU1689" s="736"/>
      <c r="AV1689" s="736"/>
      <c r="AW1689" s="736"/>
      <c r="AX1689" s="736"/>
      <c r="AY1689" s="736"/>
      <c r="AZ1689" s="736"/>
      <c r="BA1689" s="736"/>
      <c r="BB1689" s="736"/>
      <c r="BC1689" s="736"/>
      <c r="BD1689" s="736"/>
      <c r="BE1689" s="736"/>
      <c r="BF1689" s="736"/>
      <c r="BG1689" s="736"/>
      <c r="BH1689" s="736"/>
      <c r="BI1689" s="736"/>
      <c r="BJ1689" s="736"/>
      <c r="BK1689" s="736"/>
      <c r="BL1689" s="736"/>
    </row>
    <row r="1690" spans="1:64" ht="18.75" x14ac:dyDescent="0.25">
      <c r="A1690" s="758"/>
      <c r="B1690" s="737"/>
      <c r="C1690" s="730"/>
      <c r="D1690" s="739"/>
      <c r="E1690" s="765"/>
      <c r="F1690" s="765"/>
      <c r="G1690" s="765"/>
      <c r="H1690" s="765"/>
      <c r="I1690" s="746" t="str">
        <f t="shared" si="79"/>
        <v/>
      </c>
      <c r="J1690" s="731"/>
      <c r="K1690" s="731" t="str">
        <f t="shared" si="78"/>
        <v/>
      </c>
      <c r="L1690" s="726"/>
      <c r="M1690" s="726"/>
      <c r="N1690" s="726"/>
      <c r="O1690" s="726"/>
      <c r="P1690" s="726"/>
      <c r="Q1690" s="726"/>
      <c r="R1690" s="726"/>
      <c r="S1690" s="726"/>
      <c r="T1690" s="726"/>
      <c r="U1690" s="726"/>
      <c r="V1690" s="726"/>
      <c r="W1690" s="726"/>
      <c r="X1690" s="726"/>
      <c r="Y1690" s="726"/>
      <c r="Z1690" s="726"/>
      <c r="AA1690" s="732"/>
      <c r="AB1690" s="732"/>
      <c r="AC1690" s="732"/>
      <c r="AD1690" s="732"/>
      <c r="AE1690" s="733"/>
      <c r="AF1690" s="734" t="str">
        <f t="shared" si="80"/>
        <v/>
      </c>
      <c r="AG1690" s="773"/>
    </row>
    <row r="1691" spans="1:64" ht="18.75" x14ac:dyDescent="0.25">
      <c r="A1691" s="758"/>
      <c r="B1691" s="737"/>
      <c r="C1691" s="730"/>
      <c r="D1691" s="739"/>
      <c r="E1691" s="765"/>
      <c r="F1691" s="765"/>
      <c r="G1691" s="765"/>
      <c r="H1691" s="765"/>
      <c r="I1691" s="746" t="str">
        <f t="shared" si="79"/>
        <v/>
      </c>
      <c r="J1691" s="731"/>
      <c r="K1691" s="731" t="str">
        <f t="shared" si="78"/>
        <v/>
      </c>
      <c r="L1691" s="726"/>
      <c r="M1691" s="726"/>
      <c r="N1691" s="726"/>
      <c r="O1691" s="726"/>
      <c r="P1691" s="726"/>
      <c r="Q1691" s="726"/>
      <c r="R1691" s="726"/>
      <c r="S1691" s="726"/>
      <c r="T1691" s="726"/>
      <c r="U1691" s="726"/>
      <c r="V1691" s="726"/>
      <c r="W1691" s="726"/>
      <c r="X1691" s="726"/>
      <c r="Y1691" s="726"/>
      <c r="Z1691" s="726"/>
      <c r="AA1691" s="732"/>
      <c r="AB1691" s="732"/>
      <c r="AC1691" s="732"/>
      <c r="AD1691" s="732"/>
      <c r="AE1691" s="733"/>
      <c r="AF1691" s="734" t="str">
        <f t="shared" si="80"/>
        <v/>
      </c>
      <c r="AG1691" s="773"/>
    </row>
    <row r="1692" spans="1:64" ht="18.75" x14ac:dyDescent="0.25">
      <c r="A1692" s="758"/>
      <c r="B1692" s="737"/>
      <c r="C1692" s="730"/>
      <c r="D1692" s="739"/>
      <c r="E1692" s="765"/>
      <c r="F1692" s="765"/>
      <c r="G1692" s="765"/>
      <c r="H1692" s="765"/>
      <c r="I1692" s="746" t="str">
        <f t="shared" si="79"/>
        <v/>
      </c>
      <c r="J1692" s="731"/>
      <c r="K1692" s="731" t="str">
        <f t="shared" si="78"/>
        <v/>
      </c>
      <c r="L1692" s="726"/>
      <c r="M1692" s="726"/>
      <c r="N1692" s="726"/>
      <c r="O1692" s="726"/>
      <c r="P1692" s="726"/>
      <c r="Q1692" s="726"/>
      <c r="R1692" s="726"/>
      <c r="S1692" s="726"/>
      <c r="T1692" s="726"/>
      <c r="U1692" s="726"/>
      <c r="V1692" s="726"/>
      <c r="W1692" s="726"/>
      <c r="X1692" s="726"/>
      <c r="Y1692" s="726"/>
      <c r="Z1692" s="726"/>
      <c r="AA1692" s="732"/>
      <c r="AB1692" s="732"/>
      <c r="AC1692" s="732"/>
      <c r="AD1692" s="732"/>
      <c r="AE1692" s="733"/>
      <c r="AF1692" s="734" t="str">
        <f t="shared" si="80"/>
        <v/>
      </c>
      <c r="AG1692" s="774"/>
      <c r="AH1692" s="778"/>
      <c r="AI1692" s="736"/>
      <c r="AJ1692" s="736"/>
      <c r="AK1692" s="736"/>
      <c r="AL1692" s="736"/>
      <c r="AM1692" s="736"/>
      <c r="AN1692" s="736"/>
      <c r="AO1692" s="736"/>
      <c r="AP1692" s="736"/>
      <c r="AQ1692" s="736"/>
      <c r="AR1692" s="736"/>
      <c r="AS1692" s="736"/>
      <c r="AT1692" s="736"/>
      <c r="AU1692" s="736"/>
      <c r="AV1692" s="736"/>
      <c r="AW1692" s="736"/>
      <c r="AX1692" s="736"/>
      <c r="AY1692" s="736"/>
      <c r="AZ1692" s="736"/>
      <c r="BA1692" s="736"/>
      <c r="BB1692" s="736"/>
      <c r="BC1692" s="736"/>
      <c r="BD1692" s="736"/>
      <c r="BE1692" s="736"/>
      <c r="BF1692" s="736"/>
      <c r="BG1692" s="736"/>
      <c r="BH1692" s="736"/>
      <c r="BI1692" s="736"/>
      <c r="BJ1692" s="736"/>
      <c r="BK1692" s="736"/>
      <c r="BL1692" s="736"/>
    </row>
    <row r="1693" spans="1:64" ht="18.75" x14ac:dyDescent="0.25">
      <c r="A1693" s="758"/>
      <c r="B1693" s="737"/>
      <c r="C1693" s="730"/>
      <c r="D1693" s="739"/>
      <c r="E1693" s="765"/>
      <c r="F1693" s="765"/>
      <c r="G1693" s="765"/>
      <c r="H1693" s="765"/>
      <c r="I1693" s="746" t="str">
        <f t="shared" si="79"/>
        <v/>
      </c>
      <c r="J1693" s="731"/>
      <c r="K1693" s="731" t="str">
        <f t="shared" si="78"/>
        <v/>
      </c>
      <c r="L1693" s="726"/>
      <c r="M1693" s="726"/>
      <c r="N1693" s="726"/>
      <c r="O1693" s="726"/>
      <c r="P1693" s="726"/>
      <c r="Q1693" s="726"/>
      <c r="R1693" s="726"/>
      <c r="S1693" s="726"/>
      <c r="T1693" s="726"/>
      <c r="U1693" s="726"/>
      <c r="V1693" s="726"/>
      <c r="W1693" s="726"/>
      <c r="X1693" s="726"/>
      <c r="Y1693" s="726"/>
      <c r="Z1693" s="726"/>
      <c r="AA1693" s="732"/>
      <c r="AB1693" s="732"/>
      <c r="AC1693" s="732"/>
      <c r="AD1693" s="732"/>
      <c r="AE1693" s="733"/>
      <c r="AF1693" s="734" t="str">
        <f t="shared" si="80"/>
        <v/>
      </c>
      <c r="AG1693" s="774"/>
      <c r="AH1693" s="778"/>
      <c r="AI1693" s="736"/>
      <c r="AJ1693" s="736"/>
      <c r="AK1693" s="736"/>
      <c r="AL1693" s="736"/>
      <c r="AM1693" s="736"/>
      <c r="AN1693" s="736"/>
      <c r="AO1693" s="736"/>
      <c r="AP1693" s="736"/>
      <c r="AQ1693" s="736"/>
      <c r="AR1693" s="736"/>
      <c r="AS1693" s="736"/>
      <c r="AT1693" s="736"/>
      <c r="AU1693" s="736"/>
      <c r="AV1693" s="736"/>
      <c r="AW1693" s="736"/>
      <c r="AX1693" s="736"/>
      <c r="AY1693" s="736"/>
      <c r="AZ1693" s="736"/>
      <c r="BA1693" s="736"/>
      <c r="BB1693" s="736"/>
      <c r="BC1693" s="736"/>
      <c r="BD1693" s="736"/>
      <c r="BE1693" s="736"/>
      <c r="BF1693" s="736"/>
      <c r="BG1693" s="736"/>
      <c r="BH1693" s="736"/>
      <c r="BI1693" s="736"/>
      <c r="BJ1693" s="736"/>
      <c r="BK1693" s="736"/>
      <c r="BL1693" s="736"/>
    </row>
    <row r="1694" spans="1:64" ht="18.75" x14ac:dyDescent="0.25">
      <c r="A1694" s="758"/>
      <c r="B1694" s="737"/>
      <c r="C1694" s="730"/>
      <c r="D1694" s="739"/>
      <c r="E1694" s="765"/>
      <c r="F1694" s="765"/>
      <c r="G1694" s="765"/>
      <c r="H1694" s="765"/>
      <c r="I1694" s="746" t="str">
        <f t="shared" si="79"/>
        <v/>
      </c>
      <c r="J1694" s="731"/>
      <c r="K1694" s="731" t="str">
        <f t="shared" si="78"/>
        <v/>
      </c>
      <c r="L1694" s="726"/>
      <c r="M1694" s="726"/>
      <c r="N1694" s="726"/>
      <c r="O1694" s="726"/>
      <c r="P1694" s="726"/>
      <c r="Q1694" s="726"/>
      <c r="R1694" s="726"/>
      <c r="S1694" s="726"/>
      <c r="T1694" s="726"/>
      <c r="U1694" s="726"/>
      <c r="V1694" s="726"/>
      <c r="W1694" s="726"/>
      <c r="X1694" s="726"/>
      <c r="Y1694" s="726"/>
      <c r="Z1694" s="726"/>
      <c r="AA1694" s="732"/>
      <c r="AB1694" s="732"/>
      <c r="AC1694" s="732"/>
      <c r="AD1694" s="732"/>
      <c r="AE1694" s="733"/>
      <c r="AF1694" s="734" t="str">
        <f t="shared" si="80"/>
        <v/>
      </c>
      <c r="AG1694" s="774"/>
      <c r="AH1694" s="778"/>
      <c r="AI1694" s="736"/>
      <c r="AJ1694" s="736"/>
      <c r="AK1694" s="736"/>
      <c r="AL1694" s="736"/>
      <c r="AM1694" s="736"/>
      <c r="AN1694" s="736"/>
      <c r="AO1694" s="736"/>
      <c r="AP1694" s="736"/>
      <c r="AQ1694" s="736"/>
      <c r="AR1694" s="736"/>
      <c r="AS1694" s="736"/>
      <c r="AT1694" s="736"/>
      <c r="AU1694" s="736"/>
      <c r="AV1694" s="736"/>
      <c r="AW1694" s="736"/>
      <c r="AX1694" s="736"/>
      <c r="AY1694" s="736"/>
      <c r="AZ1694" s="736"/>
      <c r="BA1694" s="736"/>
      <c r="BB1694" s="736"/>
      <c r="BC1694" s="736"/>
      <c r="BD1694" s="736"/>
      <c r="BE1694" s="736"/>
      <c r="BF1694" s="736"/>
      <c r="BG1694" s="736"/>
      <c r="BH1694" s="736"/>
      <c r="BI1694" s="736"/>
      <c r="BJ1694" s="736"/>
      <c r="BK1694" s="736"/>
      <c r="BL1694" s="736"/>
    </row>
    <row r="1695" spans="1:64" ht="18.75" x14ac:dyDescent="0.25">
      <c r="A1695" s="758"/>
      <c r="B1695" s="737"/>
      <c r="C1695" s="730"/>
      <c r="D1695" s="739"/>
      <c r="E1695" s="765"/>
      <c r="F1695" s="765"/>
      <c r="G1695" s="765"/>
      <c r="H1695" s="765"/>
      <c r="I1695" s="746" t="str">
        <f t="shared" si="79"/>
        <v/>
      </c>
      <c r="J1695" s="731"/>
      <c r="K1695" s="731" t="str">
        <f t="shared" si="78"/>
        <v/>
      </c>
      <c r="L1695" s="726"/>
      <c r="M1695" s="726"/>
      <c r="N1695" s="726"/>
      <c r="O1695" s="726"/>
      <c r="P1695" s="726"/>
      <c r="Q1695" s="726"/>
      <c r="R1695" s="726"/>
      <c r="S1695" s="726"/>
      <c r="T1695" s="726"/>
      <c r="U1695" s="726"/>
      <c r="V1695" s="726"/>
      <c r="W1695" s="726"/>
      <c r="X1695" s="726"/>
      <c r="Y1695" s="726"/>
      <c r="Z1695" s="726"/>
      <c r="AA1695" s="732"/>
      <c r="AB1695" s="732"/>
      <c r="AC1695" s="732"/>
      <c r="AD1695" s="732"/>
      <c r="AE1695" s="733"/>
      <c r="AF1695" s="734" t="str">
        <f t="shared" si="80"/>
        <v/>
      </c>
      <c r="AG1695" s="773"/>
    </row>
    <row r="1696" spans="1:64" ht="18.75" x14ac:dyDescent="0.25">
      <c r="A1696" s="758"/>
      <c r="B1696" s="737"/>
      <c r="C1696" s="730"/>
      <c r="D1696" s="739"/>
      <c r="E1696" s="765"/>
      <c r="F1696" s="765"/>
      <c r="G1696" s="765"/>
      <c r="H1696" s="765"/>
      <c r="I1696" s="746" t="str">
        <f t="shared" si="79"/>
        <v/>
      </c>
      <c r="J1696" s="731"/>
      <c r="K1696" s="731" t="str">
        <f t="shared" si="78"/>
        <v/>
      </c>
      <c r="L1696" s="726"/>
      <c r="M1696" s="726"/>
      <c r="N1696" s="726"/>
      <c r="O1696" s="726"/>
      <c r="P1696" s="726"/>
      <c r="Q1696" s="726"/>
      <c r="R1696" s="726"/>
      <c r="S1696" s="726"/>
      <c r="T1696" s="726"/>
      <c r="U1696" s="726"/>
      <c r="V1696" s="726"/>
      <c r="W1696" s="726"/>
      <c r="X1696" s="726"/>
      <c r="Y1696" s="726"/>
      <c r="Z1696" s="726"/>
      <c r="AA1696" s="732"/>
      <c r="AB1696" s="732"/>
      <c r="AC1696" s="732"/>
      <c r="AD1696" s="732"/>
      <c r="AE1696" s="733"/>
      <c r="AF1696" s="734" t="str">
        <f t="shared" si="80"/>
        <v/>
      </c>
      <c r="AG1696" s="773"/>
    </row>
    <row r="1697" spans="1:64" ht="18.75" x14ac:dyDescent="0.25">
      <c r="A1697" s="758"/>
      <c r="B1697" s="737"/>
      <c r="C1697" s="730"/>
      <c r="D1697" s="739"/>
      <c r="E1697" s="765"/>
      <c r="F1697" s="765"/>
      <c r="G1697" s="765"/>
      <c r="H1697" s="765"/>
      <c r="I1697" s="746" t="str">
        <f t="shared" si="79"/>
        <v/>
      </c>
      <c r="J1697" s="731"/>
      <c r="K1697" s="731" t="str">
        <f t="shared" si="78"/>
        <v/>
      </c>
      <c r="L1697" s="726"/>
      <c r="M1697" s="726"/>
      <c r="N1697" s="726"/>
      <c r="O1697" s="726"/>
      <c r="P1697" s="726"/>
      <c r="Q1697" s="726"/>
      <c r="R1697" s="726"/>
      <c r="S1697" s="726"/>
      <c r="T1697" s="726"/>
      <c r="U1697" s="726"/>
      <c r="V1697" s="726"/>
      <c r="W1697" s="726"/>
      <c r="X1697" s="726"/>
      <c r="Y1697" s="726"/>
      <c r="Z1697" s="726"/>
      <c r="AA1697" s="732"/>
      <c r="AB1697" s="732"/>
      <c r="AC1697" s="732"/>
      <c r="AD1697" s="732"/>
      <c r="AE1697" s="733"/>
      <c r="AF1697" s="734" t="str">
        <f t="shared" si="80"/>
        <v/>
      </c>
      <c r="AG1697" s="773"/>
    </row>
    <row r="1698" spans="1:64" ht="18.75" x14ac:dyDescent="0.25">
      <c r="A1698" s="758"/>
      <c r="B1698" s="737"/>
      <c r="C1698" s="730"/>
      <c r="D1698" s="739"/>
      <c r="E1698" s="765"/>
      <c r="F1698" s="765"/>
      <c r="G1698" s="765"/>
      <c r="H1698" s="765"/>
      <c r="I1698" s="746" t="str">
        <f t="shared" si="79"/>
        <v/>
      </c>
      <c r="J1698" s="731"/>
      <c r="K1698" s="731" t="str">
        <f t="shared" si="78"/>
        <v/>
      </c>
      <c r="L1698" s="726"/>
      <c r="M1698" s="726"/>
      <c r="N1698" s="726"/>
      <c r="O1698" s="726"/>
      <c r="P1698" s="726"/>
      <c r="Q1698" s="726"/>
      <c r="R1698" s="726"/>
      <c r="S1698" s="726"/>
      <c r="T1698" s="726"/>
      <c r="U1698" s="726"/>
      <c r="V1698" s="726"/>
      <c r="W1698" s="726"/>
      <c r="X1698" s="726"/>
      <c r="Y1698" s="726"/>
      <c r="Z1698" s="726"/>
      <c r="AA1698" s="732"/>
      <c r="AB1698" s="732"/>
      <c r="AC1698" s="732"/>
      <c r="AD1698" s="732"/>
      <c r="AE1698" s="733"/>
      <c r="AF1698" s="734" t="str">
        <f t="shared" si="80"/>
        <v/>
      </c>
      <c r="AG1698" s="774"/>
      <c r="AH1698" s="778"/>
      <c r="AI1698" s="736"/>
      <c r="AJ1698" s="736"/>
      <c r="AK1698" s="736"/>
      <c r="AL1698" s="736"/>
      <c r="AM1698" s="736"/>
      <c r="AN1698" s="736"/>
      <c r="AO1698" s="736"/>
      <c r="AP1698" s="736"/>
      <c r="AQ1698" s="736"/>
      <c r="AR1698" s="736"/>
      <c r="AS1698" s="736"/>
      <c r="AT1698" s="736"/>
      <c r="AU1698" s="736"/>
      <c r="AV1698" s="736"/>
      <c r="AW1698" s="736"/>
      <c r="AX1698" s="736"/>
      <c r="AY1698" s="736"/>
      <c r="AZ1698" s="736"/>
      <c r="BA1698" s="736"/>
      <c r="BB1698" s="736"/>
      <c r="BC1698" s="736"/>
      <c r="BD1698" s="736"/>
      <c r="BE1698" s="736"/>
      <c r="BF1698" s="736"/>
      <c r="BG1698" s="736"/>
      <c r="BH1698" s="736"/>
      <c r="BI1698" s="736"/>
      <c r="BJ1698" s="736"/>
      <c r="BK1698" s="736"/>
      <c r="BL1698" s="736"/>
    </row>
    <row r="1699" spans="1:64" ht="18.75" x14ac:dyDescent="0.25">
      <c r="A1699" s="758"/>
      <c r="B1699" s="737"/>
      <c r="C1699" s="730"/>
      <c r="D1699" s="739"/>
      <c r="E1699" s="765"/>
      <c r="F1699" s="765"/>
      <c r="G1699" s="765"/>
      <c r="H1699" s="765"/>
      <c r="I1699" s="746" t="str">
        <f t="shared" si="79"/>
        <v/>
      </c>
      <c r="J1699" s="731"/>
      <c r="K1699" s="731" t="str">
        <f t="shared" si="78"/>
        <v/>
      </c>
      <c r="L1699" s="726"/>
      <c r="M1699" s="726"/>
      <c r="N1699" s="726"/>
      <c r="O1699" s="726"/>
      <c r="P1699" s="726"/>
      <c r="Q1699" s="726"/>
      <c r="R1699" s="726"/>
      <c r="S1699" s="726"/>
      <c r="T1699" s="726"/>
      <c r="U1699" s="726"/>
      <c r="V1699" s="726"/>
      <c r="W1699" s="726"/>
      <c r="X1699" s="726"/>
      <c r="Y1699" s="726"/>
      <c r="Z1699" s="726"/>
      <c r="AA1699" s="732"/>
      <c r="AB1699" s="732"/>
      <c r="AC1699" s="732"/>
      <c r="AD1699" s="732"/>
      <c r="AE1699" s="733"/>
      <c r="AF1699" s="734" t="str">
        <f t="shared" si="80"/>
        <v/>
      </c>
      <c r="AG1699" s="773"/>
    </row>
    <row r="1700" spans="1:64" ht="18.75" x14ac:dyDescent="0.25">
      <c r="A1700" s="758"/>
      <c r="B1700" s="737"/>
      <c r="C1700" s="730"/>
      <c r="D1700" s="739"/>
      <c r="E1700" s="765"/>
      <c r="F1700" s="765"/>
      <c r="G1700" s="765"/>
      <c r="H1700" s="765"/>
      <c r="I1700" s="746" t="str">
        <f t="shared" si="79"/>
        <v/>
      </c>
      <c r="J1700" s="731"/>
      <c r="K1700" s="731" t="str">
        <f t="shared" si="78"/>
        <v/>
      </c>
      <c r="L1700" s="726"/>
      <c r="M1700" s="726"/>
      <c r="N1700" s="726"/>
      <c r="O1700" s="726"/>
      <c r="P1700" s="726"/>
      <c r="Q1700" s="726"/>
      <c r="R1700" s="726"/>
      <c r="S1700" s="726"/>
      <c r="T1700" s="726"/>
      <c r="U1700" s="726"/>
      <c r="V1700" s="726"/>
      <c r="W1700" s="726"/>
      <c r="X1700" s="726"/>
      <c r="Y1700" s="726"/>
      <c r="Z1700" s="726"/>
      <c r="AA1700" s="732"/>
      <c r="AB1700" s="732"/>
      <c r="AC1700" s="732"/>
      <c r="AD1700" s="732"/>
      <c r="AE1700" s="733"/>
      <c r="AF1700" s="734" t="str">
        <f t="shared" si="80"/>
        <v/>
      </c>
      <c r="AG1700" s="773"/>
    </row>
    <row r="1701" spans="1:64" ht="18.75" x14ac:dyDescent="0.25">
      <c r="A1701" s="758"/>
      <c r="B1701" s="737"/>
      <c r="C1701" s="730"/>
      <c r="D1701" s="739"/>
      <c r="E1701" s="765"/>
      <c r="F1701" s="765"/>
      <c r="G1701" s="765"/>
      <c r="H1701" s="765"/>
      <c r="I1701" s="746" t="str">
        <f t="shared" si="79"/>
        <v/>
      </c>
      <c r="J1701" s="731"/>
      <c r="K1701" s="731" t="str">
        <f t="shared" si="78"/>
        <v/>
      </c>
      <c r="L1701" s="726"/>
      <c r="M1701" s="726"/>
      <c r="N1701" s="726"/>
      <c r="O1701" s="726"/>
      <c r="P1701" s="726"/>
      <c r="Q1701" s="726"/>
      <c r="R1701" s="726"/>
      <c r="S1701" s="726"/>
      <c r="T1701" s="726"/>
      <c r="U1701" s="726"/>
      <c r="V1701" s="726"/>
      <c r="W1701" s="726"/>
      <c r="X1701" s="726"/>
      <c r="Y1701" s="726"/>
      <c r="Z1701" s="726"/>
      <c r="AA1701" s="732"/>
      <c r="AB1701" s="732"/>
      <c r="AC1701" s="732"/>
      <c r="AD1701" s="732"/>
      <c r="AE1701" s="733"/>
      <c r="AF1701" s="734" t="str">
        <f t="shared" si="80"/>
        <v/>
      </c>
      <c r="AG1701" s="773"/>
    </row>
    <row r="1702" spans="1:64" ht="18.75" x14ac:dyDescent="0.25">
      <c r="A1702" s="758"/>
      <c r="B1702" s="737"/>
      <c r="C1702" s="730"/>
      <c r="D1702" s="739"/>
      <c r="E1702" s="765"/>
      <c r="F1702" s="765"/>
      <c r="G1702" s="765"/>
      <c r="H1702" s="765"/>
      <c r="I1702" s="746" t="str">
        <f t="shared" si="79"/>
        <v/>
      </c>
      <c r="J1702" s="731"/>
      <c r="K1702" s="731" t="str">
        <f t="shared" si="78"/>
        <v/>
      </c>
      <c r="L1702" s="726"/>
      <c r="M1702" s="726"/>
      <c r="N1702" s="726"/>
      <c r="O1702" s="726"/>
      <c r="P1702" s="726"/>
      <c r="Q1702" s="726"/>
      <c r="R1702" s="726"/>
      <c r="S1702" s="726"/>
      <c r="T1702" s="726"/>
      <c r="U1702" s="726"/>
      <c r="V1702" s="726"/>
      <c r="W1702" s="726"/>
      <c r="X1702" s="726"/>
      <c r="Y1702" s="726"/>
      <c r="Z1702" s="726"/>
      <c r="AA1702" s="732"/>
      <c r="AB1702" s="732"/>
      <c r="AC1702" s="732"/>
      <c r="AD1702" s="732"/>
      <c r="AE1702" s="733"/>
      <c r="AF1702" s="734" t="str">
        <f t="shared" si="80"/>
        <v/>
      </c>
      <c r="AG1702" s="773"/>
    </row>
    <row r="1703" spans="1:64" ht="18.75" x14ac:dyDescent="0.25">
      <c r="A1703" s="758"/>
      <c r="B1703" s="737"/>
      <c r="C1703" s="730"/>
      <c r="D1703" s="739"/>
      <c r="E1703" s="765"/>
      <c r="F1703" s="765"/>
      <c r="G1703" s="765"/>
      <c r="H1703" s="765"/>
      <c r="I1703" s="746" t="str">
        <f t="shared" si="79"/>
        <v/>
      </c>
      <c r="J1703" s="731"/>
      <c r="K1703" s="731" t="str">
        <f t="shared" si="78"/>
        <v/>
      </c>
      <c r="L1703" s="726"/>
      <c r="M1703" s="726"/>
      <c r="N1703" s="726"/>
      <c r="O1703" s="726"/>
      <c r="P1703" s="726"/>
      <c r="Q1703" s="726"/>
      <c r="R1703" s="726"/>
      <c r="S1703" s="726"/>
      <c r="T1703" s="726"/>
      <c r="U1703" s="726"/>
      <c r="V1703" s="726"/>
      <c r="W1703" s="726"/>
      <c r="X1703" s="726"/>
      <c r="Y1703" s="726"/>
      <c r="Z1703" s="726"/>
      <c r="AA1703" s="732"/>
      <c r="AB1703" s="732"/>
      <c r="AC1703" s="732"/>
      <c r="AD1703" s="732"/>
      <c r="AE1703" s="733"/>
      <c r="AF1703" s="734" t="str">
        <f t="shared" si="80"/>
        <v/>
      </c>
      <c r="AG1703" s="773"/>
    </row>
    <row r="1704" spans="1:64" ht="18.75" x14ac:dyDescent="0.25">
      <c r="A1704" s="758"/>
      <c r="B1704" s="737"/>
      <c r="C1704" s="730"/>
      <c r="D1704" s="739"/>
      <c r="E1704" s="765"/>
      <c r="F1704" s="765"/>
      <c r="G1704" s="765"/>
      <c r="H1704" s="765"/>
      <c r="I1704" s="746" t="str">
        <f t="shared" si="79"/>
        <v/>
      </c>
      <c r="J1704" s="731"/>
      <c r="K1704" s="731" t="str">
        <f t="shared" si="78"/>
        <v/>
      </c>
      <c r="L1704" s="726"/>
      <c r="M1704" s="726"/>
      <c r="N1704" s="726"/>
      <c r="O1704" s="726"/>
      <c r="P1704" s="726"/>
      <c r="Q1704" s="726"/>
      <c r="R1704" s="726"/>
      <c r="S1704" s="726"/>
      <c r="T1704" s="726"/>
      <c r="U1704" s="726"/>
      <c r="V1704" s="726"/>
      <c r="W1704" s="726"/>
      <c r="X1704" s="726"/>
      <c r="Y1704" s="726"/>
      <c r="Z1704" s="726"/>
      <c r="AA1704" s="732"/>
      <c r="AB1704" s="732"/>
      <c r="AC1704" s="732"/>
      <c r="AD1704" s="732"/>
      <c r="AE1704" s="733"/>
      <c r="AF1704" s="734" t="str">
        <f t="shared" si="80"/>
        <v/>
      </c>
      <c r="AG1704" s="773"/>
    </row>
    <row r="1705" spans="1:64" ht="18.75" x14ac:dyDescent="0.25">
      <c r="A1705" s="758"/>
      <c r="B1705" s="737"/>
      <c r="C1705" s="730"/>
      <c r="D1705" s="739"/>
      <c r="E1705" s="765"/>
      <c r="F1705" s="765"/>
      <c r="G1705" s="765"/>
      <c r="H1705" s="765"/>
      <c r="I1705" s="746" t="str">
        <f t="shared" si="79"/>
        <v/>
      </c>
      <c r="J1705" s="731"/>
      <c r="K1705" s="731" t="str">
        <f t="shared" si="78"/>
        <v/>
      </c>
      <c r="L1705" s="726"/>
      <c r="M1705" s="726"/>
      <c r="N1705" s="726"/>
      <c r="O1705" s="726"/>
      <c r="P1705" s="726"/>
      <c r="Q1705" s="726"/>
      <c r="R1705" s="726"/>
      <c r="S1705" s="726"/>
      <c r="T1705" s="726"/>
      <c r="U1705" s="726"/>
      <c r="V1705" s="726"/>
      <c r="W1705" s="726"/>
      <c r="X1705" s="726"/>
      <c r="Y1705" s="726"/>
      <c r="Z1705" s="726"/>
      <c r="AA1705" s="732"/>
      <c r="AB1705" s="732"/>
      <c r="AC1705" s="732"/>
      <c r="AD1705" s="732"/>
      <c r="AE1705" s="733"/>
      <c r="AF1705" s="734" t="str">
        <f t="shared" si="80"/>
        <v/>
      </c>
      <c r="AG1705" s="773"/>
    </row>
    <row r="1706" spans="1:64" ht="18.75" x14ac:dyDescent="0.25">
      <c r="A1706" s="758"/>
      <c r="B1706" s="737"/>
      <c r="C1706" s="730"/>
      <c r="D1706" s="739"/>
      <c r="E1706" s="765"/>
      <c r="F1706" s="765"/>
      <c r="G1706" s="765"/>
      <c r="H1706" s="765"/>
      <c r="I1706" s="746" t="str">
        <f t="shared" si="79"/>
        <v/>
      </c>
      <c r="J1706" s="731"/>
      <c r="K1706" s="731" t="str">
        <f t="shared" si="78"/>
        <v/>
      </c>
      <c r="L1706" s="726"/>
      <c r="M1706" s="726"/>
      <c r="N1706" s="726"/>
      <c r="O1706" s="726"/>
      <c r="P1706" s="726"/>
      <c r="Q1706" s="726"/>
      <c r="R1706" s="726"/>
      <c r="S1706" s="726"/>
      <c r="T1706" s="726"/>
      <c r="U1706" s="726"/>
      <c r="V1706" s="726"/>
      <c r="W1706" s="726"/>
      <c r="X1706" s="726"/>
      <c r="Y1706" s="726"/>
      <c r="Z1706" s="726"/>
      <c r="AA1706" s="732"/>
      <c r="AB1706" s="732"/>
      <c r="AC1706" s="732"/>
      <c r="AD1706" s="732"/>
      <c r="AE1706" s="733"/>
      <c r="AF1706" s="734" t="str">
        <f t="shared" si="80"/>
        <v/>
      </c>
      <c r="AG1706" s="773"/>
    </row>
    <row r="1707" spans="1:64" ht="18.75" x14ac:dyDescent="0.25">
      <c r="A1707" s="758"/>
      <c r="B1707" s="737"/>
      <c r="C1707" s="730"/>
      <c r="D1707" s="739"/>
      <c r="E1707" s="765"/>
      <c r="F1707" s="765"/>
      <c r="G1707" s="765"/>
      <c r="H1707" s="765"/>
      <c r="I1707" s="746" t="str">
        <f t="shared" si="79"/>
        <v/>
      </c>
      <c r="J1707" s="731"/>
      <c r="K1707" s="731" t="str">
        <f t="shared" si="78"/>
        <v/>
      </c>
      <c r="L1707" s="726"/>
      <c r="M1707" s="726"/>
      <c r="N1707" s="726"/>
      <c r="O1707" s="726"/>
      <c r="P1707" s="726"/>
      <c r="Q1707" s="726"/>
      <c r="R1707" s="726"/>
      <c r="S1707" s="726"/>
      <c r="T1707" s="726"/>
      <c r="U1707" s="726"/>
      <c r="V1707" s="726"/>
      <c r="W1707" s="726"/>
      <c r="X1707" s="726"/>
      <c r="Y1707" s="726"/>
      <c r="Z1707" s="726"/>
      <c r="AA1707" s="732"/>
      <c r="AB1707" s="732"/>
      <c r="AC1707" s="732"/>
      <c r="AD1707" s="732"/>
      <c r="AE1707" s="733"/>
      <c r="AF1707" s="734" t="str">
        <f t="shared" si="80"/>
        <v/>
      </c>
      <c r="AG1707" s="773"/>
    </row>
    <row r="1708" spans="1:64" ht="18.75" x14ac:dyDescent="0.25">
      <c r="A1708" s="758"/>
      <c r="B1708" s="737"/>
      <c r="C1708" s="730"/>
      <c r="D1708" s="739"/>
      <c r="E1708" s="765"/>
      <c r="F1708" s="765"/>
      <c r="G1708" s="765"/>
      <c r="H1708" s="765"/>
      <c r="I1708" s="746" t="str">
        <f t="shared" si="79"/>
        <v/>
      </c>
      <c r="J1708" s="731"/>
      <c r="K1708" s="731" t="str">
        <f t="shared" si="78"/>
        <v/>
      </c>
      <c r="L1708" s="726"/>
      <c r="M1708" s="726"/>
      <c r="N1708" s="726"/>
      <c r="O1708" s="726"/>
      <c r="P1708" s="726"/>
      <c r="Q1708" s="726"/>
      <c r="R1708" s="726"/>
      <c r="S1708" s="726"/>
      <c r="T1708" s="726"/>
      <c r="U1708" s="726"/>
      <c r="V1708" s="726"/>
      <c r="W1708" s="726"/>
      <c r="X1708" s="726"/>
      <c r="Y1708" s="726"/>
      <c r="Z1708" s="726"/>
      <c r="AA1708" s="732"/>
      <c r="AB1708" s="732"/>
      <c r="AC1708" s="732"/>
      <c r="AD1708" s="732"/>
      <c r="AE1708" s="733"/>
      <c r="AF1708" s="734" t="str">
        <f t="shared" si="80"/>
        <v/>
      </c>
      <c r="AG1708" s="773"/>
    </row>
    <row r="1709" spans="1:64" ht="18.75" x14ac:dyDescent="0.25">
      <c r="A1709" s="758"/>
      <c r="B1709" s="737"/>
      <c r="C1709" s="730"/>
      <c r="D1709" s="739"/>
      <c r="E1709" s="765"/>
      <c r="F1709" s="765"/>
      <c r="G1709" s="765"/>
      <c r="H1709" s="765"/>
      <c r="I1709" s="746" t="str">
        <f t="shared" si="79"/>
        <v/>
      </c>
      <c r="J1709" s="731"/>
      <c r="K1709" s="731" t="str">
        <f t="shared" si="78"/>
        <v/>
      </c>
      <c r="L1709" s="726"/>
      <c r="M1709" s="726"/>
      <c r="N1709" s="726"/>
      <c r="O1709" s="726"/>
      <c r="P1709" s="726"/>
      <c r="Q1709" s="726"/>
      <c r="R1709" s="726"/>
      <c r="S1709" s="726"/>
      <c r="T1709" s="726"/>
      <c r="U1709" s="726"/>
      <c r="V1709" s="726"/>
      <c r="W1709" s="726"/>
      <c r="X1709" s="726"/>
      <c r="Y1709" s="726"/>
      <c r="Z1709" s="726"/>
      <c r="AA1709" s="732"/>
      <c r="AB1709" s="732"/>
      <c r="AC1709" s="732"/>
      <c r="AD1709" s="732"/>
      <c r="AE1709" s="733"/>
      <c r="AF1709" s="734" t="str">
        <f t="shared" si="80"/>
        <v/>
      </c>
      <c r="AG1709" s="773"/>
    </row>
    <row r="1710" spans="1:64" ht="19.5" customHeight="1" x14ac:dyDescent="0.25">
      <c r="A1710" s="758"/>
      <c r="B1710" s="737"/>
      <c r="C1710" s="730"/>
      <c r="D1710" s="739"/>
      <c r="E1710" s="765"/>
      <c r="F1710" s="765"/>
      <c r="G1710" s="765"/>
      <c r="H1710" s="765"/>
      <c r="I1710" s="746" t="str">
        <f t="shared" si="79"/>
        <v/>
      </c>
      <c r="J1710" s="731"/>
      <c r="K1710" s="731" t="str">
        <f t="shared" si="78"/>
        <v/>
      </c>
      <c r="L1710" s="726"/>
      <c r="M1710" s="726"/>
      <c r="N1710" s="726"/>
      <c r="O1710" s="726"/>
      <c r="P1710" s="726"/>
      <c r="Q1710" s="726"/>
      <c r="R1710" s="726"/>
      <c r="S1710" s="726"/>
      <c r="T1710" s="726"/>
      <c r="U1710" s="726"/>
      <c r="V1710" s="726"/>
      <c r="W1710" s="726"/>
      <c r="X1710" s="726"/>
      <c r="Y1710" s="726"/>
      <c r="Z1710" s="726"/>
      <c r="AA1710" s="732"/>
      <c r="AB1710" s="732"/>
      <c r="AC1710" s="732"/>
      <c r="AD1710" s="732"/>
      <c r="AE1710" s="733"/>
      <c r="AF1710" s="734" t="str">
        <f t="shared" si="80"/>
        <v/>
      </c>
      <c r="AG1710" s="773"/>
    </row>
    <row r="1711" spans="1:64" ht="18.75" x14ac:dyDescent="0.25">
      <c r="A1711" s="758"/>
      <c r="B1711" s="737"/>
      <c r="C1711" s="730"/>
      <c r="D1711" s="739"/>
      <c r="E1711" s="765"/>
      <c r="F1711" s="765"/>
      <c r="G1711" s="765"/>
      <c r="H1711" s="765"/>
      <c r="I1711" s="746" t="str">
        <f t="shared" si="79"/>
        <v/>
      </c>
      <c r="J1711" s="731"/>
      <c r="K1711" s="731" t="str">
        <f t="shared" si="78"/>
        <v/>
      </c>
      <c r="L1711" s="726"/>
      <c r="M1711" s="726"/>
      <c r="N1711" s="726"/>
      <c r="O1711" s="726"/>
      <c r="P1711" s="726"/>
      <c r="Q1711" s="726"/>
      <c r="R1711" s="726"/>
      <c r="S1711" s="726"/>
      <c r="T1711" s="726"/>
      <c r="U1711" s="726"/>
      <c r="V1711" s="726"/>
      <c r="W1711" s="726"/>
      <c r="X1711" s="726"/>
      <c r="Y1711" s="726"/>
      <c r="Z1711" s="726"/>
      <c r="AA1711" s="732"/>
      <c r="AB1711" s="732"/>
      <c r="AC1711" s="732"/>
      <c r="AD1711" s="732"/>
      <c r="AE1711" s="733"/>
      <c r="AF1711" s="734" t="str">
        <f t="shared" si="80"/>
        <v/>
      </c>
      <c r="AG1711" s="773"/>
    </row>
    <row r="1712" spans="1:64" ht="18.75" x14ac:dyDescent="0.25">
      <c r="A1712" s="758"/>
      <c r="B1712" s="737"/>
      <c r="C1712" s="730"/>
      <c r="D1712" s="739"/>
      <c r="E1712" s="765"/>
      <c r="F1712" s="765"/>
      <c r="G1712" s="765"/>
      <c r="H1712" s="765"/>
      <c r="I1712" s="746" t="str">
        <f t="shared" si="79"/>
        <v/>
      </c>
      <c r="J1712" s="731"/>
      <c r="K1712" s="731" t="str">
        <f t="shared" si="78"/>
        <v/>
      </c>
      <c r="L1712" s="726"/>
      <c r="M1712" s="726"/>
      <c r="N1712" s="726"/>
      <c r="O1712" s="726"/>
      <c r="P1712" s="726"/>
      <c r="Q1712" s="726"/>
      <c r="R1712" s="726"/>
      <c r="S1712" s="726"/>
      <c r="T1712" s="726"/>
      <c r="U1712" s="726"/>
      <c r="V1712" s="726"/>
      <c r="W1712" s="726"/>
      <c r="X1712" s="726"/>
      <c r="Y1712" s="726"/>
      <c r="Z1712" s="726"/>
      <c r="AA1712" s="732"/>
      <c r="AB1712" s="732"/>
      <c r="AC1712" s="732"/>
      <c r="AD1712" s="732"/>
      <c r="AE1712" s="733"/>
      <c r="AF1712" s="734" t="str">
        <f t="shared" si="80"/>
        <v/>
      </c>
      <c r="AG1712" s="773"/>
    </row>
    <row r="1713" spans="1:64" ht="19.5" customHeight="1" x14ac:dyDescent="0.25">
      <c r="A1713" s="758"/>
      <c r="B1713" s="737"/>
      <c r="C1713" s="730"/>
      <c r="D1713" s="739"/>
      <c r="E1713" s="765"/>
      <c r="F1713" s="765"/>
      <c r="G1713" s="765"/>
      <c r="H1713" s="765"/>
      <c r="I1713" s="746" t="str">
        <f t="shared" si="79"/>
        <v/>
      </c>
      <c r="J1713" s="731"/>
      <c r="K1713" s="731" t="str">
        <f t="shared" si="78"/>
        <v/>
      </c>
      <c r="L1713" s="726"/>
      <c r="M1713" s="726"/>
      <c r="N1713" s="726"/>
      <c r="O1713" s="726"/>
      <c r="P1713" s="726"/>
      <c r="Q1713" s="726"/>
      <c r="R1713" s="726"/>
      <c r="S1713" s="726"/>
      <c r="T1713" s="726"/>
      <c r="U1713" s="726"/>
      <c r="V1713" s="726"/>
      <c r="W1713" s="726"/>
      <c r="X1713" s="726"/>
      <c r="Y1713" s="726"/>
      <c r="Z1713" s="726"/>
      <c r="AA1713" s="732"/>
      <c r="AB1713" s="732"/>
      <c r="AC1713" s="732"/>
      <c r="AD1713" s="732"/>
      <c r="AE1713" s="733"/>
      <c r="AF1713" s="734" t="str">
        <f t="shared" si="80"/>
        <v/>
      </c>
      <c r="AG1713" s="775"/>
      <c r="AH1713" s="779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36"/>
      <c r="BA1713" s="36"/>
      <c r="BB1713" s="36"/>
      <c r="BC1713" s="36"/>
      <c r="BD1713" s="36"/>
      <c r="BE1713" s="36"/>
      <c r="BF1713" s="36"/>
      <c r="BG1713" s="36"/>
      <c r="BH1713" s="36"/>
      <c r="BI1713" s="36"/>
      <c r="BJ1713" s="36"/>
      <c r="BK1713" s="36"/>
      <c r="BL1713" s="36"/>
    </row>
    <row r="1714" spans="1:64" ht="19.5" customHeight="1" x14ac:dyDescent="0.25">
      <c r="A1714" s="758"/>
      <c r="B1714" s="737"/>
      <c r="C1714" s="730"/>
      <c r="D1714" s="739"/>
      <c r="E1714" s="765"/>
      <c r="F1714" s="765"/>
      <c r="G1714" s="765"/>
      <c r="H1714" s="765"/>
      <c r="I1714" s="746" t="str">
        <f t="shared" si="79"/>
        <v/>
      </c>
      <c r="J1714" s="731"/>
      <c r="K1714" s="731" t="str">
        <f t="shared" si="78"/>
        <v/>
      </c>
      <c r="L1714" s="726"/>
      <c r="M1714" s="726"/>
      <c r="N1714" s="726"/>
      <c r="O1714" s="726"/>
      <c r="P1714" s="726"/>
      <c r="Q1714" s="726"/>
      <c r="R1714" s="726"/>
      <c r="S1714" s="726"/>
      <c r="T1714" s="726"/>
      <c r="U1714" s="726"/>
      <c r="V1714" s="726"/>
      <c r="W1714" s="726"/>
      <c r="X1714" s="726"/>
      <c r="Y1714" s="726"/>
      <c r="Z1714" s="726"/>
      <c r="AA1714" s="732"/>
      <c r="AB1714" s="732"/>
      <c r="AC1714" s="732"/>
      <c r="AD1714" s="732"/>
      <c r="AE1714" s="733"/>
      <c r="AF1714" s="734" t="str">
        <f t="shared" si="80"/>
        <v/>
      </c>
      <c r="AG1714" s="775"/>
      <c r="AH1714" s="779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36"/>
      <c r="BA1714" s="36"/>
      <c r="BB1714" s="36"/>
      <c r="BC1714" s="36"/>
      <c r="BD1714" s="36"/>
      <c r="BE1714" s="36"/>
      <c r="BF1714" s="36"/>
      <c r="BG1714" s="36"/>
      <c r="BH1714" s="36"/>
      <c r="BI1714" s="36"/>
      <c r="BJ1714" s="36"/>
      <c r="BK1714" s="36"/>
      <c r="BL1714" s="36"/>
    </row>
    <row r="1715" spans="1:64" ht="18.75" x14ac:dyDescent="0.25">
      <c r="A1715" s="758"/>
      <c r="B1715" s="737"/>
      <c r="C1715" s="730"/>
      <c r="D1715" s="739"/>
      <c r="E1715" s="765"/>
      <c r="F1715" s="765"/>
      <c r="G1715" s="765"/>
      <c r="H1715" s="765"/>
      <c r="I1715" s="746" t="str">
        <f t="shared" si="79"/>
        <v/>
      </c>
      <c r="J1715" s="731"/>
      <c r="K1715" s="731" t="str">
        <f t="shared" si="78"/>
        <v/>
      </c>
      <c r="L1715" s="726"/>
      <c r="M1715" s="726"/>
      <c r="N1715" s="726"/>
      <c r="O1715" s="726"/>
      <c r="P1715" s="726"/>
      <c r="Q1715" s="726"/>
      <c r="R1715" s="726"/>
      <c r="S1715" s="726"/>
      <c r="T1715" s="726"/>
      <c r="U1715" s="726"/>
      <c r="V1715" s="726"/>
      <c r="W1715" s="726"/>
      <c r="X1715" s="726"/>
      <c r="Y1715" s="726"/>
      <c r="Z1715" s="726"/>
      <c r="AA1715" s="732"/>
      <c r="AB1715" s="732"/>
      <c r="AC1715" s="732"/>
      <c r="AD1715" s="732"/>
      <c r="AE1715" s="733"/>
      <c r="AF1715" s="734" t="str">
        <f t="shared" si="80"/>
        <v/>
      </c>
      <c r="AG1715" s="773"/>
    </row>
    <row r="1716" spans="1:64" ht="18.75" x14ac:dyDescent="0.25">
      <c r="A1716" s="758"/>
      <c r="B1716" s="737"/>
      <c r="C1716" s="730"/>
      <c r="D1716" s="739"/>
      <c r="E1716" s="765"/>
      <c r="F1716" s="765"/>
      <c r="G1716" s="765"/>
      <c r="H1716" s="765"/>
      <c r="I1716" s="746" t="str">
        <f t="shared" si="79"/>
        <v/>
      </c>
      <c r="J1716" s="731"/>
      <c r="K1716" s="731" t="str">
        <f t="shared" si="78"/>
        <v/>
      </c>
      <c r="L1716" s="726"/>
      <c r="M1716" s="726"/>
      <c r="N1716" s="726"/>
      <c r="O1716" s="726"/>
      <c r="P1716" s="726"/>
      <c r="Q1716" s="726"/>
      <c r="R1716" s="726"/>
      <c r="S1716" s="726"/>
      <c r="T1716" s="726"/>
      <c r="U1716" s="726"/>
      <c r="V1716" s="726"/>
      <c r="W1716" s="726"/>
      <c r="X1716" s="726"/>
      <c r="Y1716" s="726"/>
      <c r="Z1716" s="726"/>
      <c r="AA1716" s="732"/>
      <c r="AB1716" s="732"/>
      <c r="AC1716" s="732"/>
      <c r="AD1716" s="732"/>
      <c r="AE1716" s="733"/>
      <c r="AF1716" s="734" t="str">
        <f t="shared" si="80"/>
        <v/>
      </c>
      <c r="AG1716" s="773"/>
    </row>
    <row r="1717" spans="1:64" ht="18.75" x14ac:dyDescent="0.25">
      <c r="A1717" s="758"/>
      <c r="B1717" s="737"/>
      <c r="C1717" s="730"/>
      <c r="D1717" s="739"/>
      <c r="E1717" s="765"/>
      <c r="F1717" s="765"/>
      <c r="G1717" s="765"/>
      <c r="H1717" s="765"/>
      <c r="I1717" s="746" t="str">
        <f t="shared" si="79"/>
        <v/>
      </c>
      <c r="J1717" s="731"/>
      <c r="K1717" s="731" t="str">
        <f t="shared" si="78"/>
        <v/>
      </c>
      <c r="L1717" s="726"/>
      <c r="M1717" s="726"/>
      <c r="N1717" s="726"/>
      <c r="O1717" s="726"/>
      <c r="P1717" s="726"/>
      <c r="Q1717" s="726"/>
      <c r="R1717" s="726"/>
      <c r="S1717" s="726"/>
      <c r="T1717" s="726"/>
      <c r="U1717" s="726"/>
      <c r="V1717" s="726"/>
      <c r="W1717" s="726"/>
      <c r="X1717" s="726"/>
      <c r="Y1717" s="726"/>
      <c r="Z1717" s="726"/>
      <c r="AA1717" s="732"/>
      <c r="AB1717" s="732"/>
      <c r="AC1717" s="732"/>
      <c r="AD1717" s="732"/>
      <c r="AE1717" s="733"/>
      <c r="AF1717" s="734" t="str">
        <f t="shared" si="80"/>
        <v/>
      </c>
      <c r="AG1717" s="773"/>
    </row>
    <row r="1718" spans="1:64" ht="18.75" x14ac:dyDescent="0.25">
      <c r="A1718" s="758"/>
      <c r="B1718" s="737"/>
      <c r="C1718" s="730"/>
      <c r="D1718" s="739"/>
      <c r="E1718" s="765"/>
      <c r="F1718" s="765"/>
      <c r="G1718" s="765"/>
      <c r="H1718" s="765"/>
      <c r="I1718" s="746" t="str">
        <f t="shared" si="79"/>
        <v/>
      </c>
      <c r="J1718" s="731"/>
      <c r="K1718" s="731" t="str">
        <f t="shared" si="78"/>
        <v/>
      </c>
      <c r="L1718" s="726"/>
      <c r="M1718" s="726"/>
      <c r="N1718" s="726"/>
      <c r="O1718" s="726"/>
      <c r="P1718" s="726"/>
      <c r="Q1718" s="726"/>
      <c r="R1718" s="726"/>
      <c r="S1718" s="726"/>
      <c r="T1718" s="726"/>
      <c r="U1718" s="726"/>
      <c r="V1718" s="726"/>
      <c r="W1718" s="726"/>
      <c r="X1718" s="726"/>
      <c r="Y1718" s="726"/>
      <c r="Z1718" s="726"/>
      <c r="AA1718" s="732"/>
      <c r="AB1718" s="732"/>
      <c r="AC1718" s="732"/>
      <c r="AD1718" s="732"/>
      <c r="AE1718" s="733"/>
      <c r="AF1718" s="734" t="str">
        <f t="shared" si="80"/>
        <v/>
      </c>
      <c r="AG1718" s="773"/>
    </row>
    <row r="1719" spans="1:64" ht="18.75" x14ac:dyDescent="0.25">
      <c r="A1719" s="758"/>
      <c r="B1719" s="737"/>
      <c r="C1719" s="730"/>
      <c r="D1719" s="739"/>
      <c r="E1719" s="765"/>
      <c r="F1719" s="765"/>
      <c r="G1719" s="765"/>
      <c r="H1719" s="765"/>
      <c r="I1719" s="746" t="str">
        <f t="shared" si="79"/>
        <v/>
      </c>
      <c r="J1719" s="731"/>
      <c r="K1719" s="731" t="str">
        <f t="shared" si="78"/>
        <v/>
      </c>
      <c r="L1719" s="726"/>
      <c r="M1719" s="726"/>
      <c r="N1719" s="726"/>
      <c r="O1719" s="726"/>
      <c r="P1719" s="726"/>
      <c r="Q1719" s="726"/>
      <c r="R1719" s="726"/>
      <c r="S1719" s="726"/>
      <c r="T1719" s="726"/>
      <c r="U1719" s="726"/>
      <c r="V1719" s="726"/>
      <c r="W1719" s="726"/>
      <c r="X1719" s="726"/>
      <c r="Y1719" s="726"/>
      <c r="Z1719" s="726"/>
      <c r="AA1719" s="732"/>
      <c r="AB1719" s="732"/>
      <c r="AC1719" s="732"/>
      <c r="AD1719" s="732"/>
      <c r="AE1719" s="733"/>
      <c r="AF1719" s="734" t="str">
        <f t="shared" si="80"/>
        <v/>
      </c>
      <c r="AG1719" s="773"/>
    </row>
    <row r="1720" spans="1:64" ht="18.75" x14ac:dyDescent="0.25">
      <c r="A1720" s="758"/>
      <c r="B1720" s="737"/>
      <c r="C1720" s="730"/>
      <c r="D1720" s="739"/>
      <c r="E1720" s="765"/>
      <c r="F1720" s="765"/>
      <c r="G1720" s="765"/>
      <c r="H1720" s="765"/>
      <c r="I1720" s="746" t="str">
        <f t="shared" si="79"/>
        <v/>
      </c>
      <c r="J1720" s="731"/>
      <c r="K1720" s="731" t="str">
        <f t="shared" si="78"/>
        <v/>
      </c>
      <c r="L1720" s="726"/>
      <c r="M1720" s="726"/>
      <c r="N1720" s="726"/>
      <c r="O1720" s="726"/>
      <c r="P1720" s="726"/>
      <c r="Q1720" s="726"/>
      <c r="R1720" s="726"/>
      <c r="S1720" s="726"/>
      <c r="T1720" s="726"/>
      <c r="U1720" s="726"/>
      <c r="V1720" s="726"/>
      <c r="W1720" s="726"/>
      <c r="X1720" s="726"/>
      <c r="Y1720" s="726"/>
      <c r="Z1720" s="726"/>
      <c r="AA1720" s="732"/>
      <c r="AB1720" s="732"/>
      <c r="AC1720" s="732"/>
      <c r="AD1720" s="732"/>
      <c r="AE1720" s="733"/>
      <c r="AF1720" s="734" t="str">
        <f t="shared" si="80"/>
        <v/>
      </c>
      <c r="AG1720" s="773"/>
    </row>
    <row r="1721" spans="1:64" ht="18.75" x14ac:dyDescent="0.25">
      <c r="A1721" s="758"/>
      <c r="B1721" s="737"/>
      <c r="C1721" s="730"/>
      <c r="D1721" s="739"/>
      <c r="E1721" s="765"/>
      <c r="F1721" s="765"/>
      <c r="G1721" s="765"/>
      <c r="H1721" s="765"/>
      <c r="I1721" s="746" t="str">
        <f t="shared" si="79"/>
        <v/>
      </c>
      <c r="J1721" s="731"/>
      <c r="K1721" s="731" t="str">
        <f t="shared" si="78"/>
        <v/>
      </c>
      <c r="L1721" s="726"/>
      <c r="M1721" s="726"/>
      <c r="N1721" s="726"/>
      <c r="O1721" s="726"/>
      <c r="P1721" s="726"/>
      <c r="Q1721" s="726"/>
      <c r="R1721" s="726"/>
      <c r="S1721" s="726"/>
      <c r="T1721" s="726"/>
      <c r="U1721" s="726"/>
      <c r="V1721" s="726"/>
      <c r="W1721" s="726"/>
      <c r="X1721" s="726"/>
      <c r="Y1721" s="726"/>
      <c r="Z1721" s="726"/>
      <c r="AA1721" s="732"/>
      <c r="AB1721" s="732"/>
      <c r="AC1721" s="732"/>
      <c r="AD1721" s="732"/>
      <c r="AE1721" s="733"/>
      <c r="AF1721" s="734" t="str">
        <f t="shared" si="80"/>
        <v/>
      </c>
      <c r="AG1721" s="775"/>
      <c r="AH1721" s="779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36"/>
      <c r="BE1721" s="36"/>
      <c r="BF1721" s="36"/>
      <c r="BG1721" s="36"/>
      <c r="BH1721" s="36"/>
      <c r="BI1721" s="36"/>
      <c r="BJ1721" s="36"/>
      <c r="BK1721" s="36"/>
      <c r="BL1721" s="36"/>
    </row>
    <row r="1722" spans="1:64" ht="18.75" x14ac:dyDescent="0.25">
      <c r="A1722" s="758"/>
      <c r="B1722" s="737"/>
      <c r="C1722" s="730"/>
      <c r="D1722" s="739"/>
      <c r="E1722" s="765"/>
      <c r="F1722" s="765"/>
      <c r="G1722" s="765"/>
      <c r="H1722" s="765"/>
      <c r="I1722" s="746" t="str">
        <f t="shared" si="79"/>
        <v/>
      </c>
      <c r="J1722" s="731"/>
      <c r="K1722" s="731" t="str">
        <f t="shared" si="78"/>
        <v/>
      </c>
      <c r="L1722" s="726"/>
      <c r="M1722" s="726"/>
      <c r="N1722" s="726"/>
      <c r="O1722" s="726"/>
      <c r="P1722" s="726"/>
      <c r="Q1722" s="726"/>
      <c r="R1722" s="726"/>
      <c r="S1722" s="726"/>
      <c r="T1722" s="726"/>
      <c r="U1722" s="726"/>
      <c r="V1722" s="726"/>
      <c r="W1722" s="726"/>
      <c r="X1722" s="726"/>
      <c r="Y1722" s="726"/>
      <c r="Z1722" s="726"/>
      <c r="AA1722" s="732"/>
      <c r="AB1722" s="732"/>
      <c r="AC1722" s="732"/>
      <c r="AD1722" s="732"/>
      <c r="AE1722" s="733"/>
      <c r="AF1722" s="734" t="str">
        <f t="shared" si="80"/>
        <v/>
      </c>
      <c r="AG1722" s="773"/>
    </row>
    <row r="1723" spans="1:64" ht="18.75" x14ac:dyDescent="0.25">
      <c r="A1723" s="758"/>
      <c r="B1723" s="737"/>
      <c r="C1723" s="730"/>
      <c r="D1723" s="739"/>
      <c r="E1723" s="765"/>
      <c r="F1723" s="765"/>
      <c r="G1723" s="765"/>
      <c r="H1723" s="765"/>
      <c r="I1723" s="746" t="str">
        <f t="shared" si="79"/>
        <v/>
      </c>
      <c r="J1723" s="731"/>
      <c r="K1723" s="731" t="str">
        <f t="shared" si="78"/>
        <v/>
      </c>
      <c r="L1723" s="726"/>
      <c r="M1723" s="726"/>
      <c r="N1723" s="726"/>
      <c r="O1723" s="726"/>
      <c r="P1723" s="726"/>
      <c r="Q1723" s="726"/>
      <c r="R1723" s="726"/>
      <c r="S1723" s="726"/>
      <c r="T1723" s="726"/>
      <c r="U1723" s="726"/>
      <c r="V1723" s="726"/>
      <c r="W1723" s="726"/>
      <c r="X1723" s="726"/>
      <c r="Y1723" s="726"/>
      <c r="Z1723" s="726"/>
      <c r="AA1723" s="732"/>
      <c r="AB1723" s="732"/>
      <c r="AC1723" s="732"/>
      <c r="AD1723" s="732"/>
      <c r="AE1723" s="733"/>
      <c r="AF1723" s="734" t="str">
        <f t="shared" si="80"/>
        <v/>
      </c>
      <c r="AG1723" s="773"/>
    </row>
    <row r="1724" spans="1:64" ht="18.75" x14ac:dyDescent="0.25">
      <c r="A1724" s="758"/>
      <c r="B1724" s="737"/>
      <c r="C1724" s="730"/>
      <c r="D1724" s="739"/>
      <c r="E1724" s="765"/>
      <c r="F1724" s="765"/>
      <c r="G1724" s="765"/>
      <c r="H1724" s="765"/>
      <c r="I1724" s="746" t="str">
        <f t="shared" si="79"/>
        <v/>
      </c>
      <c r="J1724" s="731"/>
      <c r="K1724" s="731" t="str">
        <f t="shared" si="78"/>
        <v/>
      </c>
      <c r="L1724" s="726"/>
      <c r="M1724" s="726"/>
      <c r="N1724" s="726"/>
      <c r="O1724" s="726"/>
      <c r="P1724" s="726"/>
      <c r="Q1724" s="726"/>
      <c r="R1724" s="726"/>
      <c r="S1724" s="726"/>
      <c r="T1724" s="726"/>
      <c r="U1724" s="726"/>
      <c r="V1724" s="726"/>
      <c r="W1724" s="726"/>
      <c r="X1724" s="726"/>
      <c r="Y1724" s="726"/>
      <c r="Z1724" s="726"/>
      <c r="AA1724" s="732"/>
      <c r="AB1724" s="732"/>
      <c r="AC1724" s="732"/>
      <c r="AD1724" s="732"/>
      <c r="AE1724" s="733"/>
      <c r="AF1724" s="734" t="str">
        <f t="shared" si="80"/>
        <v/>
      </c>
      <c r="AG1724" s="773"/>
    </row>
    <row r="1725" spans="1:64" ht="18.75" x14ac:dyDescent="0.25">
      <c r="A1725" s="758"/>
      <c r="B1725" s="737"/>
      <c r="C1725" s="730"/>
      <c r="D1725" s="739"/>
      <c r="E1725" s="765"/>
      <c r="F1725" s="765"/>
      <c r="G1725" s="765"/>
      <c r="H1725" s="765"/>
      <c r="I1725" s="746" t="str">
        <f t="shared" si="79"/>
        <v/>
      </c>
      <c r="J1725" s="731"/>
      <c r="K1725" s="731" t="str">
        <f t="shared" si="78"/>
        <v/>
      </c>
      <c r="L1725" s="726"/>
      <c r="M1725" s="726"/>
      <c r="N1725" s="726"/>
      <c r="O1725" s="726"/>
      <c r="P1725" s="726"/>
      <c r="Q1725" s="726"/>
      <c r="R1725" s="726"/>
      <c r="S1725" s="726"/>
      <c r="T1725" s="726"/>
      <c r="U1725" s="726"/>
      <c r="V1725" s="726"/>
      <c r="W1725" s="726"/>
      <c r="X1725" s="726"/>
      <c r="Y1725" s="726"/>
      <c r="Z1725" s="726"/>
      <c r="AA1725" s="732"/>
      <c r="AB1725" s="732"/>
      <c r="AC1725" s="732"/>
      <c r="AD1725" s="732"/>
      <c r="AE1725" s="733"/>
      <c r="AF1725" s="734" t="str">
        <f t="shared" si="80"/>
        <v/>
      </c>
      <c r="AG1725" s="773"/>
    </row>
    <row r="1726" spans="1:64" ht="18.75" x14ac:dyDescent="0.25">
      <c r="A1726" s="758"/>
      <c r="B1726" s="737"/>
      <c r="C1726" s="730"/>
      <c r="D1726" s="739"/>
      <c r="E1726" s="765"/>
      <c r="F1726" s="765"/>
      <c r="G1726" s="765"/>
      <c r="H1726" s="765"/>
      <c r="I1726" s="746" t="str">
        <f t="shared" si="79"/>
        <v/>
      </c>
      <c r="J1726" s="731"/>
      <c r="K1726" s="731" t="str">
        <f t="shared" si="78"/>
        <v/>
      </c>
      <c r="L1726" s="726"/>
      <c r="M1726" s="726"/>
      <c r="N1726" s="726"/>
      <c r="O1726" s="726"/>
      <c r="P1726" s="726"/>
      <c r="Q1726" s="726"/>
      <c r="R1726" s="726"/>
      <c r="S1726" s="726"/>
      <c r="T1726" s="726"/>
      <c r="U1726" s="726"/>
      <c r="V1726" s="726"/>
      <c r="W1726" s="726"/>
      <c r="X1726" s="726"/>
      <c r="Y1726" s="726"/>
      <c r="Z1726" s="726"/>
      <c r="AA1726" s="732"/>
      <c r="AB1726" s="732"/>
      <c r="AC1726" s="732"/>
      <c r="AD1726" s="732"/>
      <c r="AE1726" s="733"/>
      <c r="AF1726" s="734" t="str">
        <f t="shared" si="80"/>
        <v/>
      </c>
      <c r="AG1726" s="773"/>
    </row>
    <row r="1727" spans="1:64" ht="19.5" customHeight="1" x14ac:dyDescent="0.25">
      <c r="A1727" s="758"/>
      <c r="B1727" s="737"/>
      <c r="C1727" s="730"/>
      <c r="D1727" s="739"/>
      <c r="E1727" s="765"/>
      <c r="F1727" s="765"/>
      <c r="G1727" s="765"/>
      <c r="H1727" s="765"/>
      <c r="I1727" s="746" t="str">
        <f t="shared" si="79"/>
        <v/>
      </c>
      <c r="J1727" s="731"/>
      <c r="K1727" s="731" t="str">
        <f t="shared" si="78"/>
        <v/>
      </c>
      <c r="L1727" s="726"/>
      <c r="M1727" s="726"/>
      <c r="N1727" s="726"/>
      <c r="O1727" s="726"/>
      <c r="P1727" s="726"/>
      <c r="Q1727" s="726"/>
      <c r="R1727" s="726"/>
      <c r="S1727" s="726"/>
      <c r="T1727" s="726"/>
      <c r="U1727" s="726"/>
      <c r="V1727" s="726"/>
      <c r="W1727" s="726"/>
      <c r="X1727" s="726"/>
      <c r="Y1727" s="726"/>
      <c r="Z1727" s="726"/>
      <c r="AA1727" s="732"/>
      <c r="AB1727" s="732"/>
      <c r="AC1727" s="732"/>
      <c r="AD1727" s="732"/>
      <c r="AE1727" s="733"/>
      <c r="AF1727" s="734" t="str">
        <f t="shared" si="80"/>
        <v/>
      </c>
      <c r="AG1727" s="775"/>
      <c r="AH1727" s="779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36"/>
      <c r="BD1727" s="36"/>
      <c r="BE1727" s="36"/>
      <c r="BF1727" s="36"/>
      <c r="BG1727" s="36"/>
      <c r="BH1727" s="36"/>
      <c r="BI1727" s="36"/>
      <c r="BJ1727" s="36"/>
      <c r="BK1727" s="36"/>
      <c r="BL1727" s="36"/>
    </row>
    <row r="1728" spans="1:64" ht="19.5" customHeight="1" x14ac:dyDescent="0.25">
      <c r="A1728" s="758"/>
      <c r="B1728" s="737"/>
      <c r="C1728" s="730"/>
      <c r="D1728" s="739"/>
      <c r="E1728" s="765"/>
      <c r="F1728" s="765"/>
      <c r="G1728" s="765"/>
      <c r="H1728" s="765"/>
      <c r="I1728" s="746" t="str">
        <f t="shared" si="79"/>
        <v/>
      </c>
      <c r="J1728" s="731"/>
      <c r="K1728" s="731" t="str">
        <f t="shared" si="78"/>
        <v/>
      </c>
      <c r="L1728" s="726"/>
      <c r="M1728" s="726"/>
      <c r="N1728" s="726"/>
      <c r="O1728" s="726"/>
      <c r="P1728" s="726"/>
      <c r="Q1728" s="726"/>
      <c r="R1728" s="726"/>
      <c r="S1728" s="726"/>
      <c r="T1728" s="726"/>
      <c r="U1728" s="726"/>
      <c r="V1728" s="726"/>
      <c r="W1728" s="726"/>
      <c r="X1728" s="726"/>
      <c r="Y1728" s="726"/>
      <c r="Z1728" s="726"/>
      <c r="AA1728" s="732"/>
      <c r="AB1728" s="732"/>
      <c r="AC1728" s="732"/>
      <c r="AD1728" s="732"/>
      <c r="AE1728" s="733"/>
      <c r="AF1728" s="734" t="str">
        <f t="shared" si="80"/>
        <v/>
      </c>
      <c r="AG1728" s="775"/>
      <c r="AH1728" s="779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36"/>
      <c r="BD1728" s="36"/>
      <c r="BE1728" s="36"/>
      <c r="BF1728" s="36"/>
      <c r="BG1728" s="36"/>
      <c r="BH1728" s="36"/>
      <c r="BI1728" s="36"/>
      <c r="BJ1728" s="36"/>
      <c r="BK1728" s="36"/>
      <c r="BL1728" s="36"/>
    </row>
    <row r="1729" spans="1:64" ht="18.75" x14ac:dyDescent="0.25">
      <c r="A1729" s="758"/>
      <c r="B1729" s="737"/>
      <c r="C1729" s="730"/>
      <c r="D1729" s="739"/>
      <c r="E1729" s="765"/>
      <c r="F1729" s="765"/>
      <c r="G1729" s="765"/>
      <c r="H1729" s="765"/>
      <c r="I1729" s="746" t="str">
        <f t="shared" si="79"/>
        <v/>
      </c>
      <c r="J1729" s="731"/>
      <c r="K1729" s="731" t="str">
        <f t="shared" si="78"/>
        <v/>
      </c>
      <c r="L1729" s="726"/>
      <c r="M1729" s="726"/>
      <c r="N1729" s="726"/>
      <c r="O1729" s="726"/>
      <c r="P1729" s="726"/>
      <c r="Q1729" s="726"/>
      <c r="R1729" s="726"/>
      <c r="S1729" s="726"/>
      <c r="T1729" s="726"/>
      <c r="U1729" s="726"/>
      <c r="V1729" s="726"/>
      <c r="W1729" s="726"/>
      <c r="X1729" s="726"/>
      <c r="Y1729" s="726"/>
      <c r="Z1729" s="726"/>
      <c r="AA1729" s="732"/>
      <c r="AB1729" s="732"/>
      <c r="AC1729" s="732"/>
      <c r="AD1729" s="732"/>
      <c r="AE1729" s="733"/>
      <c r="AF1729" s="734" t="str">
        <f t="shared" si="80"/>
        <v/>
      </c>
      <c r="AG1729" s="773"/>
    </row>
    <row r="1730" spans="1:64" ht="18.75" x14ac:dyDescent="0.25">
      <c r="A1730" s="758"/>
      <c r="B1730" s="737"/>
      <c r="C1730" s="730"/>
      <c r="D1730" s="739"/>
      <c r="E1730" s="765"/>
      <c r="F1730" s="765"/>
      <c r="G1730" s="765"/>
      <c r="H1730" s="765"/>
      <c r="I1730" s="746" t="str">
        <f t="shared" si="79"/>
        <v/>
      </c>
      <c r="J1730" s="731"/>
      <c r="K1730" s="731" t="str">
        <f t="shared" si="78"/>
        <v/>
      </c>
      <c r="L1730" s="726"/>
      <c r="M1730" s="726"/>
      <c r="N1730" s="726"/>
      <c r="O1730" s="726"/>
      <c r="P1730" s="726"/>
      <c r="Q1730" s="726"/>
      <c r="R1730" s="726"/>
      <c r="S1730" s="726"/>
      <c r="T1730" s="726"/>
      <c r="U1730" s="726"/>
      <c r="V1730" s="726"/>
      <c r="W1730" s="726"/>
      <c r="X1730" s="726"/>
      <c r="Y1730" s="726"/>
      <c r="Z1730" s="726"/>
      <c r="AA1730" s="732"/>
      <c r="AB1730" s="732"/>
      <c r="AC1730" s="732"/>
      <c r="AD1730" s="732"/>
      <c r="AE1730" s="733"/>
      <c r="AF1730" s="734" t="str">
        <f t="shared" si="80"/>
        <v/>
      </c>
      <c r="AG1730" s="773"/>
    </row>
    <row r="1731" spans="1:64" ht="18.75" x14ac:dyDescent="0.25">
      <c r="A1731" s="758"/>
      <c r="B1731" s="737"/>
      <c r="C1731" s="730"/>
      <c r="D1731" s="739"/>
      <c r="E1731" s="765"/>
      <c r="F1731" s="765"/>
      <c r="G1731" s="765"/>
      <c r="H1731" s="765"/>
      <c r="I1731" s="746" t="str">
        <f t="shared" si="79"/>
        <v/>
      </c>
      <c r="J1731" s="731"/>
      <c r="K1731" s="731" t="str">
        <f t="shared" si="78"/>
        <v/>
      </c>
      <c r="L1731" s="726"/>
      <c r="M1731" s="726"/>
      <c r="N1731" s="726"/>
      <c r="O1731" s="726"/>
      <c r="P1731" s="726"/>
      <c r="Q1731" s="726"/>
      <c r="R1731" s="726"/>
      <c r="S1731" s="726"/>
      <c r="T1731" s="726"/>
      <c r="U1731" s="726"/>
      <c r="V1731" s="726"/>
      <c r="W1731" s="726"/>
      <c r="X1731" s="726"/>
      <c r="Y1731" s="726"/>
      <c r="Z1731" s="726"/>
      <c r="AA1731" s="732"/>
      <c r="AB1731" s="732"/>
      <c r="AC1731" s="732"/>
      <c r="AD1731" s="732"/>
      <c r="AE1731" s="733"/>
      <c r="AF1731" s="734" t="str">
        <f t="shared" si="80"/>
        <v/>
      </c>
      <c r="AG1731" s="773"/>
    </row>
    <row r="1732" spans="1:64" ht="18.75" x14ac:dyDescent="0.25">
      <c r="A1732" s="758"/>
      <c r="B1732" s="737"/>
      <c r="C1732" s="730"/>
      <c r="D1732" s="739"/>
      <c r="E1732" s="765"/>
      <c r="F1732" s="765"/>
      <c r="G1732" s="765"/>
      <c r="H1732" s="765"/>
      <c r="I1732" s="746" t="str">
        <f t="shared" si="79"/>
        <v/>
      </c>
      <c r="J1732" s="731"/>
      <c r="K1732" s="731" t="str">
        <f t="shared" ref="K1732:K1795" si="81">IF(AA1732-AE1732 = 0,"",AA1732-AE1732)</f>
        <v/>
      </c>
      <c r="L1732" s="726"/>
      <c r="M1732" s="726"/>
      <c r="N1732" s="726"/>
      <c r="O1732" s="726"/>
      <c r="P1732" s="726"/>
      <c r="Q1732" s="726"/>
      <c r="R1732" s="726"/>
      <c r="S1732" s="726"/>
      <c r="T1732" s="726"/>
      <c r="U1732" s="726"/>
      <c r="V1732" s="726"/>
      <c r="W1732" s="726"/>
      <c r="X1732" s="726"/>
      <c r="Y1732" s="726"/>
      <c r="Z1732" s="726"/>
      <c r="AA1732" s="732"/>
      <c r="AB1732" s="732"/>
      <c r="AC1732" s="732"/>
      <c r="AD1732" s="732"/>
      <c r="AE1732" s="733"/>
      <c r="AF1732" s="734" t="str">
        <f t="shared" si="80"/>
        <v/>
      </c>
      <c r="AG1732" s="773"/>
    </row>
    <row r="1733" spans="1:64" ht="18.75" x14ac:dyDescent="0.25">
      <c r="A1733" s="758"/>
      <c r="B1733" s="737"/>
      <c r="C1733" s="730"/>
      <c r="D1733" s="739"/>
      <c r="E1733" s="765"/>
      <c r="F1733" s="765"/>
      <c r="G1733" s="765"/>
      <c r="H1733" s="765"/>
      <c r="I1733" s="746" t="str">
        <f t="shared" ref="I1733:I1796" si="82">AF1733</f>
        <v/>
      </c>
      <c r="J1733" s="731"/>
      <c r="K1733" s="731" t="str">
        <f t="shared" si="81"/>
        <v/>
      </c>
      <c r="L1733" s="726"/>
      <c r="M1733" s="726"/>
      <c r="N1733" s="726"/>
      <c r="O1733" s="726"/>
      <c r="P1733" s="726"/>
      <c r="Q1733" s="726"/>
      <c r="R1733" s="726"/>
      <c r="S1733" s="726"/>
      <c r="T1733" s="726"/>
      <c r="U1733" s="726"/>
      <c r="V1733" s="726"/>
      <c r="W1733" s="726"/>
      <c r="X1733" s="726"/>
      <c r="Y1733" s="726"/>
      <c r="Z1733" s="726"/>
      <c r="AA1733" s="732"/>
      <c r="AB1733" s="732"/>
      <c r="AC1733" s="732"/>
      <c r="AD1733" s="732"/>
      <c r="AE1733" s="733"/>
      <c r="AF1733" s="734" t="str">
        <f t="shared" ref="AF1733:AF1796" si="83">IF(AE1733 &lt;&gt;"", AE1733/AA1733,"")</f>
        <v/>
      </c>
      <c r="AG1733" s="773"/>
    </row>
    <row r="1734" spans="1:64" ht="18.75" x14ac:dyDescent="0.25">
      <c r="A1734" s="758"/>
      <c r="B1734" s="737"/>
      <c r="C1734" s="730"/>
      <c r="D1734" s="739"/>
      <c r="E1734" s="765"/>
      <c r="F1734" s="765"/>
      <c r="G1734" s="765"/>
      <c r="H1734" s="765"/>
      <c r="I1734" s="746" t="str">
        <f t="shared" si="82"/>
        <v/>
      </c>
      <c r="J1734" s="731"/>
      <c r="K1734" s="731" t="str">
        <f t="shared" si="81"/>
        <v/>
      </c>
      <c r="L1734" s="726"/>
      <c r="M1734" s="726"/>
      <c r="N1734" s="726"/>
      <c r="O1734" s="726"/>
      <c r="P1734" s="726"/>
      <c r="Q1734" s="726"/>
      <c r="R1734" s="726"/>
      <c r="S1734" s="726"/>
      <c r="T1734" s="726"/>
      <c r="U1734" s="726"/>
      <c r="V1734" s="726"/>
      <c r="W1734" s="726"/>
      <c r="X1734" s="726"/>
      <c r="Y1734" s="726"/>
      <c r="Z1734" s="726"/>
      <c r="AA1734" s="732"/>
      <c r="AB1734" s="732"/>
      <c r="AC1734" s="732"/>
      <c r="AD1734" s="732"/>
      <c r="AE1734" s="733"/>
      <c r="AF1734" s="734" t="str">
        <f t="shared" si="83"/>
        <v/>
      </c>
      <c r="AG1734" s="773"/>
    </row>
    <row r="1735" spans="1:64" ht="18.75" x14ac:dyDescent="0.25">
      <c r="A1735" s="758"/>
      <c r="B1735" s="737"/>
      <c r="C1735" s="730"/>
      <c r="D1735" s="739"/>
      <c r="E1735" s="765"/>
      <c r="F1735" s="765"/>
      <c r="G1735" s="765"/>
      <c r="H1735" s="765"/>
      <c r="I1735" s="746" t="str">
        <f t="shared" si="82"/>
        <v/>
      </c>
      <c r="J1735" s="731"/>
      <c r="K1735" s="731" t="str">
        <f t="shared" si="81"/>
        <v/>
      </c>
      <c r="L1735" s="726"/>
      <c r="M1735" s="726"/>
      <c r="N1735" s="726"/>
      <c r="O1735" s="726"/>
      <c r="P1735" s="726"/>
      <c r="Q1735" s="726"/>
      <c r="R1735" s="726"/>
      <c r="S1735" s="726"/>
      <c r="T1735" s="726"/>
      <c r="U1735" s="726"/>
      <c r="V1735" s="726"/>
      <c r="W1735" s="726"/>
      <c r="X1735" s="726"/>
      <c r="Y1735" s="726"/>
      <c r="Z1735" s="726"/>
      <c r="AA1735" s="732"/>
      <c r="AB1735" s="732"/>
      <c r="AC1735" s="732"/>
      <c r="AD1735" s="732"/>
      <c r="AE1735" s="733"/>
      <c r="AF1735" s="734" t="str">
        <f t="shared" si="83"/>
        <v/>
      </c>
      <c r="AG1735" s="775"/>
      <c r="AH1735" s="779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36"/>
      <c r="BD1735" s="36"/>
      <c r="BE1735" s="36"/>
      <c r="BF1735" s="36"/>
      <c r="BG1735" s="36"/>
      <c r="BH1735" s="36"/>
      <c r="BI1735" s="36"/>
      <c r="BJ1735" s="36"/>
      <c r="BK1735" s="36"/>
      <c r="BL1735" s="36"/>
    </row>
    <row r="1736" spans="1:64" ht="18.75" x14ac:dyDescent="0.25">
      <c r="A1736" s="758"/>
      <c r="B1736" s="737"/>
      <c r="C1736" s="730"/>
      <c r="D1736" s="739"/>
      <c r="E1736" s="765"/>
      <c r="F1736" s="765"/>
      <c r="G1736" s="765"/>
      <c r="H1736" s="765"/>
      <c r="I1736" s="746" t="str">
        <f t="shared" si="82"/>
        <v/>
      </c>
      <c r="J1736" s="731"/>
      <c r="K1736" s="731" t="str">
        <f t="shared" si="81"/>
        <v/>
      </c>
      <c r="L1736" s="726"/>
      <c r="M1736" s="726"/>
      <c r="N1736" s="726"/>
      <c r="O1736" s="726"/>
      <c r="P1736" s="726"/>
      <c r="Q1736" s="726"/>
      <c r="R1736" s="726"/>
      <c r="S1736" s="726"/>
      <c r="T1736" s="726"/>
      <c r="U1736" s="726"/>
      <c r="V1736" s="726"/>
      <c r="W1736" s="726"/>
      <c r="X1736" s="726"/>
      <c r="Y1736" s="726"/>
      <c r="Z1736" s="726"/>
      <c r="AA1736" s="732"/>
      <c r="AB1736" s="732"/>
      <c r="AC1736" s="732"/>
      <c r="AD1736" s="732"/>
      <c r="AE1736" s="733"/>
      <c r="AF1736" s="734" t="str">
        <f t="shared" si="83"/>
        <v/>
      </c>
      <c r="AG1736" s="773"/>
    </row>
    <row r="1737" spans="1:64" ht="18.75" x14ac:dyDescent="0.25">
      <c r="A1737" s="758"/>
      <c r="B1737" s="737"/>
      <c r="C1737" s="730"/>
      <c r="D1737" s="739"/>
      <c r="E1737" s="765"/>
      <c r="F1737" s="765"/>
      <c r="G1737" s="765"/>
      <c r="H1737" s="765"/>
      <c r="I1737" s="746" t="str">
        <f t="shared" si="82"/>
        <v/>
      </c>
      <c r="J1737" s="731"/>
      <c r="K1737" s="731" t="str">
        <f t="shared" si="81"/>
        <v/>
      </c>
      <c r="L1737" s="726"/>
      <c r="M1737" s="726"/>
      <c r="N1737" s="726"/>
      <c r="O1737" s="726"/>
      <c r="P1737" s="726"/>
      <c r="Q1737" s="726"/>
      <c r="R1737" s="726"/>
      <c r="S1737" s="726"/>
      <c r="T1737" s="726"/>
      <c r="U1737" s="726"/>
      <c r="V1737" s="726"/>
      <c r="W1737" s="726"/>
      <c r="X1737" s="726"/>
      <c r="Y1737" s="726"/>
      <c r="Z1737" s="726"/>
      <c r="AA1737" s="732"/>
      <c r="AB1737" s="732"/>
      <c r="AC1737" s="732"/>
      <c r="AD1737" s="732"/>
      <c r="AE1737" s="733"/>
      <c r="AF1737" s="734" t="str">
        <f t="shared" si="83"/>
        <v/>
      </c>
      <c r="AG1737" s="773"/>
    </row>
    <row r="1738" spans="1:64" ht="18.75" x14ac:dyDescent="0.25">
      <c r="A1738" s="758"/>
      <c r="B1738" s="737"/>
      <c r="C1738" s="730"/>
      <c r="D1738" s="739"/>
      <c r="E1738" s="765"/>
      <c r="F1738" s="765"/>
      <c r="G1738" s="765"/>
      <c r="H1738" s="765"/>
      <c r="I1738" s="746" t="str">
        <f t="shared" si="82"/>
        <v/>
      </c>
      <c r="J1738" s="731"/>
      <c r="K1738" s="731" t="str">
        <f t="shared" si="81"/>
        <v/>
      </c>
      <c r="L1738" s="726"/>
      <c r="M1738" s="726"/>
      <c r="N1738" s="726"/>
      <c r="O1738" s="726"/>
      <c r="P1738" s="726"/>
      <c r="Q1738" s="726"/>
      <c r="R1738" s="726"/>
      <c r="S1738" s="726"/>
      <c r="T1738" s="726"/>
      <c r="U1738" s="726"/>
      <c r="V1738" s="726"/>
      <c r="W1738" s="726"/>
      <c r="X1738" s="726"/>
      <c r="Y1738" s="726"/>
      <c r="Z1738" s="726"/>
      <c r="AA1738" s="732"/>
      <c r="AB1738" s="732"/>
      <c r="AC1738" s="732"/>
      <c r="AD1738" s="732"/>
      <c r="AE1738" s="733"/>
      <c r="AF1738" s="734" t="str">
        <f t="shared" si="83"/>
        <v/>
      </c>
      <c r="AG1738" s="773"/>
    </row>
    <row r="1739" spans="1:64" ht="18.75" x14ac:dyDescent="0.25">
      <c r="A1739" s="758"/>
      <c r="B1739" s="737"/>
      <c r="C1739" s="730"/>
      <c r="D1739" s="739"/>
      <c r="E1739" s="765"/>
      <c r="F1739" s="765"/>
      <c r="G1739" s="765"/>
      <c r="H1739" s="765"/>
      <c r="I1739" s="746" t="str">
        <f t="shared" si="82"/>
        <v/>
      </c>
      <c r="J1739" s="731"/>
      <c r="K1739" s="731" t="str">
        <f t="shared" si="81"/>
        <v/>
      </c>
      <c r="L1739" s="726"/>
      <c r="M1739" s="726"/>
      <c r="N1739" s="726"/>
      <c r="O1739" s="726"/>
      <c r="P1739" s="726"/>
      <c r="Q1739" s="726"/>
      <c r="R1739" s="726"/>
      <c r="S1739" s="726"/>
      <c r="T1739" s="726"/>
      <c r="U1739" s="726"/>
      <c r="V1739" s="726"/>
      <c r="W1739" s="726"/>
      <c r="X1739" s="726"/>
      <c r="Y1739" s="726"/>
      <c r="Z1739" s="726"/>
      <c r="AA1739" s="732"/>
      <c r="AB1739" s="732"/>
      <c r="AC1739" s="732"/>
      <c r="AD1739" s="732"/>
      <c r="AE1739" s="733"/>
      <c r="AF1739" s="734" t="str">
        <f t="shared" si="83"/>
        <v/>
      </c>
      <c r="AG1739" s="773"/>
    </row>
    <row r="1740" spans="1:64" ht="18.75" x14ac:dyDescent="0.25">
      <c r="A1740" s="758"/>
      <c r="B1740" s="737"/>
      <c r="C1740" s="730"/>
      <c r="D1740" s="739"/>
      <c r="E1740" s="765"/>
      <c r="F1740" s="765"/>
      <c r="G1740" s="765"/>
      <c r="H1740" s="765"/>
      <c r="I1740" s="746" t="str">
        <f t="shared" si="82"/>
        <v/>
      </c>
      <c r="J1740" s="731"/>
      <c r="K1740" s="731" t="str">
        <f t="shared" si="81"/>
        <v/>
      </c>
      <c r="L1740" s="726"/>
      <c r="M1740" s="726"/>
      <c r="N1740" s="726"/>
      <c r="O1740" s="726"/>
      <c r="P1740" s="726"/>
      <c r="Q1740" s="726"/>
      <c r="R1740" s="726"/>
      <c r="S1740" s="726"/>
      <c r="T1740" s="726"/>
      <c r="U1740" s="726"/>
      <c r="V1740" s="726"/>
      <c r="W1740" s="726"/>
      <c r="X1740" s="726"/>
      <c r="Y1740" s="726"/>
      <c r="Z1740" s="726"/>
      <c r="AA1740" s="732"/>
      <c r="AB1740" s="732"/>
      <c r="AC1740" s="732"/>
      <c r="AD1740" s="732"/>
      <c r="AE1740" s="733"/>
      <c r="AF1740" s="734" t="str">
        <f t="shared" si="83"/>
        <v/>
      </c>
      <c r="AG1740" s="773"/>
    </row>
    <row r="1741" spans="1:64" ht="18.75" x14ac:dyDescent="0.25">
      <c r="A1741" s="758"/>
      <c r="B1741" s="737"/>
      <c r="C1741" s="730"/>
      <c r="D1741" s="739"/>
      <c r="E1741" s="765"/>
      <c r="F1741" s="765"/>
      <c r="G1741" s="765"/>
      <c r="H1741" s="765"/>
      <c r="I1741" s="746" t="str">
        <f t="shared" si="82"/>
        <v/>
      </c>
      <c r="J1741" s="731"/>
      <c r="K1741" s="731" t="str">
        <f t="shared" si="81"/>
        <v/>
      </c>
      <c r="L1741" s="726"/>
      <c r="M1741" s="726"/>
      <c r="N1741" s="726"/>
      <c r="O1741" s="726"/>
      <c r="P1741" s="726"/>
      <c r="Q1741" s="726"/>
      <c r="R1741" s="726"/>
      <c r="S1741" s="726"/>
      <c r="T1741" s="726"/>
      <c r="U1741" s="726"/>
      <c r="V1741" s="726"/>
      <c r="W1741" s="726"/>
      <c r="X1741" s="726"/>
      <c r="Y1741" s="726"/>
      <c r="Z1741" s="726"/>
      <c r="AA1741" s="732"/>
      <c r="AB1741" s="732"/>
      <c r="AC1741" s="732"/>
      <c r="AD1741" s="732"/>
      <c r="AE1741" s="733"/>
      <c r="AF1741" s="734" t="str">
        <f t="shared" si="83"/>
        <v/>
      </c>
      <c r="AG1741" s="773"/>
    </row>
    <row r="1742" spans="1:64" ht="19.5" customHeight="1" x14ac:dyDescent="0.25">
      <c r="A1742" s="758"/>
      <c r="B1742" s="737"/>
      <c r="C1742" s="730"/>
      <c r="D1742" s="739"/>
      <c r="E1742" s="765"/>
      <c r="F1742" s="765"/>
      <c r="G1742" s="765"/>
      <c r="H1742" s="765"/>
      <c r="I1742" s="746" t="str">
        <f t="shared" si="82"/>
        <v/>
      </c>
      <c r="J1742" s="731"/>
      <c r="K1742" s="731" t="str">
        <f t="shared" si="81"/>
        <v/>
      </c>
      <c r="L1742" s="726"/>
      <c r="M1742" s="726"/>
      <c r="N1742" s="726"/>
      <c r="O1742" s="726"/>
      <c r="P1742" s="726"/>
      <c r="Q1742" s="726"/>
      <c r="R1742" s="726"/>
      <c r="S1742" s="726"/>
      <c r="T1742" s="726"/>
      <c r="U1742" s="726"/>
      <c r="V1742" s="726"/>
      <c r="W1742" s="726"/>
      <c r="X1742" s="726"/>
      <c r="Y1742" s="726"/>
      <c r="Z1742" s="726"/>
      <c r="AA1742" s="732"/>
      <c r="AB1742" s="732"/>
      <c r="AC1742" s="732"/>
      <c r="AD1742" s="732"/>
      <c r="AE1742" s="733"/>
      <c r="AF1742" s="734" t="str">
        <f t="shared" si="83"/>
        <v/>
      </c>
      <c r="AG1742" s="775"/>
      <c r="AH1742" s="779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36"/>
      <c r="BA1742" s="36"/>
      <c r="BB1742" s="36"/>
      <c r="BC1742" s="36"/>
      <c r="BD1742" s="36"/>
      <c r="BE1742" s="36"/>
      <c r="BF1742" s="36"/>
      <c r="BG1742" s="36"/>
      <c r="BH1742" s="36"/>
      <c r="BI1742" s="36"/>
      <c r="BJ1742" s="36"/>
      <c r="BK1742" s="36"/>
      <c r="BL1742" s="36"/>
    </row>
    <row r="1743" spans="1:64" ht="19.5" customHeight="1" x14ac:dyDescent="0.25">
      <c r="A1743" s="758"/>
      <c r="B1743" s="737"/>
      <c r="C1743" s="730"/>
      <c r="D1743" s="739"/>
      <c r="E1743" s="765"/>
      <c r="F1743" s="765"/>
      <c r="G1743" s="765"/>
      <c r="H1743" s="765"/>
      <c r="I1743" s="746" t="str">
        <f t="shared" si="82"/>
        <v/>
      </c>
      <c r="J1743" s="731"/>
      <c r="K1743" s="731" t="str">
        <f t="shared" si="81"/>
        <v/>
      </c>
      <c r="L1743" s="726"/>
      <c r="M1743" s="726"/>
      <c r="N1743" s="726"/>
      <c r="O1743" s="726"/>
      <c r="P1743" s="726"/>
      <c r="Q1743" s="726"/>
      <c r="R1743" s="726"/>
      <c r="S1743" s="726"/>
      <c r="T1743" s="726"/>
      <c r="U1743" s="726"/>
      <c r="V1743" s="726"/>
      <c r="W1743" s="726"/>
      <c r="X1743" s="726"/>
      <c r="Y1743" s="726"/>
      <c r="Z1743" s="726"/>
      <c r="AA1743" s="732"/>
      <c r="AB1743" s="732"/>
      <c r="AC1743" s="732"/>
      <c r="AD1743" s="732"/>
      <c r="AE1743" s="733"/>
      <c r="AF1743" s="734" t="str">
        <f t="shared" si="83"/>
        <v/>
      </c>
      <c r="AG1743" s="775"/>
      <c r="AH1743" s="779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36"/>
      <c r="BA1743" s="36"/>
      <c r="BB1743" s="36"/>
      <c r="BC1743" s="36"/>
      <c r="BD1743" s="36"/>
      <c r="BE1743" s="36"/>
      <c r="BF1743" s="36"/>
      <c r="BG1743" s="36"/>
      <c r="BH1743" s="36"/>
      <c r="BI1743" s="36"/>
      <c r="BJ1743" s="36"/>
      <c r="BK1743" s="36"/>
      <c r="BL1743" s="36"/>
    </row>
    <row r="1744" spans="1:64" ht="18.75" x14ac:dyDescent="0.25">
      <c r="A1744" s="758"/>
      <c r="B1744" s="737"/>
      <c r="C1744" s="730"/>
      <c r="D1744" s="739"/>
      <c r="E1744" s="765"/>
      <c r="F1744" s="765"/>
      <c r="G1744" s="765"/>
      <c r="H1744" s="765"/>
      <c r="I1744" s="746" t="str">
        <f t="shared" si="82"/>
        <v/>
      </c>
      <c r="J1744" s="731"/>
      <c r="K1744" s="731" t="str">
        <f t="shared" si="81"/>
        <v/>
      </c>
      <c r="L1744" s="726"/>
      <c r="M1744" s="726"/>
      <c r="N1744" s="726"/>
      <c r="O1744" s="726"/>
      <c r="P1744" s="726"/>
      <c r="Q1744" s="726"/>
      <c r="R1744" s="726"/>
      <c r="S1744" s="726"/>
      <c r="T1744" s="726"/>
      <c r="U1744" s="726"/>
      <c r="V1744" s="726"/>
      <c r="W1744" s="726"/>
      <c r="X1744" s="726"/>
      <c r="Y1744" s="726"/>
      <c r="Z1744" s="726"/>
      <c r="AA1744" s="732"/>
      <c r="AB1744" s="732"/>
      <c r="AC1744" s="732"/>
      <c r="AD1744" s="732"/>
      <c r="AE1744" s="733"/>
      <c r="AF1744" s="734" t="str">
        <f t="shared" si="83"/>
        <v/>
      </c>
      <c r="AG1744" s="773"/>
    </row>
    <row r="1745" spans="1:64" ht="18.75" x14ac:dyDescent="0.25">
      <c r="A1745" s="758"/>
      <c r="B1745" s="737"/>
      <c r="C1745" s="730"/>
      <c r="D1745" s="739"/>
      <c r="E1745" s="765"/>
      <c r="F1745" s="765"/>
      <c r="G1745" s="765"/>
      <c r="H1745" s="765"/>
      <c r="I1745" s="746" t="str">
        <f t="shared" si="82"/>
        <v/>
      </c>
      <c r="J1745" s="731"/>
      <c r="K1745" s="731" t="str">
        <f t="shared" si="81"/>
        <v/>
      </c>
      <c r="L1745" s="726"/>
      <c r="M1745" s="726"/>
      <c r="N1745" s="726"/>
      <c r="O1745" s="726"/>
      <c r="P1745" s="726"/>
      <c r="Q1745" s="726"/>
      <c r="R1745" s="726"/>
      <c r="S1745" s="726"/>
      <c r="T1745" s="726"/>
      <c r="U1745" s="726"/>
      <c r="V1745" s="726"/>
      <c r="W1745" s="726"/>
      <c r="X1745" s="726"/>
      <c r="Y1745" s="726"/>
      <c r="Z1745" s="726"/>
      <c r="AA1745" s="732"/>
      <c r="AB1745" s="732"/>
      <c r="AC1745" s="732"/>
      <c r="AD1745" s="732"/>
      <c r="AE1745" s="733"/>
      <c r="AF1745" s="734" t="str">
        <f t="shared" si="83"/>
        <v/>
      </c>
      <c r="AG1745" s="773"/>
    </row>
    <row r="1746" spans="1:64" ht="18.75" x14ac:dyDescent="0.25">
      <c r="A1746" s="758"/>
      <c r="B1746" s="737"/>
      <c r="C1746" s="730"/>
      <c r="D1746" s="739"/>
      <c r="E1746" s="765"/>
      <c r="F1746" s="765"/>
      <c r="G1746" s="765"/>
      <c r="H1746" s="765"/>
      <c r="I1746" s="746" t="str">
        <f t="shared" si="82"/>
        <v/>
      </c>
      <c r="J1746" s="731"/>
      <c r="K1746" s="731" t="str">
        <f t="shared" si="81"/>
        <v/>
      </c>
      <c r="L1746" s="726"/>
      <c r="M1746" s="726"/>
      <c r="N1746" s="726"/>
      <c r="O1746" s="726"/>
      <c r="P1746" s="726"/>
      <c r="Q1746" s="726"/>
      <c r="R1746" s="726"/>
      <c r="S1746" s="726"/>
      <c r="T1746" s="726"/>
      <c r="U1746" s="726"/>
      <c r="V1746" s="726"/>
      <c r="W1746" s="726"/>
      <c r="X1746" s="726"/>
      <c r="Y1746" s="726"/>
      <c r="Z1746" s="726"/>
      <c r="AA1746" s="732"/>
      <c r="AB1746" s="732"/>
      <c r="AC1746" s="732"/>
      <c r="AD1746" s="732"/>
      <c r="AE1746" s="733"/>
      <c r="AF1746" s="734" t="str">
        <f t="shared" si="83"/>
        <v/>
      </c>
      <c r="AG1746" s="773"/>
    </row>
    <row r="1747" spans="1:64" ht="18.75" x14ac:dyDescent="0.25">
      <c r="A1747" s="758"/>
      <c r="B1747" s="737"/>
      <c r="C1747" s="730"/>
      <c r="D1747" s="739"/>
      <c r="E1747" s="765"/>
      <c r="F1747" s="765"/>
      <c r="G1747" s="765"/>
      <c r="H1747" s="765"/>
      <c r="I1747" s="746" t="str">
        <f t="shared" si="82"/>
        <v/>
      </c>
      <c r="J1747" s="731"/>
      <c r="K1747" s="731" t="str">
        <f t="shared" si="81"/>
        <v/>
      </c>
      <c r="L1747" s="726"/>
      <c r="M1747" s="726"/>
      <c r="N1747" s="726"/>
      <c r="O1747" s="726"/>
      <c r="P1747" s="726"/>
      <c r="Q1747" s="726"/>
      <c r="R1747" s="726"/>
      <c r="S1747" s="726"/>
      <c r="T1747" s="726"/>
      <c r="U1747" s="726"/>
      <c r="V1747" s="726"/>
      <c r="W1747" s="726"/>
      <c r="X1747" s="726"/>
      <c r="Y1747" s="726"/>
      <c r="Z1747" s="726"/>
      <c r="AA1747" s="732"/>
      <c r="AB1747" s="732"/>
      <c r="AC1747" s="732"/>
      <c r="AD1747" s="732"/>
      <c r="AE1747" s="733"/>
      <c r="AF1747" s="734" t="str">
        <f t="shared" si="83"/>
        <v/>
      </c>
      <c r="AG1747" s="773"/>
    </row>
    <row r="1748" spans="1:64" ht="18.75" x14ac:dyDescent="0.25">
      <c r="A1748" s="758"/>
      <c r="B1748" s="737"/>
      <c r="C1748" s="730"/>
      <c r="D1748" s="739"/>
      <c r="E1748" s="765"/>
      <c r="F1748" s="765"/>
      <c r="G1748" s="765"/>
      <c r="H1748" s="765"/>
      <c r="I1748" s="746" t="str">
        <f t="shared" si="82"/>
        <v/>
      </c>
      <c r="J1748" s="731"/>
      <c r="K1748" s="731" t="str">
        <f t="shared" si="81"/>
        <v/>
      </c>
      <c r="L1748" s="726"/>
      <c r="M1748" s="726"/>
      <c r="N1748" s="726"/>
      <c r="O1748" s="726"/>
      <c r="P1748" s="726"/>
      <c r="Q1748" s="726"/>
      <c r="R1748" s="726"/>
      <c r="S1748" s="726"/>
      <c r="T1748" s="726"/>
      <c r="U1748" s="726"/>
      <c r="V1748" s="726"/>
      <c r="W1748" s="726"/>
      <c r="X1748" s="726"/>
      <c r="Y1748" s="726"/>
      <c r="Z1748" s="726"/>
      <c r="AA1748" s="732"/>
      <c r="AB1748" s="732"/>
      <c r="AC1748" s="732"/>
      <c r="AD1748" s="732"/>
      <c r="AE1748" s="733"/>
      <c r="AF1748" s="734" t="str">
        <f t="shared" si="83"/>
        <v/>
      </c>
      <c r="AG1748" s="773"/>
    </row>
    <row r="1749" spans="1:64" ht="18.75" x14ac:dyDescent="0.25">
      <c r="A1749" s="758"/>
      <c r="B1749" s="737"/>
      <c r="C1749" s="730"/>
      <c r="D1749" s="739"/>
      <c r="E1749" s="765"/>
      <c r="F1749" s="765"/>
      <c r="G1749" s="765"/>
      <c r="H1749" s="765"/>
      <c r="I1749" s="746" t="str">
        <f t="shared" si="82"/>
        <v/>
      </c>
      <c r="J1749" s="731"/>
      <c r="K1749" s="731" t="str">
        <f t="shared" si="81"/>
        <v/>
      </c>
      <c r="L1749" s="726"/>
      <c r="M1749" s="726"/>
      <c r="N1749" s="726"/>
      <c r="O1749" s="726"/>
      <c r="P1749" s="726"/>
      <c r="Q1749" s="726"/>
      <c r="R1749" s="726"/>
      <c r="S1749" s="726"/>
      <c r="T1749" s="726"/>
      <c r="U1749" s="726"/>
      <c r="V1749" s="726"/>
      <c r="W1749" s="726"/>
      <c r="X1749" s="726"/>
      <c r="Y1749" s="726"/>
      <c r="Z1749" s="726"/>
      <c r="AA1749" s="732"/>
      <c r="AB1749" s="732"/>
      <c r="AC1749" s="732"/>
      <c r="AD1749" s="732"/>
      <c r="AE1749" s="733"/>
      <c r="AF1749" s="734" t="str">
        <f t="shared" si="83"/>
        <v/>
      </c>
      <c r="AG1749" s="773"/>
    </row>
    <row r="1750" spans="1:64" ht="18.75" x14ac:dyDescent="0.25">
      <c r="A1750" s="758"/>
      <c r="B1750" s="737"/>
      <c r="C1750" s="730"/>
      <c r="D1750" s="739"/>
      <c r="E1750" s="765"/>
      <c r="F1750" s="765"/>
      <c r="G1750" s="765"/>
      <c r="H1750" s="765"/>
      <c r="I1750" s="746" t="str">
        <f t="shared" si="82"/>
        <v/>
      </c>
      <c r="J1750" s="731"/>
      <c r="K1750" s="731" t="str">
        <f t="shared" si="81"/>
        <v/>
      </c>
      <c r="L1750" s="726"/>
      <c r="M1750" s="726"/>
      <c r="N1750" s="726"/>
      <c r="O1750" s="726"/>
      <c r="P1750" s="726"/>
      <c r="Q1750" s="726"/>
      <c r="R1750" s="726"/>
      <c r="S1750" s="726"/>
      <c r="T1750" s="726"/>
      <c r="U1750" s="726"/>
      <c r="V1750" s="726"/>
      <c r="W1750" s="726"/>
      <c r="X1750" s="726"/>
      <c r="Y1750" s="726"/>
      <c r="Z1750" s="726"/>
      <c r="AA1750" s="732"/>
      <c r="AB1750" s="732"/>
      <c r="AC1750" s="732"/>
      <c r="AD1750" s="732"/>
      <c r="AE1750" s="733"/>
      <c r="AF1750" s="734" t="str">
        <f t="shared" si="83"/>
        <v/>
      </c>
      <c r="AG1750" s="775"/>
      <c r="AH1750" s="779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36"/>
      <c r="BA1750" s="36"/>
      <c r="BB1750" s="36"/>
      <c r="BC1750" s="36"/>
      <c r="BD1750" s="36"/>
      <c r="BE1750" s="36"/>
      <c r="BF1750" s="36"/>
      <c r="BG1750" s="36"/>
      <c r="BH1750" s="36"/>
      <c r="BI1750" s="36"/>
      <c r="BJ1750" s="36"/>
      <c r="BK1750" s="36"/>
      <c r="BL1750" s="36"/>
    </row>
    <row r="1751" spans="1:64" ht="18.75" x14ac:dyDescent="0.25">
      <c r="A1751" s="758"/>
      <c r="B1751" s="737"/>
      <c r="C1751" s="730"/>
      <c r="D1751" s="739"/>
      <c r="E1751" s="765"/>
      <c r="F1751" s="765"/>
      <c r="G1751" s="765"/>
      <c r="H1751" s="765"/>
      <c r="I1751" s="746" t="str">
        <f t="shared" si="82"/>
        <v/>
      </c>
      <c r="J1751" s="731"/>
      <c r="K1751" s="731" t="str">
        <f t="shared" si="81"/>
        <v/>
      </c>
      <c r="L1751" s="726"/>
      <c r="M1751" s="726"/>
      <c r="N1751" s="726"/>
      <c r="O1751" s="726"/>
      <c r="P1751" s="726"/>
      <c r="Q1751" s="726"/>
      <c r="R1751" s="726"/>
      <c r="S1751" s="726"/>
      <c r="T1751" s="726"/>
      <c r="U1751" s="726"/>
      <c r="V1751" s="726"/>
      <c r="W1751" s="726"/>
      <c r="X1751" s="726"/>
      <c r="Y1751" s="726"/>
      <c r="Z1751" s="726"/>
      <c r="AA1751" s="732"/>
      <c r="AB1751" s="732"/>
      <c r="AC1751" s="732"/>
      <c r="AD1751" s="732"/>
      <c r="AE1751" s="733"/>
      <c r="AF1751" s="734" t="str">
        <f t="shared" si="83"/>
        <v/>
      </c>
      <c r="AG1751" s="773"/>
    </row>
    <row r="1752" spans="1:64" ht="18.75" x14ac:dyDescent="0.25">
      <c r="A1752" s="758"/>
      <c r="B1752" s="737"/>
      <c r="C1752" s="730"/>
      <c r="D1752" s="739"/>
      <c r="E1752" s="765"/>
      <c r="F1752" s="765"/>
      <c r="G1752" s="765"/>
      <c r="H1752" s="765"/>
      <c r="I1752" s="746" t="str">
        <f t="shared" si="82"/>
        <v/>
      </c>
      <c r="J1752" s="731"/>
      <c r="K1752" s="731" t="str">
        <f t="shared" si="81"/>
        <v/>
      </c>
      <c r="L1752" s="726"/>
      <c r="M1752" s="726"/>
      <c r="N1752" s="726"/>
      <c r="O1752" s="726"/>
      <c r="P1752" s="726"/>
      <c r="Q1752" s="726"/>
      <c r="R1752" s="726"/>
      <c r="S1752" s="726"/>
      <c r="T1752" s="726"/>
      <c r="U1752" s="726"/>
      <c r="V1752" s="726"/>
      <c r="W1752" s="726"/>
      <c r="X1752" s="726"/>
      <c r="Y1752" s="726"/>
      <c r="Z1752" s="726"/>
      <c r="AA1752" s="732"/>
      <c r="AB1752" s="732"/>
      <c r="AC1752" s="732"/>
      <c r="AD1752" s="732"/>
      <c r="AE1752" s="733"/>
      <c r="AF1752" s="734" t="str">
        <f t="shared" si="83"/>
        <v/>
      </c>
      <c r="AG1752" s="773"/>
    </row>
    <row r="1753" spans="1:64" ht="18.75" x14ac:dyDescent="0.25">
      <c r="A1753" s="758"/>
      <c r="B1753" s="737"/>
      <c r="C1753" s="730"/>
      <c r="D1753" s="739"/>
      <c r="E1753" s="765"/>
      <c r="F1753" s="765"/>
      <c r="G1753" s="765"/>
      <c r="H1753" s="765"/>
      <c r="I1753" s="746" t="str">
        <f t="shared" si="82"/>
        <v/>
      </c>
      <c r="J1753" s="731"/>
      <c r="K1753" s="731" t="str">
        <f t="shared" si="81"/>
        <v/>
      </c>
      <c r="L1753" s="726"/>
      <c r="M1753" s="726"/>
      <c r="N1753" s="726"/>
      <c r="O1753" s="726"/>
      <c r="P1753" s="726"/>
      <c r="Q1753" s="726"/>
      <c r="R1753" s="726"/>
      <c r="S1753" s="726"/>
      <c r="T1753" s="726"/>
      <c r="U1753" s="726"/>
      <c r="V1753" s="726"/>
      <c r="W1753" s="726"/>
      <c r="X1753" s="726"/>
      <c r="Y1753" s="726"/>
      <c r="Z1753" s="726"/>
      <c r="AA1753" s="732"/>
      <c r="AB1753" s="732"/>
      <c r="AC1753" s="732"/>
      <c r="AD1753" s="732"/>
      <c r="AE1753" s="733"/>
      <c r="AF1753" s="734" t="str">
        <f t="shared" si="83"/>
        <v/>
      </c>
      <c r="AG1753" s="773"/>
    </row>
    <row r="1754" spans="1:64" ht="18.75" x14ac:dyDescent="0.25">
      <c r="A1754" s="758"/>
      <c r="B1754" s="737"/>
      <c r="C1754" s="730"/>
      <c r="D1754" s="739"/>
      <c r="E1754" s="765"/>
      <c r="F1754" s="765"/>
      <c r="G1754" s="765"/>
      <c r="H1754" s="765"/>
      <c r="I1754" s="746" t="str">
        <f t="shared" si="82"/>
        <v/>
      </c>
      <c r="J1754" s="731"/>
      <c r="K1754" s="731" t="str">
        <f t="shared" si="81"/>
        <v/>
      </c>
      <c r="L1754" s="726"/>
      <c r="M1754" s="726"/>
      <c r="N1754" s="726"/>
      <c r="O1754" s="726"/>
      <c r="P1754" s="726"/>
      <c r="Q1754" s="726"/>
      <c r="R1754" s="726"/>
      <c r="S1754" s="726"/>
      <c r="T1754" s="726"/>
      <c r="U1754" s="726"/>
      <c r="V1754" s="726"/>
      <c r="W1754" s="726"/>
      <c r="X1754" s="726"/>
      <c r="Y1754" s="726"/>
      <c r="Z1754" s="726"/>
      <c r="AA1754" s="732"/>
      <c r="AB1754" s="732"/>
      <c r="AC1754" s="732"/>
      <c r="AD1754" s="732"/>
      <c r="AE1754" s="733"/>
      <c r="AF1754" s="734" t="str">
        <f t="shared" si="83"/>
        <v/>
      </c>
      <c r="AG1754" s="773"/>
    </row>
    <row r="1755" spans="1:64" ht="18.75" x14ac:dyDescent="0.25">
      <c r="A1755" s="758"/>
      <c r="B1755" s="737"/>
      <c r="C1755" s="730"/>
      <c r="D1755" s="739"/>
      <c r="E1755" s="765"/>
      <c r="F1755" s="765"/>
      <c r="G1755" s="765"/>
      <c r="H1755" s="765"/>
      <c r="I1755" s="746" t="str">
        <f t="shared" si="82"/>
        <v/>
      </c>
      <c r="J1755" s="731"/>
      <c r="K1755" s="731" t="str">
        <f t="shared" si="81"/>
        <v/>
      </c>
      <c r="L1755" s="726"/>
      <c r="M1755" s="726"/>
      <c r="N1755" s="726"/>
      <c r="O1755" s="726"/>
      <c r="P1755" s="726"/>
      <c r="Q1755" s="726"/>
      <c r="R1755" s="726"/>
      <c r="S1755" s="726"/>
      <c r="T1755" s="726"/>
      <c r="U1755" s="726"/>
      <c r="V1755" s="726"/>
      <c r="W1755" s="726"/>
      <c r="X1755" s="726"/>
      <c r="Y1755" s="726"/>
      <c r="Z1755" s="726"/>
      <c r="AA1755" s="732"/>
      <c r="AB1755" s="732"/>
      <c r="AC1755" s="732"/>
      <c r="AD1755" s="732"/>
      <c r="AE1755" s="733"/>
      <c r="AF1755" s="734" t="str">
        <f t="shared" si="83"/>
        <v/>
      </c>
      <c r="AG1755" s="773"/>
    </row>
    <row r="1756" spans="1:64" ht="18.75" customHeight="1" x14ac:dyDescent="0.25">
      <c r="A1756" s="758"/>
      <c r="B1756" s="737"/>
      <c r="C1756" s="730"/>
      <c r="D1756" s="739"/>
      <c r="E1756" s="765"/>
      <c r="F1756" s="765"/>
      <c r="G1756" s="765"/>
      <c r="H1756" s="765"/>
      <c r="I1756" s="746" t="str">
        <f t="shared" si="82"/>
        <v/>
      </c>
      <c r="J1756" s="731"/>
      <c r="K1756" s="731" t="str">
        <f t="shared" si="81"/>
        <v/>
      </c>
      <c r="L1756" s="726"/>
      <c r="M1756" s="726"/>
      <c r="N1756" s="726"/>
      <c r="O1756" s="726"/>
      <c r="P1756" s="726"/>
      <c r="Q1756" s="726"/>
      <c r="R1756" s="726"/>
      <c r="S1756" s="726"/>
      <c r="T1756" s="726"/>
      <c r="U1756" s="726"/>
      <c r="V1756" s="726"/>
      <c r="W1756" s="726"/>
      <c r="X1756" s="726"/>
      <c r="Y1756" s="726"/>
      <c r="Z1756" s="726"/>
      <c r="AA1756" s="732"/>
      <c r="AB1756" s="732"/>
      <c r="AC1756" s="732"/>
      <c r="AD1756" s="732"/>
      <c r="AE1756" s="733"/>
      <c r="AF1756" s="734" t="str">
        <f t="shared" si="83"/>
        <v/>
      </c>
      <c r="AG1756" s="772"/>
      <c r="AH1756" s="777"/>
      <c r="AI1756" s="735"/>
      <c r="AJ1756" s="735"/>
      <c r="AK1756" s="735"/>
      <c r="AL1756" s="735"/>
      <c r="AM1756" s="735"/>
      <c r="AN1756" s="735"/>
      <c r="AO1756" s="735"/>
      <c r="AP1756" s="735"/>
      <c r="AQ1756" s="735"/>
      <c r="AR1756" s="735"/>
      <c r="AS1756" s="735"/>
      <c r="AT1756" s="735"/>
      <c r="AU1756" s="735"/>
      <c r="AV1756" s="735"/>
      <c r="AW1756" s="735"/>
      <c r="AX1756" s="735"/>
      <c r="AY1756" s="735"/>
      <c r="AZ1756" s="735"/>
      <c r="BA1756" s="735"/>
      <c r="BB1756" s="735"/>
      <c r="BC1756" s="735"/>
      <c r="BD1756" s="735"/>
      <c r="BE1756" s="735"/>
      <c r="BF1756" s="735"/>
      <c r="BG1756" s="735"/>
      <c r="BH1756" s="735"/>
      <c r="BI1756" s="735"/>
      <c r="BJ1756" s="735"/>
      <c r="BK1756" s="735"/>
      <c r="BL1756" s="735"/>
    </row>
    <row r="1757" spans="1:64" ht="19.5" customHeight="1" x14ac:dyDescent="0.25">
      <c r="A1757" s="758"/>
      <c r="B1757" s="737"/>
      <c r="C1757" s="730"/>
      <c r="D1757" s="739"/>
      <c r="E1757" s="765"/>
      <c r="F1757" s="765"/>
      <c r="G1757" s="765"/>
      <c r="H1757" s="765"/>
      <c r="I1757" s="746" t="str">
        <f t="shared" si="82"/>
        <v/>
      </c>
      <c r="J1757" s="731"/>
      <c r="K1757" s="731" t="str">
        <f t="shared" si="81"/>
        <v/>
      </c>
      <c r="L1757" s="726"/>
      <c r="M1757" s="726"/>
      <c r="N1757" s="726"/>
      <c r="O1757" s="726"/>
      <c r="P1757" s="726"/>
      <c r="Q1757" s="726"/>
      <c r="R1757" s="726"/>
      <c r="S1757" s="726"/>
      <c r="T1757" s="726"/>
      <c r="U1757" s="726"/>
      <c r="V1757" s="726"/>
      <c r="W1757" s="726"/>
      <c r="X1757" s="726"/>
      <c r="Y1757" s="726"/>
      <c r="Z1757" s="726"/>
      <c r="AA1757" s="732"/>
      <c r="AB1757" s="732"/>
      <c r="AC1757" s="732"/>
      <c r="AD1757" s="732"/>
      <c r="AE1757" s="733"/>
      <c r="AF1757" s="734" t="str">
        <f t="shared" si="83"/>
        <v/>
      </c>
      <c r="AG1757" s="772"/>
      <c r="AH1757" s="777"/>
      <c r="AI1757" s="735"/>
      <c r="AJ1757" s="735"/>
      <c r="AK1757" s="735"/>
      <c r="AL1757" s="735"/>
      <c r="AM1757" s="735"/>
      <c r="AN1757" s="735"/>
      <c r="AO1757" s="735"/>
      <c r="AP1757" s="735"/>
      <c r="AQ1757" s="735"/>
      <c r="AR1757" s="735"/>
      <c r="AS1757" s="735"/>
      <c r="AT1757" s="735"/>
      <c r="AU1757" s="735"/>
      <c r="AV1757" s="735"/>
      <c r="AW1757" s="735"/>
      <c r="AX1757" s="735"/>
      <c r="AY1757" s="735"/>
      <c r="AZ1757" s="735"/>
      <c r="BA1757" s="735"/>
      <c r="BB1757" s="735"/>
      <c r="BC1757" s="735"/>
      <c r="BD1757" s="735"/>
      <c r="BE1757" s="735"/>
      <c r="BF1757" s="735"/>
      <c r="BG1757" s="735"/>
      <c r="BH1757" s="735"/>
      <c r="BI1757" s="735"/>
      <c r="BJ1757" s="735"/>
      <c r="BK1757" s="735"/>
      <c r="BL1757" s="735"/>
    </row>
    <row r="1758" spans="1:64" ht="19.5" customHeight="1" x14ac:dyDescent="0.25">
      <c r="A1758" s="758"/>
      <c r="B1758" s="737"/>
      <c r="C1758" s="730"/>
      <c r="D1758" s="739"/>
      <c r="E1758" s="765"/>
      <c r="F1758" s="765"/>
      <c r="G1758" s="765"/>
      <c r="H1758" s="765"/>
      <c r="I1758" s="746" t="str">
        <f t="shared" si="82"/>
        <v/>
      </c>
      <c r="J1758" s="731"/>
      <c r="K1758" s="731" t="str">
        <f t="shared" si="81"/>
        <v/>
      </c>
      <c r="L1758" s="726"/>
      <c r="M1758" s="726"/>
      <c r="N1758" s="726"/>
      <c r="O1758" s="726"/>
      <c r="P1758" s="726"/>
      <c r="Q1758" s="726"/>
      <c r="R1758" s="726"/>
      <c r="S1758" s="726"/>
      <c r="T1758" s="726"/>
      <c r="U1758" s="726"/>
      <c r="V1758" s="726"/>
      <c r="W1758" s="726"/>
      <c r="X1758" s="726"/>
      <c r="Y1758" s="726"/>
      <c r="Z1758" s="726"/>
      <c r="AA1758" s="732"/>
      <c r="AB1758" s="732"/>
      <c r="AC1758" s="732"/>
      <c r="AD1758" s="732"/>
      <c r="AE1758" s="733"/>
      <c r="AF1758" s="734" t="str">
        <f t="shared" si="83"/>
        <v/>
      </c>
      <c r="AG1758" s="772"/>
      <c r="AH1758" s="777"/>
      <c r="AI1758" s="735"/>
      <c r="AJ1758" s="735"/>
      <c r="AK1758" s="735"/>
      <c r="AL1758" s="735"/>
      <c r="AM1758" s="735"/>
      <c r="AN1758" s="735"/>
      <c r="AO1758" s="735"/>
      <c r="AP1758" s="735"/>
      <c r="AQ1758" s="735"/>
      <c r="AR1758" s="735"/>
      <c r="AS1758" s="735"/>
      <c r="AT1758" s="735"/>
      <c r="AU1758" s="735"/>
      <c r="AV1758" s="735"/>
      <c r="AW1758" s="735"/>
      <c r="AX1758" s="735"/>
      <c r="AY1758" s="735"/>
      <c r="AZ1758" s="735"/>
      <c r="BA1758" s="735"/>
      <c r="BB1758" s="735"/>
      <c r="BC1758" s="735"/>
      <c r="BD1758" s="735"/>
      <c r="BE1758" s="735"/>
      <c r="BF1758" s="735"/>
      <c r="BG1758" s="735"/>
      <c r="BH1758" s="735"/>
      <c r="BI1758" s="735"/>
      <c r="BJ1758" s="735"/>
      <c r="BK1758" s="735"/>
      <c r="BL1758" s="735"/>
    </row>
    <row r="1759" spans="1:64" ht="19.5" customHeight="1" x14ac:dyDescent="0.25">
      <c r="A1759" s="758"/>
      <c r="B1759" s="737"/>
      <c r="C1759" s="730"/>
      <c r="D1759" s="739"/>
      <c r="E1759" s="765"/>
      <c r="F1759" s="765"/>
      <c r="G1759" s="765"/>
      <c r="H1759" s="765"/>
      <c r="I1759" s="746" t="str">
        <f t="shared" si="82"/>
        <v/>
      </c>
      <c r="J1759" s="731"/>
      <c r="K1759" s="731" t="str">
        <f t="shared" si="81"/>
        <v/>
      </c>
      <c r="L1759" s="726"/>
      <c r="M1759" s="726"/>
      <c r="N1759" s="726"/>
      <c r="O1759" s="726"/>
      <c r="P1759" s="726"/>
      <c r="Q1759" s="726"/>
      <c r="R1759" s="726"/>
      <c r="S1759" s="726"/>
      <c r="T1759" s="726"/>
      <c r="U1759" s="726"/>
      <c r="V1759" s="726"/>
      <c r="W1759" s="726"/>
      <c r="X1759" s="726"/>
      <c r="Y1759" s="726"/>
      <c r="Z1759" s="726"/>
      <c r="AA1759" s="732"/>
      <c r="AB1759" s="732"/>
      <c r="AC1759" s="732"/>
      <c r="AD1759" s="732"/>
      <c r="AE1759" s="733"/>
      <c r="AF1759" s="734" t="str">
        <f t="shared" si="83"/>
        <v/>
      </c>
      <c r="AG1759" s="772"/>
      <c r="AH1759" s="777"/>
      <c r="AI1759" s="735"/>
      <c r="AJ1759" s="735"/>
      <c r="AK1759" s="735"/>
      <c r="AL1759" s="735"/>
      <c r="AM1759" s="735"/>
      <c r="AN1759" s="735"/>
      <c r="AO1759" s="735"/>
      <c r="AP1759" s="735"/>
      <c r="AQ1759" s="735"/>
      <c r="AR1759" s="735"/>
      <c r="AS1759" s="735"/>
      <c r="AT1759" s="735"/>
      <c r="AU1759" s="735"/>
      <c r="AV1759" s="735"/>
      <c r="AW1759" s="735"/>
      <c r="AX1759" s="735"/>
      <c r="AY1759" s="735"/>
      <c r="AZ1759" s="735"/>
      <c r="BA1759" s="735"/>
      <c r="BB1759" s="735"/>
      <c r="BC1759" s="735"/>
      <c r="BD1759" s="735"/>
      <c r="BE1759" s="735"/>
      <c r="BF1759" s="735"/>
      <c r="BG1759" s="735"/>
      <c r="BH1759" s="735"/>
      <c r="BI1759" s="735"/>
      <c r="BJ1759" s="735"/>
      <c r="BK1759" s="735"/>
      <c r="BL1759" s="735"/>
    </row>
    <row r="1760" spans="1:64" ht="18.75" x14ac:dyDescent="0.25">
      <c r="A1760" s="758"/>
      <c r="B1760" s="737"/>
      <c r="C1760" s="730"/>
      <c r="D1760" s="739"/>
      <c r="E1760" s="765"/>
      <c r="F1760" s="765"/>
      <c r="G1760" s="765"/>
      <c r="H1760" s="765"/>
      <c r="I1760" s="746" t="str">
        <f t="shared" si="82"/>
        <v/>
      </c>
      <c r="J1760" s="731"/>
      <c r="K1760" s="731" t="str">
        <f t="shared" si="81"/>
        <v/>
      </c>
      <c r="L1760" s="726"/>
      <c r="M1760" s="726"/>
      <c r="N1760" s="726"/>
      <c r="O1760" s="726"/>
      <c r="P1760" s="726"/>
      <c r="Q1760" s="726"/>
      <c r="R1760" s="726"/>
      <c r="S1760" s="726"/>
      <c r="T1760" s="726"/>
      <c r="U1760" s="726"/>
      <c r="V1760" s="726"/>
      <c r="W1760" s="726"/>
      <c r="X1760" s="726"/>
      <c r="Y1760" s="726"/>
      <c r="Z1760" s="726"/>
      <c r="AA1760" s="732"/>
      <c r="AB1760" s="732"/>
      <c r="AC1760" s="732"/>
      <c r="AD1760" s="732"/>
      <c r="AE1760" s="733"/>
      <c r="AF1760" s="734" t="str">
        <f t="shared" si="83"/>
        <v/>
      </c>
      <c r="AG1760" s="773"/>
    </row>
    <row r="1761" spans="1:33" ht="18.75" x14ac:dyDescent="0.25">
      <c r="A1761" s="758"/>
      <c r="B1761" s="737"/>
      <c r="C1761" s="730"/>
      <c r="D1761" s="739"/>
      <c r="E1761" s="765"/>
      <c r="F1761" s="765"/>
      <c r="G1761" s="765"/>
      <c r="H1761" s="765"/>
      <c r="I1761" s="746" t="str">
        <f t="shared" si="82"/>
        <v/>
      </c>
      <c r="J1761" s="731"/>
      <c r="K1761" s="731" t="str">
        <f t="shared" si="81"/>
        <v/>
      </c>
      <c r="L1761" s="726"/>
      <c r="M1761" s="726"/>
      <c r="N1761" s="726"/>
      <c r="O1761" s="726"/>
      <c r="P1761" s="726"/>
      <c r="Q1761" s="726"/>
      <c r="R1761" s="726"/>
      <c r="S1761" s="726"/>
      <c r="T1761" s="726"/>
      <c r="U1761" s="726"/>
      <c r="V1761" s="726"/>
      <c r="W1761" s="726"/>
      <c r="X1761" s="726"/>
      <c r="Y1761" s="726"/>
      <c r="Z1761" s="726"/>
      <c r="AA1761" s="732"/>
      <c r="AB1761" s="732"/>
      <c r="AC1761" s="732"/>
      <c r="AD1761" s="732"/>
      <c r="AE1761" s="733"/>
      <c r="AF1761" s="734" t="str">
        <f t="shared" si="83"/>
        <v/>
      </c>
      <c r="AG1761" s="773"/>
    </row>
    <row r="1762" spans="1:33" ht="18.75" x14ac:dyDescent="0.25">
      <c r="A1762" s="758"/>
      <c r="B1762" s="737"/>
      <c r="C1762" s="730"/>
      <c r="D1762" s="739"/>
      <c r="E1762" s="765"/>
      <c r="F1762" s="765"/>
      <c r="G1762" s="765"/>
      <c r="H1762" s="765"/>
      <c r="I1762" s="746" t="str">
        <f t="shared" si="82"/>
        <v/>
      </c>
      <c r="J1762" s="731"/>
      <c r="K1762" s="731" t="str">
        <f t="shared" si="81"/>
        <v/>
      </c>
      <c r="L1762" s="726"/>
      <c r="M1762" s="726"/>
      <c r="N1762" s="726"/>
      <c r="O1762" s="726"/>
      <c r="P1762" s="726"/>
      <c r="Q1762" s="726"/>
      <c r="R1762" s="726"/>
      <c r="S1762" s="726"/>
      <c r="T1762" s="726"/>
      <c r="U1762" s="726"/>
      <c r="V1762" s="726"/>
      <c r="W1762" s="726"/>
      <c r="X1762" s="726"/>
      <c r="Y1762" s="726"/>
      <c r="Z1762" s="726"/>
      <c r="AA1762" s="732"/>
      <c r="AB1762" s="732"/>
      <c r="AC1762" s="732"/>
      <c r="AD1762" s="732"/>
      <c r="AE1762" s="733"/>
      <c r="AF1762" s="734" t="str">
        <f t="shared" si="83"/>
        <v/>
      </c>
      <c r="AG1762" s="773"/>
    </row>
    <row r="1763" spans="1:33" ht="18.75" x14ac:dyDescent="0.25">
      <c r="A1763" s="758"/>
      <c r="B1763" s="737"/>
      <c r="C1763" s="730"/>
      <c r="D1763" s="739"/>
      <c r="E1763" s="765"/>
      <c r="F1763" s="765"/>
      <c r="G1763" s="765"/>
      <c r="H1763" s="765"/>
      <c r="I1763" s="746" t="str">
        <f t="shared" si="82"/>
        <v/>
      </c>
      <c r="J1763" s="731"/>
      <c r="K1763" s="731" t="str">
        <f t="shared" si="81"/>
        <v/>
      </c>
      <c r="L1763" s="726"/>
      <c r="M1763" s="726"/>
      <c r="N1763" s="726"/>
      <c r="O1763" s="726"/>
      <c r="P1763" s="726"/>
      <c r="Q1763" s="726"/>
      <c r="R1763" s="726"/>
      <c r="S1763" s="726"/>
      <c r="T1763" s="726"/>
      <c r="U1763" s="726"/>
      <c r="V1763" s="726"/>
      <c r="W1763" s="726"/>
      <c r="X1763" s="726"/>
      <c r="Y1763" s="726"/>
      <c r="Z1763" s="726"/>
      <c r="AA1763" s="732"/>
      <c r="AB1763" s="732"/>
      <c r="AC1763" s="732"/>
      <c r="AD1763" s="732"/>
      <c r="AE1763" s="733"/>
      <c r="AF1763" s="734" t="str">
        <f t="shared" si="83"/>
        <v/>
      </c>
      <c r="AG1763" s="773"/>
    </row>
    <row r="1764" spans="1:33" ht="18.75" x14ac:dyDescent="0.25">
      <c r="A1764" s="758"/>
      <c r="B1764" s="737"/>
      <c r="C1764" s="730"/>
      <c r="D1764" s="739"/>
      <c r="E1764" s="765"/>
      <c r="F1764" s="765"/>
      <c r="G1764" s="765"/>
      <c r="H1764" s="765"/>
      <c r="I1764" s="746" t="str">
        <f t="shared" si="82"/>
        <v/>
      </c>
      <c r="J1764" s="731"/>
      <c r="K1764" s="731" t="str">
        <f t="shared" si="81"/>
        <v/>
      </c>
      <c r="L1764" s="726"/>
      <c r="M1764" s="726"/>
      <c r="N1764" s="726"/>
      <c r="O1764" s="726"/>
      <c r="P1764" s="726"/>
      <c r="Q1764" s="726"/>
      <c r="R1764" s="726"/>
      <c r="S1764" s="726"/>
      <c r="T1764" s="726"/>
      <c r="U1764" s="726"/>
      <c r="V1764" s="726"/>
      <c r="W1764" s="726"/>
      <c r="X1764" s="726"/>
      <c r="Y1764" s="726"/>
      <c r="Z1764" s="726"/>
      <c r="AA1764" s="732"/>
      <c r="AB1764" s="732"/>
      <c r="AC1764" s="732"/>
      <c r="AD1764" s="732"/>
      <c r="AE1764" s="733"/>
      <c r="AF1764" s="734" t="str">
        <f t="shared" si="83"/>
        <v/>
      </c>
      <c r="AG1764" s="773"/>
    </row>
    <row r="1765" spans="1:33" ht="18.75" x14ac:dyDescent="0.25">
      <c r="A1765" s="758"/>
      <c r="B1765" s="737"/>
      <c r="C1765" s="730"/>
      <c r="D1765" s="739"/>
      <c r="E1765" s="765"/>
      <c r="F1765" s="765"/>
      <c r="G1765" s="765"/>
      <c r="H1765" s="765"/>
      <c r="I1765" s="746" t="str">
        <f t="shared" si="82"/>
        <v/>
      </c>
      <c r="J1765" s="731"/>
      <c r="K1765" s="731" t="str">
        <f t="shared" si="81"/>
        <v/>
      </c>
      <c r="L1765" s="726"/>
      <c r="M1765" s="726"/>
      <c r="N1765" s="726"/>
      <c r="O1765" s="726"/>
      <c r="P1765" s="726"/>
      <c r="Q1765" s="726"/>
      <c r="R1765" s="726"/>
      <c r="S1765" s="726"/>
      <c r="T1765" s="726"/>
      <c r="U1765" s="726"/>
      <c r="V1765" s="726"/>
      <c r="W1765" s="726"/>
      <c r="X1765" s="726"/>
      <c r="Y1765" s="726"/>
      <c r="Z1765" s="726"/>
      <c r="AA1765" s="732"/>
      <c r="AB1765" s="732"/>
      <c r="AC1765" s="732"/>
      <c r="AD1765" s="732"/>
      <c r="AE1765" s="733"/>
      <c r="AF1765" s="734" t="str">
        <f t="shared" si="83"/>
        <v/>
      </c>
      <c r="AG1765" s="773"/>
    </row>
    <row r="1766" spans="1:33" ht="18.75" x14ac:dyDescent="0.25">
      <c r="A1766" s="758"/>
      <c r="B1766" s="737"/>
      <c r="C1766" s="730"/>
      <c r="D1766" s="739"/>
      <c r="E1766" s="765"/>
      <c r="F1766" s="765"/>
      <c r="G1766" s="765"/>
      <c r="H1766" s="765"/>
      <c r="I1766" s="746" t="str">
        <f t="shared" si="82"/>
        <v/>
      </c>
      <c r="J1766" s="731"/>
      <c r="K1766" s="731" t="str">
        <f t="shared" si="81"/>
        <v/>
      </c>
      <c r="L1766" s="726"/>
      <c r="M1766" s="726"/>
      <c r="N1766" s="726"/>
      <c r="O1766" s="726"/>
      <c r="P1766" s="726"/>
      <c r="Q1766" s="726"/>
      <c r="R1766" s="726"/>
      <c r="S1766" s="726"/>
      <c r="T1766" s="726"/>
      <c r="U1766" s="726"/>
      <c r="V1766" s="726"/>
      <c r="W1766" s="726"/>
      <c r="X1766" s="726"/>
      <c r="Y1766" s="726"/>
      <c r="Z1766" s="726"/>
      <c r="AA1766" s="732"/>
      <c r="AB1766" s="732"/>
      <c r="AC1766" s="732"/>
      <c r="AD1766" s="732"/>
      <c r="AE1766" s="733"/>
      <c r="AF1766" s="734" t="str">
        <f t="shared" si="83"/>
        <v/>
      </c>
      <c r="AG1766" s="773"/>
    </row>
    <row r="1767" spans="1:33" ht="18.75" x14ac:dyDescent="0.25">
      <c r="A1767" s="758"/>
      <c r="B1767" s="737"/>
      <c r="C1767" s="730"/>
      <c r="D1767" s="739"/>
      <c r="E1767" s="765"/>
      <c r="F1767" s="765"/>
      <c r="G1767" s="765"/>
      <c r="H1767" s="765"/>
      <c r="I1767" s="746" t="str">
        <f t="shared" si="82"/>
        <v/>
      </c>
      <c r="J1767" s="731"/>
      <c r="K1767" s="731" t="str">
        <f t="shared" si="81"/>
        <v/>
      </c>
      <c r="L1767" s="726"/>
      <c r="M1767" s="726"/>
      <c r="N1767" s="726"/>
      <c r="O1767" s="726"/>
      <c r="P1767" s="726"/>
      <c r="Q1767" s="726"/>
      <c r="R1767" s="726"/>
      <c r="S1767" s="726"/>
      <c r="T1767" s="726"/>
      <c r="U1767" s="726"/>
      <c r="V1767" s="726"/>
      <c r="W1767" s="726"/>
      <c r="X1767" s="726"/>
      <c r="Y1767" s="726"/>
      <c r="Z1767" s="726"/>
      <c r="AA1767" s="732"/>
      <c r="AB1767" s="732"/>
      <c r="AC1767" s="732"/>
      <c r="AD1767" s="732"/>
      <c r="AE1767" s="733"/>
      <c r="AF1767" s="734" t="str">
        <f t="shared" si="83"/>
        <v/>
      </c>
      <c r="AG1767" s="773"/>
    </row>
    <row r="1768" spans="1:33" ht="18.75" x14ac:dyDescent="0.25">
      <c r="A1768" s="758"/>
      <c r="B1768" s="737"/>
      <c r="C1768" s="730"/>
      <c r="D1768" s="739"/>
      <c r="E1768" s="765"/>
      <c r="F1768" s="765"/>
      <c r="G1768" s="765"/>
      <c r="H1768" s="765"/>
      <c r="I1768" s="746" t="str">
        <f t="shared" si="82"/>
        <v/>
      </c>
      <c r="J1768" s="731"/>
      <c r="K1768" s="731" t="str">
        <f t="shared" si="81"/>
        <v/>
      </c>
      <c r="L1768" s="726"/>
      <c r="M1768" s="726"/>
      <c r="N1768" s="726"/>
      <c r="O1768" s="726"/>
      <c r="P1768" s="726"/>
      <c r="Q1768" s="726"/>
      <c r="R1768" s="726"/>
      <c r="S1768" s="726"/>
      <c r="T1768" s="726"/>
      <c r="U1768" s="726"/>
      <c r="V1768" s="726"/>
      <c r="W1768" s="726"/>
      <c r="X1768" s="726"/>
      <c r="Y1768" s="726"/>
      <c r="Z1768" s="726"/>
      <c r="AA1768" s="732"/>
      <c r="AB1768" s="732"/>
      <c r="AC1768" s="732"/>
      <c r="AD1768" s="732"/>
      <c r="AE1768" s="733"/>
      <c r="AF1768" s="734" t="str">
        <f t="shared" si="83"/>
        <v/>
      </c>
      <c r="AG1768" s="773"/>
    </row>
    <row r="1769" spans="1:33" ht="18.75" x14ac:dyDescent="0.25">
      <c r="A1769" s="758"/>
      <c r="B1769" s="737"/>
      <c r="C1769" s="730"/>
      <c r="D1769" s="739"/>
      <c r="E1769" s="765"/>
      <c r="F1769" s="765"/>
      <c r="G1769" s="765"/>
      <c r="H1769" s="765"/>
      <c r="I1769" s="746" t="str">
        <f t="shared" si="82"/>
        <v/>
      </c>
      <c r="J1769" s="731"/>
      <c r="K1769" s="731" t="str">
        <f t="shared" si="81"/>
        <v/>
      </c>
      <c r="L1769" s="726"/>
      <c r="M1769" s="726"/>
      <c r="N1769" s="726"/>
      <c r="O1769" s="726"/>
      <c r="P1769" s="726"/>
      <c r="Q1769" s="726"/>
      <c r="R1769" s="726"/>
      <c r="S1769" s="726"/>
      <c r="T1769" s="726"/>
      <c r="U1769" s="726"/>
      <c r="V1769" s="726"/>
      <c r="W1769" s="726"/>
      <c r="X1769" s="726"/>
      <c r="Y1769" s="726"/>
      <c r="Z1769" s="726"/>
      <c r="AA1769" s="732"/>
      <c r="AB1769" s="732"/>
      <c r="AC1769" s="732"/>
      <c r="AD1769" s="732"/>
      <c r="AE1769" s="733"/>
      <c r="AF1769" s="734" t="str">
        <f t="shared" si="83"/>
        <v/>
      </c>
      <c r="AG1769" s="773"/>
    </row>
    <row r="1770" spans="1:33" ht="18.75" x14ac:dyDescent="0.25">
      <c r="A1770" s="758"/>
      <c r="B1770" s="737"/>
      <c r="C1770" s="730"/>
      <c r="D1770" s="739"/>
      <c r="E1770" s="765"/>
      <c r="F1770" s="765"/>
      <c r="G1770" s="765"/>
      <c r="H1770" s="765"/>
      <c r="I1770" s="746" t="str">
        <f t="shared" si="82"/>
        <v/>
      </c>
      <c r="J1770" s="731"/>
      <c r="K1770" s="731" t="str">
        <f t="shared" si="81"/>
        <v/>
      </c>
      <c r="L1770" s="726"/>
      <c r="M1770" s="726"/>
      <c r="N1770" s="726"/>
      <c r="O1770" s="726"/>
      <c r="P1770" s="726"/>
      <c r="Q1770" s="726"/>
      <c r="R1770" s="726"/>
      <c r="S1770" s="726"/>
      <c r="T1770" s="726"/>
      <c r="U1770" s="726"/>
      <c r="V1770" s="726"/>
      <c r="W1770" s="726"/>
      <c r="X1770" s="726"/>
      <c r="Y1770" s="726"/>
      <c r="Z1770" s="726"/>
      <c r="AA1770" s="732"/>
      <c r="AB1770" s="732"/>
      <c r="AC1770" s="732"/>
      <c r="AD1770" s="732"/>
      <c r="AE1770" s="733"/>
      <c r="AF1770" s="734" t="str">
        <f t="shared" si="83"/>
        <v/>
      </c>
      <c r="AG1770" s="773"/>
    </row>
    <row r="1771" spans="1:33" ht="18.75" x14ac:dyDescent="0.25">
      <c r="A1771" s="758"/>
      <c r="B1771" s="737"/>
      <c r="C1771" s="730"/>
      <c r="D1771" s="739"/>
      <c r="E1771" s="765"/>
      <c r="F1771" s="765"/>
      <c r="G1771" s="765"/>
      <c r="H1771" s="765"/>
      <c r="I1771" s="746" t="str">
        <f t="shared" si="82"/>
        <v/>
      </c>
      <c r="J1771" s="731"/>
      <c r="K1771" s="731" t="str">
        <f t="shared" si="81"/>
        <v/>
      </c>
      <c r="L1771" s="726"/>
      <c r="M1771" s="726"/>
      <c r="N1771" s="726"/>
      <c r="O1771" s="726"/>
      <c r="P1771" s="726"/>
      <c r="Q1771" s="726"/>
      <c r="R1771" s="726"/>
      <c r="S1771" s="726"/>
      <c r="T1771" s="726"/>
      <c r="U1771" s="726"/>
      <c r="V1771" s="726"/>
      <c r="W1771" s="726"/>
      <c r="X1771" s="726"/>
      <c r="Y1771" s="726"/>
      <c r="Z1771" s="726"/>
      <c r="AA1771" s="732"/>
      <c r="AB1771" s="732"/>
      <c r="AC1771" s="732"/>
      <c r="AD1771" s="732"/>
      <c r="AE1771" s="733"/>
      <c r="AF1771" s="734" t="str">
        <f t="shared" si="83"/>
        <v/>
      </c>
      <c r="AG1771" s="773"/>
    </row>
    <row r="1772" spans="1:33" ht="18.75" x14ac:dyDescent="0.25">
      <c r="A1772" s="758"/>
      <c r="B1772" s="737"/>
      <c r="C1772" s="730"/>
      <c r="D1772" s="739"/>
      <c r="E1772" s="765"/>
      <c r="F1772" s="765"/>
      <c r="G1772" s="765"/>
      <c r="H1772" s="765"/>
      <c r="I1772" s="746" t="str">
        <f t="shared" si="82"/>
        <v/>
      </c>
      <c r="J1772" s="731"/>
      <c r="K1772" s="731" t="str">
        <f t="shared" si="81"/>
        <v/>
      </c>
      <c r="L1772" s="726"/>
      <c r="M1772" s="726"/>
      <c r="N1772" s="726"/>
      <c r="O1772" s="726"/>
      <c r="P1772" s="726"/>
      <c r="Q1772" s="726"/>
      <c r="R1772" s="726"/>
      <c r="S1772" s="726"/>
      <c r="T1772" s="726"/>
      <c r="U1772" s="726"/>
      <c r="V1772" s="726"/>
      <c r="W1772" s="726"/>
      <c r="X1772" s="726"/>
      <c r="Y1772" s="726"/>
      <c r="Z1772" s="726"/>
      <c r="AA1772" s="732"/>
      <c r="AB1772" s="732"/>
      <c r="AC1772" s="732"/>
      <c r="AD1772" s="732"/>
      <c r="AE1772" s="733"/>
      <c r="AF1772" s="734" t="str">
        <f t="shared" si="83"/>
        <v/>
      </c>
      <c r="AG1772" s="773"/>
    </row>
    <row r="1773" spans="1:33" ht="18.75" x14ac:dyDescent="0.25">
      <c r="A1773" s="758"/>
      <c r="B1773" s="737"/>
      <c r="C1773" s="730"/>
      <c r="D1773" s="739"/>
      <c r="E1773" s="765"/>
      <c r="F1773" s="765"/>
      <c r="G1773" s="765"/>
      <c r="H1773" s="765"/>
      <c r="I1773" s="746" t="str">
        <f t="shared" si="82"/>
        <v/>
      </c>
      <c r="J1773" s="731"/>
      <c r="K1773" s="731" t="str">
        <f t="shared" si="81"/>
        <v/>
      </c>
      <c r="L1773" s="726"/>
      <c r="M1773" s="726"/>
      <c r="N1773" s="726"/>
      <c r="O1773" s="726"/>
      <c r="P1773" s="726"/>
      <c r="Q1773" s="726"/>
      <c r="R1773" s="726"/>
      <c r="S1773" s="726"/>
      <c r="T1773" s="726"/>
      <c r="U1773" s="726"/>
      <c r="V1773" s="726"/>
      <c r="W1773" s="726"/>
      <c r="X1773" s="726"/>
      <c r="Y1773" s="726"/>
      <c r="Z1773" s="726"/>
      <c r="AA1773" s="732"/>
      <c r="AB1773" s="732"/>
      <c r="AC1773" s="732"/>
      <c r="AD1773" s="732"/>
      <c r="AE1773" s="733"/>
      <c r="AF1773" s="734" t="str">
        <f t="shared" si="83"/>
        <v/>
      </c>
      <c r="AG1773" s="773"/>
    </row>
    <row r="1774" spans="1:33" ht="18.75" x14ac:dyDescent="0.25">
      <c r="A1774" s="758"/>
      <c r="B1774" s="737"/>
      <c r="C1774" s="730"/>
      <c r="D1774" s="739"/>
      <c r="E1774" s="765"/>
      <c r="F1774" s="765"/>
      <c r="G1774" s="765"/>
      <c r="H1774" s="765"/>
      <c r="I1774" s="746" t="str">
        <f t="shared" si="82"/>
        <v/>
      </c>
      <c r="J1774" s="731"/>
      <c r="K1774" s="731" t="str">
        <f t="shared" si="81"/>
        <v/>
      </c>
      <c r="L1774" s="726"/>
      <c r="M1774" s="726"/>
      <c r="N1774" s="726"/>
      <c r="O1774" s="726"/>
      <c r="P1774" s="726"/>
      <c r="Q1774" s="726"/>
      <c r="R1774" s="726"/>
      <c r="S1774" s="726"/>
      <c r="T1774" s="726"/>
      <c r="U1774" s="726"/>
      <c r="V1774" s="726"/>
      <c r="W1774" s="726"/>
      <c r="X1774" s="726"/>
      <c r="Y1774" s="726"/>
      <c r="Z1774" s="726"/>
      <c r="AA1774" s="732"/>
      <c r="AB1774" s="732"/>
      <c r="AC1774" s="732"/>
      <c r="AD1774" s="732"/>
      <c r="AE1774" s="733"/>
      <c r="AF1774" s="734" t="str">
        <f t="shared" si="83"/>
        <v/>
      </c>
      <c r="AG1774" s="773"/>
    </row>
    <row r="1775" spans="1:33" ht="18.75" x14ac:dyDescent="0.25">
      <c r="A1775" s="758"/>
      <c r="B1775" s="737"/>
      <c r="C1775" s="730"/>
      <c r="D1775" s="739"/>
      <c r="E1775" s="765"/>
      <c r="F1775" s="765"/>
      <c r="G1775" s="765"/>
      <c r="H1775" s="765"/>
      <c r="I1775" s="746" t="str">
        <f t="shared" si="82"/>
        <v/>
      </c>
      <c r="J1775" s="731"/>
      <c r="K1775" s="731" t="str">
        <f t="shared" si="81"/>
        <v/>
      </c>
      <c r="L1775" s="726"/>
      <c r="M1775" s="726"/>
      <c r="N1775" s="726"/>
      <c r="O1775" s="726"/>
      <c r="P1775" s="726"/>
      <c r="Q1775" s="726"/>
      <c r="R1775" s="726"/>
      <c r="S1775" s="726"/>
      <c r="T1775" s="726"/>
      <c r="U1775" s="726"/>
      <c r="V1775" s="726"/>
      <c r="W1775" s="726"/>
      <c r="X1775" s="726"/>
      <c r="Y1775" s="726"/>
      <c r="Z1775" s="726"/>
      <c r="AA1775" s="732"/>
      <c r="AB1775" s="732"/>
      <c r="AC1775" s="732"/>
      <c r="AD1775" s="732"/>
      <c r="AE1775" s="733"/>
      <c r="AF1775" s="734" t="str">
        <f t="shared" si="83"/>
        <v/>
      </c>
      <c r="AG1775" s="773"/>
    </row>
    <row r="1776" spans="1:33" ht="18.75" x14ac:dyDescent="0.25">
      <c r="A1776" s="758"/>
      <c r="B1776" s="737"/>
      <c r="C1776" s="730"/>
      <c r="D1776" s="739"/>
      <c r="E1776" s="765"/>
      <c r="F1776" s="765"/>
      <c r="G1776" s="765"/>
      <c r="H1776" s="765"/>
      <c r="I1776" s="746" t="str">
        <f t="shared" si="82"/>
        <v/>
      </c>
      <c r="J1776" s="731"/>
      <c r="K1776" s="731" t="str">
        <f t="shared" si="81"/>
        <v/>
      </c>
      <c r="L1776" s="726"/>
      <c r="M1776" s="726"/>
      <c r="N1776" s="726"/>
      <c r="O1776" s="726"/>
      <c r="P1776" s="726"/>
      <c r="Q1776" s="726"/>
      <c r="R1776" s="726"/>
      <c r="S1776" s="726"/>
      <c r="T1776" s="726"/>
      <c r="U1776" s="726"/>
      <c r="V1776" s="726"/>
      <c r="W1776" s="726"/>
      <c r="X1776" s="726"/>
      <c r="Y1776" s="726"/>
      <c r="Z1776" s="726"/>
      <c r="AA1776" s="732"/>
      <c r="AB1776" s="732"/>
      <c r="AC1776" s="732"/>
      <c r="AD1776" s="732"/>
      <c r="AE1776" s="733"/>
      <c r="AF1776" s="734" t="str">
        <f t="shared" si="83"/>
        <v/>
      </c>
      <c r="AG1776" s="773"/>
    </row>
    <row r="1777" spans="1:64" ht="18.75" x14ac:dyDescent="0.25">
      <c r="A1777" s="758"/>
      <c r="B1777" s="737"/>
      <c r="C1777" s="730"/>
      <c r="D1777" s="739"/>
      <c r="E1777" s="765"/>
      <c r="F1777" s="765"/>
      <c r="G1777" s="765"/>
      <c r="H1777" s="765"/>
      <c r="I1777" s="746" t="str">
        <f t="shared" si="82"/>
        <v/>
      </c>
      <c r="J1777" s="731"/>
      <c r="K1777" s="731" t="str">
        <f t="shared" si="81"/>
        <v/>
      </c>
      <c r="L1777" s="726"/>
      <c r="M1777" s="726"/>
      <c r="N1777" s="726"/>
      <c r="O1777" s="726"/>
      <c r="P1777" s="726"/>
      <c r="Q1777" s="726"/>
      <c r="R1777" s="726"/>
      <c r="S1777" s="726"/>
      <c r="T1777" s="726"/>
      <c r="U1777" s="726"/>
      <c r="V1777" s="726"/>
      <c r="W1777" s="726"/>
      <c r="X1777" s="726"/>
      <c r="Y1777" s="726"/>
      <c r="Z1777" s="726"/>
      <c r="AA1777" s="732"/>
      <c r="AB1777" s="732"/>
      <c r="AC1777" s="732"/>
      <c r="AD1777" s="732"/>
      <c r="AE1777" s="733"/>
      <c r="AF1777" s="734" t="str">
        <f t="shared" si="83"/>
        <v/>
      </c>
      <c r="AG1777" s="774"/>
      <c r="AH1777" s="778"/>
      <c r="AI1777" s="736"/>
      <c r="AJ1777" s="736"/>
      <c r="AK1777" s="736"/>
      <c r="AL1777" s="736"/>
      <c r="AM1777" s="736"/>
      <c r="AN1777" s="736"/>
      <c r="AO1777" s="736"/>
      <c r="AP1777" s="736"/>
      <c r="AQ1777" s="736"/>
      <c r="AR1777" s="736"/>
      <c r="AS1777" s="736"/>
      <c r="AT1777" s="736"/>
      <c r="AU1777" s="736"/>
      <c r="AV1777" s="736"/>
      <c r="AW1777" s="736"/>
      <c r="AX1777" s="736"/>
      <c r="AY1777" s="736"/>
      <c r="AZ1777" s="736"/>
      <c r="BA1777" s="736"/>
      <c r="BB1777" s="736"/>
      <c r="BC1777" s="736"/>
      <c r="BD1777" s="736"/>
      <c r="BE1777" s="736"/>
      <c r="BF1777" s="736"/>
      <c r="BG1777" s="736"/>
      <c r="BH1777" s="736"/>
      <c r="BI1777" s="736"/>
      <c r="BJ1777" s="736"/>
      <c r="BK1777" s="736"/>
      <c r="BL1777" s="736"/>
    </row>
    <row r="1778" spans="1:64" ht="18.75" x14ac:dyDescent="0.25">
      <c r="A1778" s="758"/>
      <c r="B1778" s="737"/>
      <c r="C1778" s="730"/>
      <c r="D1778" s="739"/>
      <c r="E1778" s="765"/>
      <c r="F1778" s="765"/>
      <c r="G1778" s="765"/>
      <c r="H1778" s="765"/>
      <c r="I1778" s="746" t="str">
        <f t="shared" si="82"/>
        <v/>
      </c>
      <c r="J1778" s="731"/>
      <c r="K1778" s="731" t="str">
        <f t="shared" si="81"/>
        <v/>
      </c>
      <c r="L1778" s="726"/>
      <c r="M1778" s="726"/>
      <c r="N1778" s="726"/>
      <c r="O1778" s="726"/>
      <c r="P1778" s="726"/>
      <c r="Q1778" s="726"/>
      <c r="R1778" s="726"/>
      <c r="S1778" s="726"/>
      <c r="T1778" s="726"/>
      <c r="U1778" s="726"/>
      <c r="V1778" s="726"/>
      <c r="W1778" s="726"/>
      <c r="X1778" s="726"/>
      <c r="Y1778" s="726"/>
      <c r="Z1778" s="726"/>
      <c r="AA1778" s="732"/>
      <c r="AB1778" s="732"/>
      <c r="AC1778" s="732"/>
      <c r="AD1778" s="732"/>
      <c r="AE1778" s="733"/>
      <c r="AF1778" s="734" t="str">
        <f t="shared" si="83"/>
        <v/>
      </c>
      <c r="AG1778" s="774"/>
      <c r="AH1778" s="778"/>
      <c r="AI1778" s="736"/>
      <c r="AJ1778" s="736"/>
      <c r="AK1778" s="736"/>
      <c r="AL1778" s="736"/>
      <c r="AM1778" s="736"/>
      <c r="AN1778" s="736"/>
      <c r="AO1778" s="736"/>
      <c r="AP1778" s="736"/>
      <c r="AQ1778" s="736"/>
      <c r="AR1778" s="736"/>
      <c r="AS1778" s="736"/>
      <c r="AT1778" s="736"/>
      <c r="AU1778" s="736"/>
      <c r="AV1778" s="736"/>
      <c r="AW1778" s="736"/>
      <c r="AX1778" s="736"/>
      <c r="AY1778" s="736"/>
      <c r="AZ1778" s="736"/>
      <c r="BA1778" s="736"/>
      <c r="BB1778" s="736"/>
      <c r="BC1778" s="736"/>
      <c r="BD1778" s="736"/>
      <c r="BE1778" s="736"/>
      <c r="BF1778" s="736"/>
      <c r="BG1778" s="736"/>
      <c r="BH1778" s="736"/>
      <c r="BI1778" s="736"/>
      <c r="BJ1778" s="736"/>
      <c r="BK1778" s="736"/>
      <c r="BL1778" s="736"/>
    </row>
    <row r="1779" spans="1:64" ht="18.75" x14ac:dyDescent="0.25">
      <c r="A1779" s="758"/>
      <c r="B1779" s="737"/>
      <c r="C1779" s="730"/>
      <c r="D1779" s="739"/>
      <c r="E1779" s="765"/>
      <c r="F1779" s="765"/>
      <c r="G1779" s="765"/>
      <c r="H1779" s="765"/>
      <c r="I1779" s="746" t="str">
        <f t="shared" si="82"/>
        <v/>
      </c>
      <c r="J1779" s="731"/>
      <c r="K1779" s="731" t="str">
        <f t="shared" si="81"/>
        <v/>
      </c>
      <c r="L1779" s="726"/>
      <c r="M1779" s="726"/>
      <c r="N1779" s="726"/>
      <c r="O1779" s="726"/>
      <c r="P1779" s="726"/>
      <c r="Q1779" s="726"/>
      <c r="R1779" s="726"/>
      <c r="S1779" s="726"/>
      <c r="T1779" s="726"/>
      <c r="U1779" s="726"/>
      <c r="V1779" s="726"/>
      <c r="W1779" s="726"/>
      <c r="X1779" s="726"/>
      <c r="Y1779" s="726"/>
      <c r="Z1779" s="726"/>
      <c r="AA1779" s="732"/>
      <c r="AB1779" s="732"/>
      <c r="AC1779" s="732"/>
      <c r="AD1779" s="732"/>
      <c r="AE1779" s="733"/>
      <c r="AF1779" s="734" t="str">
        <f t="shared" si="83"/>
        <v/>
      </c>
      <c r="AG1779" s="773"/>
    </row>
    <row r="1780" spans="1:64" ht="18.75" x14ac:dyDescent="0.25">
      <c r="A1780" s="758"/>
      <c r="B1780" s="737"/>
      <c r="C1780" s="730"/>
      <c r="D1780" s="739"/>
      <c r="E1780" s="765"/>
      <c r="F1780" s="765"/>
      <c r="G1780" s="765"/>
      <c r="H1780" s="765"/>
      <c r="I1780" s="746" t="str">
        <f t="shared" si="82"/>
        <v/>
      </c>
      <c r="J1780" s="731"/>
      <c r="K1780" s="731" t="str">
        <f t="shared" si="81"/>
        <v/>
      </c>
      <c r="L1780" s="726"/>
      <c r="M1780" s="726"/>
      <c r="N1780" s="726"/>
      <c r="O1780" s="726"/>
      <c r="P1780" s="726"/>
      <c r="Q1780" s="726"/>
      <c r="R1780" s="726"/>
      <c r="S1780" s="726"/>
      <c r="T1780" s="726"/>
      <c r="U1780" s="726"/>
      <c r="V1780" s="726"/>
      <c r="W1780" s="726"/>
      <c r="X1780" s="726"/>
      <c r="Y1780" s="726"/>
      <c r="Z1780" s="726"/>
      <c r="AA1780" s="732"/>
      <c r="AB1780" s="732"/>
      <c r="AC1780" s="732"/>
      <c r="AD1780" s="732"/>
      <c r="AE1780" s="733"/>
      <c r="AF1780" s="734" t="str">
        <f t="shared" si="83"/>
        <v/>
      </c>
      <c r="AG1780" s="773"/>
    </row>
    <row r="1781" spans="1:64" ht="18.75" x14ac:dyDescent="0.25">
      <c r="A1781" s="758"/>
      <c r="B1781" s="737"/>
      <c r="C1781" s="730"/>
      <c r="D1781" s="739"/>
      <c r="E1781" s="765"/>
      <c r="F1781" s="765"/>
      <c r="G1781" s="765"/>
      <c r="H1781" s="765"/>
      <c r="I1781" s="746" t="str">
        <f t="shared" si="82"/>
        <v/>
      </c>
      <c r="J1781" s="731"/>
      <c r="K1781" s="731" t="str">
        <f t="shared" si="81"/>
        <v/>
      </c>
      <c r="L1781" s="726"/>
      <c r="M1781" s="726"/>
      <c r="N1781" s="726"/>
      <c r="O1781" s="726"/>
      <c r="P1781" s="726"/>
      <c r="Q1781" s="726"/>
      <c r="R1781" s="726"/>
      <c r="S1781" s="726"/>
      <c r="T1781" s="726"/>
      <c r="U1781" s="726"/>
      <c r="V1781" s="726"/>
      <c r="W1781" s="726"/>
      <c r="X1781" s="726"/>
      <c r="Y1781" s="726"/>
      <c r="Z1781" s="726"/>
      <c r="AA1781" s="732"/>
      <c r="AB1781" s="732"/>
      <c r="AC1781" s="732"/>
      <c r="AD1781" s="732"/>
      <c r="AE1781" s="733"/>
      <c r="AF1781" s="734" t="str">
        <f t="shared" si="83"/>
        <v/>
      </c>
      <c r="AG1781" s="774"/>
      <c r="AH1781" s="778"/>
      <c r="AI1781" s="736"/>
      <c r="AJ1781" s="736"/>
      <c r="AK1781" s="736"/>
      <c r="AL1781" s="736"/>
      <c r="AM1781" s="736"/>
      <c r="AN1781" s="736"/>
      <c r="AO1781" s="736"/>
      <c r="AP1781" s="736"/>
      <c r="AQ1781" s="736"/>
      <c r="AR1781" s="736"/>
      <c r="AS1781" s="736"/>
      <c r="AT1781" s="736"/>
      <c r="AU1781" s="736"/>
      <c r="AV1781" s="736"/>
      <c r="AW1781" s="736"/>
      <c r="AX1781" s="736"/>
      <c r="AY1781" s="736"/>
      <c r="AZ1781" s="736"/>
      <c r="BA1781" s="736"/>
      <c r="BB1781" s="736"/>
      <c r="BC1781" s="736"/>
      <c r="BD1781" s="736"/>
      <c r="BE1781" s="736"/>
      <c r="BF1781" s="736"/>
      <c r="BG1781" s="736"/>
      <c r="BH1781" s="736"/>
      <c r="BI1781" s="736"/>
      <c r="BJ1781" s="736"/>
      <c r="BK1781" s="736"/>
      <c r="BL1781" s="736"/>
    </row>
    <row r="1782" spans="1:64" ht="18.75" x14ac:dyDescent="0.25">
      <c r="A1782" s="758"/>
      <c r="B1782" s="737"/>
      <c r="C1782" s="730"/>
      <c r="D1782" s="739"/>
      <c r="E1782" s="765"/>
      <c r="F1782" s="765"/>
      <c r="G1782" s="765"/>
      <c r="H1782" s="765"/>
      <c r="I1782" s="746" t="str">
        <f t="shared" si="82"/>
        <v/>
      </c>
      <c r="J1782" s="731"/>
      <c r="K1782" s="731" t="str">
        <f t="shared" si="81"/>
        <v/>
      </c>
      <c r="L1782" s="726"/>
      <c r="M1782" s="726"/>
      <c r="N1782" s="726"/>
      <c r="O1782" s="726"/>
      <c r="P1782" s="726"/>
      <c r="Q1782" s="726"/>
      <c r="R1782" s="726"/>
      <c r="S1782" s="726"/>
      <c r="T1782" s="726"/>
      <c r="U1782" s="726"/>
      <c r="V1782" s="726"/>
      <c r="W1782" s="726"/>
      <c r="X1782" s="726"/>
      <c r="Y1782" s="726"/>
      <c r="Z1782" s="726"/>
      <c r="AA1782" s="732"/>
      <c r="AB1782" s="732"/>
      <c r="AC1782" s="732"/>
      <c r="AD1782" s="732"/>
      <c r="AE1782" s="733"/>
      <c r="AF1782" s="734" t="str">
        <f t="shared" si="83"/>
        <v/>
      </c>
      <c r="AG1782" s="773"/>
    </row>
    <row r="1783" spans="1:64" ht="18.75" x14ac:dyDescent="0.25">
      <c r="A1783" s="758"/>
      <c r="B1783" s="737"/>
      <c r="C1783" s="730"/>
      <c r="D1783" s="739"/>
      <c r="E1783" s="765"/>
      <c r="F1783" s="765"/>
      <c r="G1783" s="765"/>
      <c r="H1783" s="765"/>
      <c r="I1783" s="746" t="str">
        <f t="shared" si="82"/>
        <v/>
      </c>
      <c r="J1783" s="731"/>
      <c r="K1783" s="731" t="str">
        <f t="shared" si="81"/>
        <v/>
      </c>
      <c r="L1783" s="726"/>
      <c r="M1783" s="726"/>
      <c r="N1783" s="726"/>
      <c r="O1783" s="726"/>
      <c r="P1783" s="726"/>
      <c r="Q1783" s="726"/>
      <c r="R1783" s="726"/>
      <c r="S1783" s="726"/>
      <c r="T1783" s="726"/>
      <c r="U1783" s="726"/>
      <c r="V1783" s="726"/>
      <c r="W1783" s="726"/>
      <c r="X1783" s="726"/>
      <c r="Y1783" s="726"/>
      <c r="Z1783" s="726"/>
      <c r="AA1783" s="732"/>
      <c r="AB1783" s="732"/>
      <c r="AC1783" s="732"/>
      <c r="AD1783" s="732"/>
      <c r="AE1783" s="733"/>
      <c r="AF1783" s="734" t="str">
        <f t="shared" si="83"/>
        <v/>
      </c>
      <c r="AG1783" s="773"/>
    </row>
    <row r="1784" spans="1:64" ht="18.75" x14ac:dyDescent="0.25">
      <c r="A1784" s="758"/>
      <c r="B1784" s="737"/>
      <c r="C1784" s="730"/>
      <c r="D1784" s="739"/>
      <c r="E1784" s="765"/>
      <c r="F1784" s="765"/>
      <c r="G1784" s="765"/>
      <c r="H1784" s="765"/>
      <c r="I1784" s="746" t="str">
        <f t="shared" si="82"/>
        <v/>
      </c>
      <c r="J1784" s="731"/>
      <c r="K1784" s="731" t="str">
        <f t="shared" si="81"/>
        <v/>
      </c>
      <c r="L1784" s="726"/>
      <c r="M1784" s="726"/>
      <c r="N1784" s="726"/>
      <c r="O1784" s="726"/>
      <c r="P1784" s="726"/>
      <c r="Q1784" s="726"/>
      <c r="R1784" s="726"/>
      <c r="S1784" s="726"/>
      <c r="T1784" s="726"/>
      <c r="U1784" s="726"/>
      <c r="V1784" s="726"/>
      <c r="W1784" s="726"/>
      <c r="X1784" s="726"/>
      <c r="Y1784" s="726"/>
      <c r="Z1784" s="726"/>
      <c r="AA1784" s="732"/>
      <c r="AB1784" s="732"/>
      <c r="AC1784" s="732"/>
      <c r="AD1784" s="732"/>
      <c r="AE1784" s="733"/>
      <c r="AF1784" s="734" t="str">
        <f t="shared" si="83"/>
        <v/>
      </c>
      <c r="AG1784" s="774"/>
      <c r="AH1784" s="778"/>
      <c r="AI1784" s="736"/>
      <c r="AJ1784" s="736"/>
      <c r="AK1784" s="736"/>
      <c r="AL1784" s="736"/>
      <c r="AM1784" s="736"/>
      <c r="AN1784" s="736"/>
      <c r="AO1784" s="736"/>
      <c r="AP1784" s="736"/>
      <c r="AQ1784" s="736"/>
      <c r="AR1784" s="736"/>
      <c r="AS1784" s="736"/>
      <c r="AT1784" s="736"/>
      <c r="AU1784" s="736"/>
      <c r="AV1784" s="736"/>
      <c r="AW1784" s="736"/>
      <c r="AX1784" s="736"/>
      <c r="AY1784" s="736"/>
      <c r="AZ1784" s="736"/>
      <c r="BA1784" s="736"/>
      <c r="BB1784" s="736"/>
      <c r="BC1784" s="736"/>
      <c r="BD1784" s="736"/>
      <c r="BE1784" s="736"/>
      <c r="BF1784" s="736"/>
      <c r="BG1784" s="736"/>
      <c r="BH1784" s="736"/>
      <c r="BI1784" s="736"/>
      <c r="BJ1784" s="736"/>
      <c r="BK1784" s="736"/>
      <c r="BL1784" s="736"/>
    </row>
    <row r="1785" spans="1:64" ht="18.75" x14ac:dyDescent="0.25">
      <c r="A1785" s="758"/>
      <c r="B1785" s="737"/>
      <c r="C1785" s="730"/>
      <c r="D1785" s="739"/>
      <c r="E1785" s="765"/>
      <c r="F1785" s="765"/>
      <c r="G1785" s="765"/>
      <c r="H1785" s="765"/>
      <c r="I1785" s="746" t="str">
        <f t="shared" si="82"/>
        <v/>
      </c>
      <c r="J1785" s="731"/>
      <c r="K1785" s="731" t="str">
        <f t="shared" si="81"/>
        <v/>
      </c>
      <c r="L1785" s="726"/>
      <c r="M1785" s="726"/>
      <c r="N1785" s="726"/>
      <c r="O1785" s="726"/>
      <c r="P1785" s="726"/>
      <c r="Q1785" s="726"/>
      <c r="R1785" s="726"/>
      <c r="S1785" s="726"/>
      <c r="T1785" s="726"/>
      <c r="U1785" s="726"/>
      <c r="V1785" s="726"/>
      <c r="W1785" s="726"/>
      <c r="X1785" s="726"/>
      <c r="Y1785" s="726"/>
      <c r="Z1785" s="726"/>
      <c r="AA1785" s="732"/>
      <c r="AB1785" s="732"/>
      <c r="AC1785" s="732"/>
      <c r="AD1785" s="732"/>
      <c r="AE1785" s="733"/>
      <c r="AF1785" s="734" t="str">
        <f t="shared" si="83"/>
        <v/>
      </c>
      <c r="AG1785" s="773"/>
    </row>
    <row r="1786" spans="1:64" ht="18.75" x14ac:dyDescent="0.25">
      <c r="A1786" s="758"/>
      <c r="B1786" s="737"/>
      <c r="C1786" s="730"/>
      <c r="D1786" s="739"/>
      <c r="E1786" s="765"/>
      <c r="F1786" s="765"/>
      <c r="G1786" s="765"/>
      <c r="H1786" s="765"/>
      <c r="I1786" s="746" t="str">
        <f t="shared" si="82"/>
        <v/>
      </c>
      <c r="J1786" s="731"/>
      <c r="K1786" s="731" t="str">
        <f t="shared" si="81"/>
        <v/>
      </c>
      <c r="L1786" s="726"/>
      <c r="M1786" s="726"/>
      <c r="N1786" s="726"/>
      <c r="O1786" s="726"/>
      <c r="P1786" s="726"/>
      <c r="Q1786" s="726"/>
      <c r="R1786" s="726"/>
      <c r="S1786" s="726"/>
      <c r="T1786" s="726"/>
      <c r="U1786" s="726"/>
      <c r="V1786" s="726"/>
      <c r="W1786" s="726"/>
      <c r="X1786" s="726"/>
      <c r="Y1786" s="726"/>
      <c r="Z1786" s="726"/>
      <c r="AA1786" s="732"/>
      <c r="AB1786" s="732"/>
      <c r="AC1786" s="732"/>
      <c r="AD1786" s="732"/>
      <c r="AE1786" s="733"/>
      <c r="AF1786" s="734" t="str">
        <f t="shared" si="83"/>
        <v/>
      </c>
      <c r="AG1786" s="774"/>
      <c r="AH1786" s="778"/>
      <c r="AI1786" s="736"/>
      <c r="AJ1786" s="736"/>
      <c r="AK1786" s="736"/>
      <c r="AL1786" s="736"/>
      <c r="AM1786" s="736"/>
      <c r="AN1786" s="736"/>
      <c r="AO1786" s="736"/>
      <c r="AP1786" s="736"/>
      <c r="AQ1786" s="736"/>
      <c r="AR1786" s="736"/>
      <c r="AS1786" s="736"/>
      <c r="AT1786" s="736"/>
      <c r="AU1786" s="736"/>
      <c r="AV1786" s="736"/>
      <c r="AW1786" s="736"/>
      <c r="AX1786" s="736"/>
      <c r="AY1786" s="736"/>
      <c r="AZ1786" s="736"/>
      <c r="BA1786" s="736"/>
      <c r="BB1786" s="736"/>
      <c r="BC1786" s="736"/>
      <c r="BD1786" s="736"/>
      <c r="BE1786" s="736"/>
      <c r="BF1786" s="736"/>
      <c r="BG1786" s="736"/>
      <c r="BH1786" s="736"/>
      <c r="BI1786" s="736"/>
      <c r="BJ1786" s="736"/>
      <c r="BK1786" s="736"/>
      <c r="BL1786" s="736"/>
    </row>
    <row r="1787" spans="1:64" ht="18.75" x14ac:dyDescent="0.25">
      <c r="A1787" s="758"/>
      <c r="B1787" s="737"/>
      <c r="C1787" s="730"/>
      <c r="D1787" s="739"/>
      <c r="E1787" s="765"/>
      <c r="F1787" s="765"/>
      <c r="G1787" s="765"/>
      <c r="H1787" s="765"/>
      <c r="I1787" s="746" t="str">
        <f t="shared" si="82"/>
        <v/>
      </c>
      <c r="J1787" s="731"/>
      <c r="K1787" s="731" t="str">
        <f t="shared" si="81"/>
        <v/>
      </c>
      <c r="L1787" s="726"/>
      <c r="M1787" s="726"/>
      <c r="N1787" s="726"/>
      <c r="O1787" s="726"/>
      <c r="P1787" s="726"/>
      <c r="Q1787" s="726"/>
      <c r="R1787" s="726"/>
      <c r="S1787" s="726"/>
      <c r="T1787" s="726"/>
      <c r="U1787" s="726"/>
      <c r="V1787" s="726"/>
      <c r="W1787" s="726"/>
      <c r="X1787" s="726"/>
      <c r="Y1787" s="726"/>
      <c r="Z1787" s="726"/>
      <c r="AA1787" s="732"/>
      <c r="AB1787" s="732"/>
      <c r="AC1787" s="732"/>
      <c r="AD1787" s="732"/>
      <c r="AE1787" s="733"/>
      <c r="AF1787" s="734" t="str">
        <f t="shared" si="83"/>
        <v/>
      </c>
      <c r="AG1787" s="774"/>
      <c r="AH1787" s="778"/>
      <c r="AI1787" s="736"/>
      <c r="AJ1787" s="736"/>
      <c r="AK1787" s="736"/>
      <c r="AL1787" s="736"/>
      <c r="AM1787" s="736"/>
      <c r="AN1787" s="736"/>
      <c r="AO1787" s="736"/>
      <c r="AP1787" s="736"/>
      <c r="AQ1787" s="736"/>
      <c r="AR1787" s="736"/>
      <c r="AS1787" s="736"/>
      <c r="AT1787" s="736"/>
      <c r="AU1787" s="736"/>
      <c r="AV1787" s="736"/>
      <c r="AW1787" s="736"/>
      <c r="AX1787" s="736"/>
      <c r="AY1787" s="736"/>
      <c r="AZ1787" s="736"/>
      <c r="BA1787" s="736"/>
      <c r="BB1787" s="736"/>
      <c r="BC1787" s="736"/>
      <c r="BD1787" s="736"/>
      <c r="BE1787" s="736"/>
      <c r="BF1787" s="736"/>
      <c r="BG1787" s="736"/>
      <c r="BH1787" s="736"/>
      <c r="BI1787" s="736"/>
      <c r="BJ1787" s="736"/>
      <c r="BK1787" s="736"/>
      <c r="BL1787" s="736"/>
    </row>
    <row r="1788" spans="1:64" ht="18.75" x14ac:dyDescent="0.25">
      <c r="A1788" s="758"/>
      <c r="B1788" s="737"/>
      <c r="C1788" s="730"/>
      <c r="D1788" s="739"/>
      <c r="E1788" s="765"/>
      <c r="F1788" s="765"/>
      <c r="G1788" s="765"/>
      <c r="H1788" s="765"/>
      <c r="I1788" s="746" t="str">
        <f t="shared" si="82"/>
        <v/>
      </c>
      <c r="J1788" s="731"/>
      <c r="K1788" s="731" t="str">
        <f t="shared" si="81"/>
        <v/>
      </c>
      <c r="L1788" s="726"/>
      <c r="M1788" s="726"/>
      <c r="N1788" s="726"/>
      <c r="O1788" s="726"/>
      <c r="P1788" s="726"/>
      <c r="Q1788" s="726"/>
      <c r="R1788" s="726"/>
      <c r="S1788" s="726"/>
      <c r="T1788" s="726"/>
      <c r="U1788" s="726"/>
      <c r="V1788" s="726"/>
      <c r="W1788" s="726"/>
      <c r="X1788" s="726"/>
      <c r="Y1788" s="726"/>
      <c r="Z1788" s="726"/>
      <c r="AA1788" s="732"/>
      <c r="AB1788" s="732"/>
      <c r="AC1788" s="732"/>
      <c r="AD1788" s="732"/>
      <c r="AE1788" s="733"/>
      <c r="AF1788" s="734" t="str">
        <f t="shared" si="83"/>
        <v/>
      </c>
      <c r="AG1788" s="773"/>
    </row>
    <row r="1789" spans="1:64" ht="18.75" x14ac:dyDescent="0.25">
      <c r="A1789" s="758"/>
      <c r="B1789" s="737"/>
      <c r="C1789" s="730"/>
      <c r="D1789" s="739"/>
      <c r="E1789" s="765"/>
      <c r="F1789" s="765"/>
      <c r="G1789" s="765"/>
      <c r="H1789" s="765"/>
      <c r="I1789" s="746" t="str">
        <f t="shared" si="82"/>
        <v/>
      </c>
      <c r="J1789" s="731"/>
      <c r="K1789" s="731" t="str">
        <f t="shared" si="81"/>
        <v/>
      </c>
      <c r="L1789" s="726"/>
      <c r="M1789" s="726"/>
      <c r="N1789" s="726"/>
      <c r="O1789" s="726"/>
      <c r="P1789" s="726"/>
      <c r="Q1789" s="726"/>
      <c r="R1789" s="726"/>
      <c r="S1789" s="726"/>
      <c r="T1789" s="726"/>
      <c r="U1789" s="726"/>
      <c r="V1789" s="726"/>
      <c r="W1789" s="726"/>
      <c r="X1789" s="726"/>
      <c r="Y1789" s="726"/>
      <c r="Z1789" s="726"/>
      <c r="AA1789" s="732"/>
      <c r="AB1789" s="732"/>
      <c r="AC1789" s="732"/>
      <c r="AD1789" s="732"/>
      <c r="AE1789" s="733"/>
      <c r="AF1789" s="734" t="str">
        <f t="shared" si="83"/>
        <v/>
      </c>
      <c r="AG1789" s="774"/>
      <c r="AH1789" s="778"/>
      <c r="AI1789" s="736"/>
      <c r="AJ1789" s="736"/>
      <c r="AK1789" s="736"/>
      <c r="AL1789" s="736"/>
      <c r="AM1789" s="736"/>
      <c r="AN1789" s="736"/>
      <c r="AO1789" s="736"/>
      <c r="AP1789" s="736"/>
      <c r="AQ1789" s="736"/>
      <c r="AR1789" s="736"/>
      <c r="AS1789" s="736"/>
      <c r="AT1789" s="736"/>
      <c r="AU1789" s="736"/>
      <c r="AV1789" s="736"/>
      <c r="AW1789" s="736"/>
      <c r="AX1789" s="736"/>
      <c r="AY1789" s="736"/>
      <c r="AZ1789" s="736"/>
      <c r="BA1789" s="736"/>
      <c r="BB1789" s="736"/>
      <c r="BC1789" s="736"/>
      <c r="BD1789" s="736"/>
      <c r="BE1789" s="736"/>
      <c r="BF1789" s="736"/>
      <c r="BG1789" s="736"/>
      <c r="BH1789" s="736"/>
      <c r="BI1789" s="736"/>
      <c r="BJ1789" s="736"/>
      <c r="BK1789" s="736"/>
      <c r="BL1789" s="736"/>
    </row>
    <row r="1790" spans="1:64" ht="18.75" x14ac:dyDescent="0.25">
      <c r="A1790" s="758"/>
      <c r="B1790" s="737"/>
      <c r="C1790" s="730"/>
      <c r="D1790" s="739"/>
      <c r="E1790" s="765"/>
      <c r="F1790" s="765"/>
      <c r="G1790" s="765"/>
      <c r="H1790" s="765"/>
      <c r="I1790" s="746" t="str">
        <f t="shared" si="82"/>
        <v/>
      </c>
      <c r="J1790" s="731"/>
      <c r="K1790" s="731" t="str">
        <f t="shared" si="81"/>
        <v/>
      </c>
      <c r="L1790" s="726"/>
      <c r="M1790" s="726"/>
      <c r="N1790" s="726"/>
      <c r="O1790" s="726"/>
      <c r="P1790" s="726"/>
      <c r="Q1790" s="726"/>
      <c r="R1790" s="726"/>
      <c r="S1790" s="726"/>
      <c r="T1790" s="726"/>
      <c r="U1790" s="726"/>
      <c r="V1790" s="726"/>
      <c r="W1790" s="726"/>
      <c r="X1790" s="726"/>
      <c r="Y1790" s="726"/>
      <c r="Z1790" s="726"/>
      <c r="AA1790" s="732"/>
      <c r="AB1790" s="732"/>
      <c r="AC1790" s="732"/>
      <c r="AD1790" s="732"/>
      <c r="AE1790" s="733"/>
      <c r="AF1790" s="734" t="str">
        <f t="shared" si="83"/>
        <v/>
      </c>
      <c r="AG1790" s="773"/>
    </row>
    <row r="1791" spans="1:64" ht="18.75" x14ac:dyDescent="0.25">
      <c r="A1791" s="758"/>
      <c r="B1791" s="737"/>
      <c r="C1791" s="730"/>
      <c r="D1791" s="739"/>
      <c r="E1791" s="765"/>
      <c r="F1791" s="765"/>
      <c r="G1791" s="765"/>
      <c r="H1791" s="765"/>
      <c r="I1791" s="746" t="str">
        <f t="shared" si="82"/>
        <v/>
      </c>
      <c r="J1791" s="731"/>
      <c r="K1791" s="731" t="str">
        <f t="shared" si="81"/>
        <v/>
      </c>
      <c r="L1791" s="726"/>
      <c r="M1791" s="726"/>
      <c r="N1791" s="726"/>
      <c r="O1791" s="726"/>
      <c r="P1791" s="726"/>
      <c r="Q1791" s="726"/>
      <c r="R1791" s="726"/>
      <c r="S1791" s="726"/>
      <c r="T1791" s="726"/>
      <c r="U1791" s="726"/>
      <c r="V1791" s="726"/>
      <c r="W1791" s="726"/>
      <c r="X1791" s="726"/>
      <c r="Y1791" s="726"/>
      <c r="Z1791" s="726"/>
      <c r="AA1791" s="732"/>
      <c r="AB1791" s="732"/>
      <c r="AC1791" s="732"/>
      <c r="AD1791" s="732"/>
      <c r="AE1791" s="733"/>
      <c r="AF1791" s="734" t="str">
        <f t="shared" si="83"/>
        <v/>
      </c>
      <c r="AG1791" s="774"/>
      <c r="AH1791" s="778"/>
      <c r="AI1791" s="736"/>
      <c r="AJ1791" s="736"/>
      <c r="AK1791" s="736"/>
      <c r="AL1791" s="736"/>
      <c r="AM1791" s="736"/>
      <c r="AN1791" s="736"/>
      <c r="AO1791" s="736"/>
      <c r="AP1791" s="736"/>
      <c r="AQ1791" s="736"/>
      <c r="AR1791" s="736"/>
      <c r="AS1791" s="736"/>
      <c r="AT1791" s="736"/>
      <c r="AU1791" s="736"/>
      <c r="AV1791" s="736"/>
      <c r="AW1791" s="736"/>
      <c r="AX1791" s="736"/>
      <c r="AY1791" s="736"/>
      <c r="AZ1791" s="736"/>
      <c r="BA1791" s="736"/>
      <c r="BB1791" s="736"/>
      <c r="BC1791" s="736"/>
      <c r="BD1791" s="736"/>
      <c r="BE1791" s="736"/>
      <c r="BF1791" s="736"/>
      <c r="BG1791" s="736"/>
      <c r="BH1791" s="736"/>
      <c r="BI1791" s="736"/>
      <c r="BJ1791" s="736"/>
      <c r="BK1791" s="736"/>
      <c r="BL1791" s="736"/>
    </row>
    <row r="1792" spans="1:64" ht="18.75" x14ac:dyDescent="0.25">
      <c r="A1792" s="758"/>
      <c r="B1792" s="737"/>
      <c r="C1792" s="730"/>
      <c r="D1792" s="739"/>
      <c r="E1792" s="765"/>
      <c r="F1792" s="765"/>
      <c r="G1792" s="765"/>
      <c r="H1792" s="765"/>
      <c r="I1792" s="746" t="str">
        <f t="shared" si="82"/>
        <v/>
      </c>
      <c r="J1792" s="731"/>
      <c r="K1792" s="731" t="str">
        <f t="shared" si="81"/>
        <v/>
      </c>
      <c r="L1792" s="726"/>
      <c r="M1792" s="726"/>
      <c r="N1792" s="726"/>
      <c r="O1792" s="726"/>
      <c r="P1792" s="726"/>
      <c r="Q1792" s="726"/>
      <c r="R1792" s="726"/>
      <c r="S1792" s="726"/>
      <c r="T1792" s="726"/>
      <c r="U1792" s="726"/>
      <c r="V1792" s="726"/>
      <c r="W1792" s="726"/>
      <c r="X1792" s="726"/>
      <c r="Y1792" s="726"/>
      <c r="Z1792" s="726"/>
      <c r="AA1792" s="732"/>
      <c r="AB1792" s="732"/>
      <c r="AC1792" s="732"/>
      <c r="AD1792" s="732"/>
      <c r="AE1792" s="733"/>
      <c r="AF1792" s="734" t="str">
        <f t="shared" si="83"/>
        <v/>
      </c>
      <c r="AG1792" s="774"/>
      <c r="AH1792" s="778"/>
      <c r="AI1792" s="736"/>
      <c r="AJ1792" s="736"/>
      <c r="AK1792" s="736"/>
      <c r="AL1792" s="736"/>
      <c r="AM1792" s="736"/>
      <c r="AN1792" s="736"/>
      <c r="AO1792" s="736"/>
      <c r="AP1792" s="736"/>
      <c r="AQ1792" s="736"/>
      <c r="AR1792" s="736"/>
      <c r="AS1792" s="736"/>
      <c r="AT1792" s="736"/>
      <c r="AU1792" s="736"/>
      <c r="AV1792" s="736"/>
      <c r="AW1792" s="736"/>
      <c r="AX1792" s="736"/>
      <c r="AY1792" s="736"/>
      <c r="AZ1792" s="736"/>
      <c r="BA1792" s="736"/>
      <c r="BB1792" s="736"/>
      <c r="BC1792" s="736"/>
      <c r="BD1792" s="736"/>
      <c r="BE1792" s="736"/>
      <c r="BF1792" s="736"/>
      <c r="BG1792" s="736"/>
      <c r="BH1792" s="736"/>
      <c r="BI1792" s="736"/>
      <c r="BJ1792" s="736"/>
      <c r="BK1792" s="736"/>
      <c r="BL1792" s="736"/>
    </row>
    <row r="1793" spans="1:64" ht="18.75" x14ac:dyDescent="0.25">
      <c r="A1793" s="758"/>
      <c r="B1793" s="737"/>
      <c r="C1793" s="730"/>
      <c r="D1793" s="739"/>
      <c r="E1793" s="765"/>
      <c r="F1793" s="765"/>
      <c r="G1793" s="765"/>
      <c r="H1793" s="765"/>
      <c r="I1793" s="746" t="str">
        <f t="shared" si="82"/>
        <v/>
      </c>
      <c r="J1793" s="731"/>
      <c r="K1793" s="731" t="str">
        <f t="shared" si="81"/>
        <v/>
      </c>
      <c r="L1793" s="726"/>
      <c r="M1793" s="726"/>
      <c r="N1793" s="726"/>
      <c r="O1793" s="726"/>
      <c r="P1793" s="726"/>
      <c r="Q1793" s="726"/>
      <c r="R1793" s="726"/>
      <c r="S1793" s="726"/>
      <c r="T1793" s="726"/>
      <c r="U1793" s="726"/>
      <c r="V1793" s="726"/>
      <c r="W1793" s="726"/>
      <c r="X1793" s="726"/>
      <c r="Y1793" s="726"/>
      <c r="Z1793" s="726"/>
      <c r="AA1793" s="732"/>
      <c r="AB1793" s="732"/>
      <c r="AC1793" s="732"/>
      <c r="AD1793" s="732"/>
      <c r="AE1793" s="733"/>
      <c r="AF1793" s="734" t="str">
        <f t="shared" si="83"/>
        <v/>
      </c>
      <c r="AG1793" s="774"/>
      <c r="AH1793" s="778"/>
      <c r="AI1793" s="736"/>
      <c r="AJ1793" s="736"/>
      <c r="AK1793" s="736"/>
      <c r="AL1793" s="736"/>
      <c r="AM1793" s="736"/>
      <c r="AN1793" s="736"/>
      <c r="AO1793" s="736"/>
      <c r="AP1793" s="736"/>
      <c r="AQ1793" s="736"/>
      <c r="AR1793" s="736"/>
      <c r="AS1793" s="736"/>
      <c r="AT1793" s="736"/>
      <c r="AU1793" s="736"/>
      <c r="AV1793" s="736"/>
      <c r="AW1793" s="736"/>
      <c r="AX1793" s="736"/>
      <c r="AY1793" s="736"/>
      <c r="AZ1793" s="736"/>
      <c r="BA1793" s="736"/>
      <c r="BB1793" s="736"/>
      <c r="BC1793" s="736"/>
      <c r="BD1793" s="736"/>
      <c r="BE1793" s="736"/>
      <c r="BF1793" s="736"/>
      <c r="BG1793" s="736"/>
      <c r="BH1793" s="736"/>
      <c r="BI1793" s="736"/>
      <c r="BJ1793" s="736"/>
      <c r="BK1793" s="736"/>
      <c r="BL1793" s="736"/>
    </row>
    <row r="1794" spans="1:64" ht="18.75" x14ac:dyDescent="0.25">
      <c r="A1794" s="758"/>
      <c r="B1794" s="737"/>
      <c r="C1794" s="730"/>
      <c r="D1794" s="739"/>
      <c r="E1794" s="765"/>
      <c r="F1794" s="765"/>
      <c r="G1794" s="765"/>
      <c r="H1794" s="765"/>
      <c r="I1794" s="746" t="str">
        <f t="shared" si="82"/>
        <v/>
      </c>
      <c r="J1794" s="731"/>
      <c r="K1794" s="731" t="str">
        <f t="shared" si="81"/>
        <v/>
      </c>
      <c r="L1794" s="726"/>
      <c r="M1794" s="726"/>
      <c r="N1794" s="726"/>
      <c r="O1794" s="726"/>
      <c r="P1794" s="726"/>
      <c r="Q1794" s="726"/>
      <c r="R1794" s="726"/>
      <c r="S1794" s="726"/>
      <c r="T1794" s="726"/>
      <c r="U1794" s="726"/>
      <c r="V1794" s="726"/>
      <c r="W1794" s="726"/>
      <c r="X1794" s="726"/>
      <c r="Y1794" s="726"/>
      <c r="Z1794" s="726"/>
      <c r="AA1794" s="732"/>
      <c r="AB1794" s="732"/>
      <c r="AC1794" s="732"/>
      <c r="AD1794" s="732"/>
      <c r="AE1794" s="733"/>
      <c r="AF1794" s="734" t="str">
        <f t="shared" si="83"/>
        <v/>
      </c>
      <c r="AG1794" s="774"/>
      <c r="AH1794" s="778"/>
      <c r="AI1794" s="736"/>
      <c r="AJ1794" s="736"/>
      <c r="AK1794" s="736"/>
      <c r="AL1794" s="736"/>
      <c r="AM1794" s="736"/>
      <c r="AN1794" s="736"/>
      <c r="AO1794" s="736"/>
      <c r="AP1794" s="736"/>
      <c r="AQ1794" s="736"/>
      <c r="AR1794" s="736"/>
      <c r="AS1794" s="736"/>
      <c r="AT1794" s="736"/>
      <c r="AU1794" s="736"/>
      <c r="AV1794" s="736"/>
      <c r="AW1794" s="736"/>
      <c r="AX1794" s="736"/>
      <c r="AY1794" s="736"/>
      <c r="AZ1794" s="736"/>
      <c r="BA1794" s="736"/>
      <c r="BB1794" s="736"/>
      <c r="BC1794" s="736"/>
      <c r="BD1794" s="736"/>
      <c r="BE1794" s="736"/>
      <c r="BF1794" s="736"/>
      <c r="BG1794" s="736"/>
      <c r="BH1794" s="736"/>
      <c r="BI1794" s="736"/>
      <c r="BJ1794" s="736"/>
      <c r="BK1794" s="736"/>
      <c r="BL1794" s="736"/>
    </row>
    <row r="1795" spans="1:64" ht="18.75" x14ac:dyDescent="0.25">
      <c r="A1795" s="758"/>
      <c r="B1795" s="737"/>
      <c r="C1795" s="730"/>
      <c r="D1795" s="739"/>
      <c r="E1795" s="765"/>
      <c r="F1795" s="765"/>
      <c r="G1795" s="765"/>
      <c r="H1795" s="765"/>
      <c r="I1795" s="746" t="str">
        <f t="shared" si="82"/>
        <v/>
      </c>
      <c r="J1795" s="731"/>
      <c r="K1795" s="731" t="str">
        <f t="shared" si="81"/>
        <v/>
      </c>
      <c r="L1795" s="726"/>
      <c r="M1795" s="726"/>
      <c r="N1795" s="726"/>
      <c r="O1795" s="726"/>
      <c r="P1795" s="726"/>
      <c r="Q1795" s="726"/>
      <c r="R1795" s="726"/>
      <c r="S1795" s="726"/>
      <c r="T1795" s="726"/>
      <c r="U1795" s="726"/>
      <c r="V1795" s="726"/>
      <c r="W1795" s="726"/>
      <c r="X1795" s="726"/>
      <c r="Y1795" s="726"/>
      <c r="Z1795" s="726"/>
      <c r="AA1795" s="732"/>
      <c r="AB1795" s="732"/>
      <c r="AC1795" s="732"/>
      <c r="AD1795" s="732"/>
      <c r="AE1795" s="733"/>
      <c r="AF1795" s="734" t="str">
        <f t="shared" si="83"/>
        <v/>
      </c>
      <c r="AG1795" s="774"/>
      <c r="AH1795" s="778"/>
      <c r="AI1795" s="736"/>
      <c r="AJ1795" s="736"/>
      <c r="AK1795" s="736"/>
      <c r="AL1795" s="736"/>
      <c r="AM1795" s="736"/>
      <c r="AN1795" s="736"/>
      <c r="AO1795" s="736"/>
      <c r="AP1795" s="736"/>
      <c r="AQ1795" s="736"/>
      <c r="AR1795" s="736"/>
      <c r="AS1795" s="736"/>
      <c r="AT1795" s="736"/>
      <c r="AU1795" s="736"/>
      <c r="AV1795" s="736"/>
      <c r="AW1795" s="736"/>
      <c r="AX1795" s="736"/>
      <c r="AY1795" s="736"/>
      <c r="AZ1795" s="736"/>
      <c r="BA1795" s="736"/>
      <c r="BB1795" s="736"/>
      <c r="BC1795" s="736"/>
      <c r="BD1795" s="736"/>
      <c r="BE1795" s="736"/>
      <c r="BF1795" s="736"/>
      <c r="BG1795" s="736"/>
      <c r="BH1795" s="736"/>
      <c r="BI1795" s="736"/>
      <c r="BJ1795" s="736"/>
      <c r="BK1795" s="736"/>
      <c r="BL1795" s="736"/>
    </row>
    <row r="1796" spans="1:64" ht="18.75" x14ac:dyDescent="0.25">
      <c r="A1796" s="758"/>
      <c r="B1796" s="737"/>
      <c r="C1796" s="730"/>
      <c r="D1796" s="739"/>
      <c r="E1796" s="765"/>
      <c r="F1796" s="765"/>
      <c r="G1796" s="765"/>
      <c r="H1796" s="765"/>
      <c r="I1796" s="746" t="str">
        <f t="shared" si="82"/>
        <v/>
      </c>
      <c r="J1796" s="731"/>
      <c r="K1796" s="731" t="str">
        <f t="shared" ref="K1796:K1859" si="84">IF(AA1796-AE1796 = 0,"",AA1796-AE1796)</f>
        <v/>
      </c>
      <c r="L1796" s="726"/>
      <c r="M1796" s="726"/>
      <c r="N1796" s="726"/>
      <c r="O1796" s="726"/>
      <c r="P1796" s="726"/>
      <c r="Q1796" s="726"/>
      <c r="R1796" s="726"/>
      <c r="S1796" s="726"/>
      <c r="T1796" s="726"/>
      <c r="U1796" s="726"/>
      <c r="V1796" s="726"/>
      <c r="W1796" s="726"/>
      <c r="X1796" s="726"/>
      <c r="Y1796" s="726"/>
      <c r="Z1796" s="726"/>
      <c r="AA1796" s="732"/>
      <c r="AB1796" s="732"/>
      <c r="AC1796" s="732"/>
      <c r="AD1796" s="732"/>
      <c r="AE1796" s="733"/>
      <c r="AF1796" s="734" t="str">
        <f t="shared" si="83"/>
        <v/>
      </c>
      <c r="AG1796" s="774"/>
      <c r="AH1796" s="778"/>
      <c r="AI1796" s="736"/>
      <c r="AJ1796" s="736"/>
      <c r="AK1796" s="736"/>
      <c r="AL1796" s="736"/>
      <c r="AM1796" s="736"/>
      <c r="AN1796" s="736"/>
      <c r="AO1796" s="736"/>
      <c r="AP1796" s="736"/>
      <c r="AQ1796" s="736"/>
      <c r="AR1796" s="736"/>
      <c r="AS1796" s="736"/>
      <c r="AT1796" s="736"/>
      <c r="AU1796" s="736"/>
      <c r="AV1796" s="736"/>
      <c r="AW1796" s="736"/>
      <c r="AX1796" s="736"/>
      <c r="AY1796" s="736"/>
      <c r="AZ1796" s="736"/>
      <c r="BA1796" s="736"/>
      <c r="BB1796" s="736"/>
      <c r="BC1796" s="736"/>
      <c r="BD1796" s="736"/>
      <c r="BE1796" s="736"/>
      <c r="BF1796" s="736"/>
      <c r="BG1796" s="736"/>
      <c r="BH1796" s="736"/>
      <c r="BI1796" s="736"/>
      <c r="BJ1796" s="736"/>
      <c r="BK1796" s="736"/>
      <c r="BL1796" s="736"/>
    </row>
    <row r="1797" spans="1:64" ht="18.75" x14ac:dyDescent="0.25">
      <c r="A1797" s="758"/>
      <c r="B1797" s="737"/>
      <c r="C1797" s="730"/>
      <c r="D1797" s="739"/>
      <c r="E1797" s="765"/>
      <c r="F1797" s="765"/>
      <c r="G1797" s="765"/>
      <c r="H1797" s="765"/>
      <c r="I1797" s="746" t="str">
        <f t="shared" ref="I1797:I1860" si="85">AF1797</f>
        <v/>
      </c>
      <c r="J1797" s="731"/>
      <c r="K1797" s="731" t="str">
        <f t="shared" si="84"/>
        <v/>
      </c>
      <c r="L1797" s="726"/>
      <c r="M1797" s="726"/>
      <c r="N1797" s="726"/>
      <c r="O1797" s="726"/>
      <c r="P1797" s="726"/>
      <c r="Q1797" s="726"/>
      <c r="R1797" s="726"/>
      <c r="S1797" s="726"/>
      <c r="T1797" s="726"/>
      <c r="U1797" s="726"/>
      <c r="V1797" s="726"/>
      <c r="W1797" s="726"/>
      <c r="X1797" s="726"/>
      <c r="Y1797" s="726"/>
      <c r="Z1797" s="726"/>
      <c r="AA1797" s="732"/>
      <c r="AB1797" s="732"/>
      <c r="AC1797" s="732"/>
      <c r="AD1797" s="732"/>
      <c r="AE1797" s="733"/>
      <c r="AF1797" s="734" t="str">
        <f t="shared" ref="AF1797:AF1860" si="86">IF(AE1797 &lt;&gt;"", AE1797/AA1797,"")</f>
        <v/>
      </c>
      <c r="AG1797" s="774"/>
      <c r="AH1797" s="778"/>
      <c r="AI1797" s="736"/>
      <c r="AJ1797" s="736"/>
      <c r="AK1797" s="736"/>
      <c r="AL1797" s="736"/>
      <c r="AM1797" s="736"/>
      <c r="AN1797" s="736"/>
      <c r="AO1797" s="736"/>
      <c r="AP1797" s="736"/>
      <c r="AQ1797" s="736"/>
      <c r="AR1797" s="736"/>
      <c r="AS1797" s="736"/>
      <c r="AT1797" s="736"/>
      <c r="AU1797" s="736"/>
      <c r="AV1797" s="736"/>
      <c r="AW1797" s="736"/>
      <c r="AX1797" s="736"/>
      <c r="AY1797" s="736"/>
      <c r="AZ1797" s="736"/>
      <c r="BA1797" s="736"/>
      <c r="BB1797" s="736"/>
      <c r="BC1797" s="736"/>
      <c r="BD1797" s="736"/>
      <c r="BE1797" s="736"/>
      <c r="BF1797" s="736"/>
      <c r="BG1797" s="736"/>
      <c r="BH1797" s="736"/>
      <c r="BI1797" s="736"/>
      <c r="BJ1797" s="736"/>
      <c r="BK1797" s="736"/>
      <c r="BL1797" s="736"/>
    </row>
    <row r="1798" spans="1:64" ht="18.75" x14ac:dyDescent="0.25">
      <c r="A1798" s="758"/>
      <c r="B1798" s="737"/>
      <c r="C1798" s="730"/>
      <c r="D1798" s="739"/>
      <c r="E1798" s="765"/>
      <c r="F1798" s="765"/>
      <c r="G1798" s="765"/>
      <c r="H1798" s="765"/>
      <c r="I1798" s="746" t="str">
        <f t="shared" si="85"/>
        <v/>
      </c>
      <c r="J1798" s="731"/>
      <c r="K1798" s="731" t="str">
        <f t="shared" si="84"/>
        <v/>
      </c>
      <c r="L1798" s="726"/>
      <c r="M1798" s="726"/>
      <c r="N1798" s="726"/>
      <c r="O1798" s="726"/>
      <c r="P1798" s="726"/>
      <c r="Q1798" s="726"/>
      <c r="R1798" s="726"/>
      <c r="S1798" s="726"/>
      <c r="T1798" s="726"/>
      <c r="U1798" s="726"/>
      <c r="V1798" s="726"/>
      <c r="W1798" s="726"/>
      <c r="X1798" s="726"/>
      <c r="Y1798" s="726"/>
      <c r="Z1798" s="726"/>
      <c r="AA1798" s="732"/>
      <c r="AB1798" s="732"/>
      <c r="AC1798" s="732"/>
      <c r="AD1798" s="732"/>
      <c r="AE1798" s="733"/>
      <c r="AF1798" s="734" t="str">
        <f t="shared" si="86"/>
        <v/>
      </c>
      <c r="AG1798" s="773"/>
    </row>
    <row r="1799" spans="1:64" ht="18.75" x14ac:dyDescent="0.25">
      <c r="A1799" s="758"/>
      <c r="B1799" s="737"/>
      <c r="C1799" s="730"/>
      <c r="D1799" s="739"/>
      <c r="E1799" s="765"/>
      <c r="F1799" s="765"/>
      <c r="G1799" s="765"/>
      <c r="H1799" s="765"/>
      <c r="I1799" s="746" t="str">
        <f t="shared" si="85"/>
        <v/>
      </c>
      <c r="J1799" s="731"/>
      <c r="K1799" s="731" t="str">
        <f t="shared" si="84"/>
        <v/>
      </c>
      <c r="L1799" s="726"/>
      <c r="M1799" s="726"/>
      <c r="N1799" s="726"/>
      <c r="O1799" s="726"/>
      <c r="P1799" s="726"/>
      <c r="Q1799" s="726"/>
      <c r="R1799" s="726"/>
      <c r="S1799" s="726"/>
      <c r="T1799" s="726"/>
      <c r="U1799" s="726"/>
      <c r="V1799" s="726"/>
      <c r="W1799" s="726"/>
      <c r="X1799" s="726"/>
      <c r="Y1799" s="726"/>
      <c r="Z1799" s="726"/>
      <c r="AA1799" s="732"/>
      <c r="AB1799" s="732"/>
      <c r="AC1799" s="732"/>
      <c r="AD1799" s="732"/>
      <c r="AE1799" s="733"/>
      <c r="AF1799" s="734" t="str">
        <f t="shared" si="86"/>
        <v/>
      </c>
      <c r="AG1799" s="774"/>
      <c r="AH1799" s="778"/>
      <c r="AI1799" s="736"/>
      <c r="AJ1799" s="736"/>
      <c r="AK1799" s="736"/>
      <c r="AL1799" s="736"/>
      <c r="AM1799" s="736"/>
      <c r="AN1799" s="736"/>
      <c r="AO1799" s="736"/>
      <c r="AP1799" s="736"/>
      <c r="AQ1799" s="736"/>
      <c r="AR1799" s="736"/>
      <c r="AS1799" s="736"/>
      <c r="AT1799" s="736"/>
      <c r="AU1799" s="736"/>
      <c r="AV1799" s="736"/>
      <c r="AW1799" s="736"/>
      <c r="AX1799" s="736"/>
      <c r="AY1799" s="736"/>
      <c r="AZ1799" s="736"/>
      <c r="BA1799" s="736"/>
      <c r="BB1799" s="736"/>
      <c r="BC1799" s="736"/>
      <c r="BD1799" s="736"/>
      <c r="BE1799" s="736"/>
      <c r="BF1799" s="736"/>
      <c r="BG1799" s="736"/>
      <c r="BH1799" s="736"/>
      <c r="BI1799" s="736"/>
      <c r="BJ1799" s="736"/>
      <c r="BK1799" s="736"/>
      <c r="BL1799" s="736"/>
    </row>
    <row r="1800" spans="1:64" ht="18.75" x14ac:dyDescent="0.25">
      <c r="A1800" s="758"/>
      <c r="B1800" s="737"/>
      <c r="C1800" s="730"/>
      <c r="D1800" s="739"/>
      <c r="E1800" s="765"/>
      <c r="F1800" s="765"/>
      <c r="G1800" s="765"/>
      <c r="H1800" s="765"/>
      <c r="I1800" s="746" t="str">
        <f t="shared" si="85"/>
        <v/>
      </c>
      <c r="J1800" s="731"/>
      <c r="K1800" s="731" t="str">
        <f t="shared" si="84"/>
        <v/>
      </c>
      <c r="L1800" s="726"/>
      <c r="M1800" s="726"/>
      <c r="N1800" s="726"/>
      <c r="O1800" s="726"/>
      <c r="P1800" s="726"/>
      <c r="Q1800" s="726"/>
      <c r="R1800" s="726"/>
      <c r="S1800" s="726"/>
      <c r="T1800" s="726"/>
      <c r="U1800" s="726"/>
      <c r="V1800" s="726"/>
      <c r="W1800" s="726"/>
      <c r="X1800" s="726"/>
      <c r="Y1800" s="726"/>
      <c r="Z1800" s="726"/>
      <c r="AA1800" s="732"/>
      <c r="AB1800" s="732"/>
      <c r="AC1800" s="732"/>
      <c r="AD1800" s="732"/>
      <c r="AE1800" s="733"/>
      <c r="AF1800" s="734" t="str">
        <f t="shared" si="86"/>
        <v/>
      </c>
      <c r="AG1800" s="774"/>
      <c r="AH1800" s="778"/>
      <c r="AI1800" s="736"/>
      <c r="AJ1800" s="736"/>
      <c r="AK1800" s="736"/>
      <c r="AL1800" s="736"/>
      <c r="AM1800" s="736"/>
      <c r="AN1800" s="736"/>
      <c r="AO1800" s="736"/>
      <c r="AP1800" s="736"/>
      <c r="AQ1800" s="736"/>
      <c r="AR1800" s="736"/>
      <c r="AS1800" s="736"/>
      <c r="AT1800" s="736"/>
      <c r="AU1800" s="736"/>
      <c r="AV1800" s="736"/>
      <c r="AW1800" s="736"/>
      <c r="AX1800" s="736"/>
      <c r="AY1800" s="736"/>
      <c r="AZ1800" s="736"/>
      <c r="BA1800" s="736"/>
      <c r="BB1800" s="736"/>
      <c r="BC1800" s="736"/>
      <c r="BD1800" s="736"/>
      <c r="BE1800" s="736"/>
      <c r="BF1800" s="736"/>
      <c r="BG1800" s="736"/>
      <c r="BH1800" s="736"/>
      <c r="BI1800" s="736"/>
      <c r="BJ1800" s="736"/>
      <c r="BK1800" s="736"/>
      <c r="BL1800" s="736"/>
    </row>
    <row r="1801" spans="1:64" ht="18.75" x14ac:dyDescent="0.25">
      <c r="A1801" s="758"/>
      <c r="B1801" s="737"/>
      <c r="C1801" s="730"/>
      <c r="D1801" s="739"/>
      <c r="E1801" s="765"/>
      <c r="F1801" s="765"/>
      <c r="G1801" s="765"/>
      <c r="H1801" s="765"/>
      <c r="I1801" s="746" t="str">
        <f t="shared" si="85"/>
        <v/>
      </c>
      <c r="J1801" s="731"/>
      <c r="K1801" s="731" t="str">
        <f t="shared" si="84"/>
        <v/>
      </c>
      <c r="L1801" s="726"/>
      <c r="M1801" s="726"/>
      <c r="N1801" s="726"/>
      <c r="O1801" s="726"/>
      <c r="P1801" s="726"/>
      <c r="Q1801" s="726"/>
      <c r="R1801" s="726"/>
      <c r="S1801" s="726"/>
      <c r="T1801" s="726"/>
      <c r="U1801" s="726"/>
      <c r="V1801" s="726"/>
      <c r="W1801" s="726"/>
      <c r="X1801" s="726"/>
      <c r="Y1801" s="726"/>
      <c r="Z1801" s="726"/>
      <c r="AA1801" s="732"/>
      <c r="AB1801" s="732"/>
      <c r="AC1801" s="732"/>
      <c r="AD1801" s="732"/>
      <c r="AE1801" s="733"/>
      <c r="AF1801" s="734" t="str">
        <f t="shared" si="86"/>
        <v/>
      </c>
      <c r="AG1801" s="774"/>
      <c r="AH1801" s="778"/>
      <c r="AI1801" s="736"/>
      <c r="AJ1801" s="736"/>
      <c r="AK1801" s="736"/>
      <c r="AL1801" s="736"/>
      <c r="AM1801" s="736"/>
      <c r="AN1801" s="736"/>
      <c r="AO1801" s="736"/>
      <c r="AP1801" s="736"/>
      <c r="AQ1801" s="736"/>
      <c r="AR1801" s="736"/>
      <c r="AS1801" s="736"/>
      <c r="AT1801" s="736"/>
      <c r="AU1801" s="736"/>
      <c r="AV1801" s="736"/>
      <c r="AW1801" s="736"/>
      <c r="AX1801" s="736"/>
      <c r="AY1801" s="736"/>
      <c r="AZ1801" s="736"/>
      <c r="BA1801" s="736"/>
      <c r="BB1801" s="736"/>
      <c r="BC1801" s="736"/>
      <c r="BD1801" s="736"/>
      <c r="BE1801" s="736"/>
      <c r="BF1801" s="736"/>
      <c r="BG1801" s="736"/>
      <c r="BH1801" s="736"/>
      <c r="BI1801" s="736"/>
      <c r="BJ1801" s="736"/>
      <c r="BK1801" s="736"/>
      <c r="BL1801" s="736"/>
    </row>
    <row r="1802" spans="1:64" ht="18.75" x14ac:dyDescent="0.25">
      <c r="A1802" s="758"/>
      <c r="B1802" s="737"/>
      <c r="C1802" s="730"/>
      <c r="D1802" s="739"/>
      <c r="E1802" s="765"/>
      <c r="F1802" s="765"/>
      <c r="G1802" s="765"/>
      <c r="H1802" s="765"/>
      <c r="I1802" s="746" t="str">
        <f t="shared" si="85"/>
        <v/>
      </c>
      <c r="J1802" s="731"/>
      <c r="K1802" s="731" t="str">
        <f t="shared" si="84"/>
        <v/>
      </c>
      <c r="L1802" s="726"/>
      <c r="M1802" s="726"/>
      <c r="N1802" s="726"/>
      <c r="O1802" s="726"/>
      <c r="P1802" s="726"/>
      <c r="Q1802" s="726"/>
      <c r="R1802" s="726"/>
      <c r="S1802" s="726"/>
      <c r="T1802" s="726"/>
      <c r="U1802" s="726"/>
      <c r="V1802" s="726"/>
      <c r="W1802" s="726"/>
      <c r="X1802" s="726"/>
      <c r="Y1802" s="726"/>
      <c r="Z1802" s="726"/>
      <c r="AA1802" s="732"/>
      <c r="AB1802" s="732"/>
      <c r="AC1802" s="732"/>
      <c r="AD1802" s="732"/>
      <c r="AE1802" s="733"/>
      <c r="AF1802" s="734" t="str">
        <f t="shared" si="86"/>
        <v/>
      </c>
      <c r="AG1802" s="774"/>
      <c r="AH1802" s="778"/>
      <c r="AI1802" s="736"/>
      <c r="AJ1802" s="736"/>
      <c r="AK1802" s="736"/>
      <c r="AL1802" s="736"/>
      <c r="AM1802" s="736"/>
      <c r="AN1802" s="736"/>
      <c r="AO1802" s="736"/>
      <c r="AP1802" s="736"/>
      <c r="AQ1802" s="736"/>
      <c r="AR1802" s="736"/>
      <c r="AS1802" s="736"/>
      <c r="AT1802" s="736"/>
      <c r="AU1802" s="736"/>
      <c r="AV1802" s="736"/>
      <c r="AW1802" s="736"/>
      <c r="AX1802" s="736"/>
      <c r="AY1802" s="736"/>
      <c r="AZ1802" s="736"/>
      <c r="BA1802" s="736"/>
      <c r="BB1802" s="736"/>
      <c r="BC1802" s="736"/>
      <c r="BD1802" s="736"/>
      <c r="BE1802" s="736"/>
      <c r="BF1802" s="736"/>
      <c r="BG1802" s="736"/>
      <c r="BH1802" s="736"/>
      <c r="BI1802" s="736"/>
      <c r="BJ1802" s="736"/>
      <c r="BK1802" s="736"/>
      <c r="BL1802" s="736"/>
    </row>
    <row r="1803" spans="1:64" ht="18.75" x14ac:dyDescent="0.25">
      <c r="A1803" s="758"/>
      <c r="B1803" s="737"/>
      <c r="C1803" s="730"/>
      <c r="D1803" s="739"/>
      <c r="E1803" s="765"/>
      <c r="F1803" s="765"/>
      <c r="G1803" s="765"/>
      <c r="H1803" s="765"/>
      <c r="I1803" s="746" t="str">
        <f t="shared" si="85"/>
        <v/>
      </c>
      <c r="J1803" s="731"/>
      <c r="K1803" s="731" t="str">
        <f t="shared" si="84"/>
        <v/>
      </c>
      <c r="L1803" s="726"/>
      <c r="M1803" s="726"/>
      <c r="N1803" s="726"/>
      <c r="O1803" s="726"/>
      <c r="P1803" s="726"/>
      <c r="Q1803" s="726"/>
      <c r="R1803" s="726"/>
      <c r="S1803" s="726"/>
      <c r="T1803" s="726"/>
      <c r="U1803" s="726"/>
      <c r="V1803" s="726"/>
      <c r="W1803" s="726"/>
      <c r="X1803" s="726"/>
      <c r="Y1803" s="726"/>
      <c r="Z1803" s="726"/>
      <c r="AA1803" s="732"/>
      <c r="AB1803" s="732"/>
      <c r="AC1803" s="732"/>
      <c r="AD1803" s="732"/>
      <c r="AE1803" s="733"/>
      <c r="AF1803" s="734" t="str">
        <f t="shared" si="86"/>
        <v/>
      </c>
      <c r="AG1803" s="774"/>
      <c r="AH1803" s="778"/>
      <c r="AI1803" s="736"/>
      <c r="AJ1803" s="736"/>
      <c r="AK1803" s="736"/>
      <c r="AL1803" s="736"/>
      <c r="AM1803" s="736"/>
      <c r="AN1803" s="736"/>
      <c r="AO1803" s="736"/>
      <c r="AP1803" s="736"/>
      <c r="AQ1803" s="736"/>
      <c r="AR1803" s="736"/>
      <c r="AS1803" s="736"/>
      <c r="AT1803" s="736"/>
      <c r="AU1803" s="736"/>
      <c r="AV1803" s="736"/>
      <c r="AW1803" s="736"/>
      <c r="AX1803" s="736"/>
      <c r="AY1803" s="736"/>
      <c r="AZ1803" s="736"/>
      <c r="BA1803" s="736"/>
      <c r="BB1803" s="736"/>
      <c r="BC1803" s="736"/>
      <c r="BD1803" s="736"/>
      <c r="BE1803" s="736"/>
      <c r="BF1803" s="736"/>
      <c r="BG1803" s="736"/>
      <c r="BH1803" s="736"/>
      <c r="BI1803" s="736"/>
      <c r="BJ1803" s="736"/>
      <c r="BK1803" s="736"/>
      <c r="BL1803" s="736"/>
    </row>
    <row r="1804" spans="1:64" ht="18.75" x14ac:dyDescent="0.25">
      <c r="A1804" s="758"/>
      <c r="B1804" s="737"/>
      <c r="C1804" s="730"/>
      <c r="D1804" s="739"/>
      <c r="E1804" s="765"/>
      <c r="F1804" s="765"/>
      <c r="G1804" s="765"/>
      <c r="H1804" s="765"/>
      <c r="I1804" s="746" t="str">
        <f t="shared" si="85"/>
        <v/>
      </c>
      <c r="J1804" s="731"/>
      <c r="K1804" s="731" t="str">
        <f t="shared" si="84"/>
        <v/>
      </c>
      <c r="L1804" s="726"/>
      <c r="M1804" s="726"/>
      <c r="N1804" s="726"/>
      <c r="O1804" s="726"/>
      <c r="P1804" s="726"/>
      <c r="Q1804" s="726"/>
      <c r="R1804" s="726"/>
      <c r="S1804" s="726"/>
      <c r="T1804" s="726"/>
      <c r="U1804" s="726"/>
      <c r="V1804" s="726"/>
      <c r="W1804" s="726"/>
      <c r="X1804" s="726"/>
      <c r="Y1804" s="726"/>
      <c r="Z1804" s="726"/>
      <c r="AA1804" s="732"/>
      <c r="AB1804" s="732"/>
      <c r="AC1804" s="732"/>
      <c r="AD1804" s="732"/>
      <c r="AE1804" s="733"/>
      <c r="AF1804" s="734" t="str">
        <f t="shared" si="86"/>
        <v/>
      </c>
      <c r="AG1804" s="774"/>
      <c r="AH1804" s="778"/>
      <c r="AI1804" s="736"/>
      <c r="AJ1804" s="736"/>
      <c r="AK1804" s="736"/>
      <c r="AL1804" s="736"/>
      <c r="AM1804" s="736"/>
      <c r="AN1804" s="736"/>
      <c r="AO1804" s="736"/>
      <c r="AP1804" s="736"/>
      <c r="AQ1804" s="736"/>
      <c r="AR1804" s="736"/>
      <c r="AS1804" s="736"/>
      <c r="AT1804" s="736"/>
      <c r="AU1804" s="736"/>
      <c r="AV1804" s="736"/>
      <c r="AW1804" s="736"/>
      <c r="AX1804" s="736"/>
      <c r="AY1804" s="736"/>
      <c r="AZ1804" s="736"/>
      <c r="BA1804" s="736"/>
      <c r="BB1804" s="736"/>
      <c r="BC1804" s="736"/>
      <c r="BD1804" s="736"/>
      <c r="BE1804" s="736"/>
      <c r="BF1804" s="736"/>
      <c r="BG1804" s="736"/>
      <c r="BH1804" s="736"/>
      <c r="BI1804" s="736"/>
      <c r="BJ1804" s="736"/>
      <c r="BK1804" s="736"/>
      <c r="BL1804" s="736"/>
    </row>
    <row r="1805" spans="1:64" ht="18.75" x14ac:dyDescent="0.25">
      <c r="A1805" s="758"/>
      <c r="B1805" s="737"/>
      <c r="C1805" s="730"/>
      <c r="D1805" s="739"/>
      <c r="E1805" s="765"/>
      <c r="F1805" s="765"/>
      <c r="G1805" s="765"/>
      <c r="H1805" s="765"/>
      <c r="I1805" s="746" t="str">
        <f t="shared" si="85"/>
        <v/>
      </c>
      <c r="J1805" s="731"/>
      <c r="K1805" s="731" t="str">
        <f t="shared" si="84"/>
        <v/>
      </c>
      <c r="L1805" s="726"/>
      <c r="M1805" s="726"/>
      <c r="N1805" s="726"/>
      <c r="O1805" s="726"/>
      <c r="P1805" s="726"/>
      <c r="Q1805" s="726"/>
      <c r="R1805" s="726"/>
      <c r="S1805" s="726"/>
      <c r="T1805" s="726"/>
      <c r="U1805" s="726"/>
      <c r="V1805" s="726"/>
      <c r="W1805" s="726"/>
      <c r="X1805" s="726"/>
      <c r="Y1805" s="726"/>
      <c r="Z1805" s="726"/>
      <c r="AA1805" s="732"/>
      <c r="AB1805" s="732"/>
      <c r="AC1805" s="732"/>
      <c r="AD1805" s="732"/>
      <c r="AE1805" s="733"/>
      <c r="AF1805" s="734" t="str">
        <f t="shared" si="86"/>
        <v/>
      </c>
      <c r="AG1805" s="773"/>
    </row>
    <row r="1806" spans="1:64" ht="18.75" x14ac:dyDescent="0.25">
      <c r="A1806" s="758"/>
      <c r="B1806" s="737"/>
      <c r="C1806" s="730"/>
      <c r="D1806" s="739"/>
      <c r="E1806" s="765"/>
      <c r="F1806" s="765"/>
      <c r="G1806" s="765"/>
      <c r="H1806" s="765"/>
      <c r="I1806" s="746" t="str">
        <f t="shared" si="85"/>
        <v/>
      </c>
      <c r="J1806" s="731"/>
      <c r="K1806" s="731" t="str">
        <f t="shared" si="84"/>
        <v/>
      </c>
      <c r="L1806" s="726"/>
      <c r="M1806" s="726"/>
      <c r="N1806" s="726"/>
      <c r="O1806" s="726"/>
      <c r="P1806" s="726"/>
      <c r="Q1806" s="726"/>
      <c r="R1806" s="726"/>
      <c r="S1806" s="726"/>
      <c r="T1806" s="726"/>
      <c r="U1806" s="726"/>
      <c r="V1806" s="726"/>
      <c r="W1806" s="726"/>
      <c r="X1806" s="726"/>
      <c r="Y1806" s="726"/>
      <c r="Z1806" s="726"/>
      <c r="AA1806" s="732"/>
      <c r="AB1806" s="732"/>
      <c r="AC1806" s="732"/>
      <c r="AD1806" s="732"/>
      <c r="AE1806" s="733"/>
      <c r="AF1806" s="734" t="str">
        <f t="shared" si="86"/>
        <v/>
      </c>
      <c r="AG1806" s="774"/>
      <c r="AH1806" s="778"/>
      <c r="AI1806" s="736"/>
      <c r="AJ1806" s="736"/>
      <c r="AK1806" s="736"/>
      <c r="AL1806" s="736"/>
      <c r="AM1806" s="736"/>
      <c r="AN1806" s="736"/>
      <c r="AO1806" s="736"/>
      <c r="AP1806" s="736"/>
      <c r="AQ1806" s="736"/>
      <c r="AR1806" s="736"/>
      <c r="AS1806" s="736"/>
      <c r="AT1806" s="736"/>
      <c r="AU1806" s="736"/>
      <c r="AV1806" s="736"/>
      <c r="AW1806" s="736"/>
      <c r="AX1806" s="736"/>
      <c r="AY1806" s="736"/>
      <c r="AZ1806" s="736"/>
      <c r="BA1806" s="736"/>
      <c r="BB1806" s="736"/>
      <c r="BC1806" s="736"/>
      <c r="BD1806" s="736"/>
      <c r="BE1806" s="736"/>
      <c r="BF1806" s="736"/>
      <c r="BG1806" s="736"/>
      <c r="BH1806" s="736"/>
      <c r="BI1806" s="736"/>
      <c r="BJ1806" s="736"/>
      <c r="BK1806" s="736"/>
      <c r="BL1806" s="736"/>
    </row>
    <row r="1807" spans="1:64" ht="18.75" x14ac:dyDescent="0.25">
      <c r="A1807" s="758"/>
      <c r="B1807" s="737"/>
      <c r="C1807" s="730"/>
      <c r="D1807" s="739"/>
      <c r="E1807" s="765"/>
      <c r="F1807" s="765"/>
      <c r="G1807" s="765"/>
      <c r="H1807" s="765"/>
      <c r="I1807" s="746" t="str">
        <f t="shared" si="85"/>
        <v/>
      </c>
      <c r="J1807" s="731"/>
      <c r="K1807" s="731" t="str">
        <f t="shared" si="84"/>
        <v/>
      </c>
      <c r="L1807" s="726"/>
      <c r="M1807" s="726"/>
      <c r="N1807" s="726"/>
      <c r="O1807" s="726"/>
      <c r="P1807" s="726"/>
      <c r="Q1807" s="726"/>
      <c r="R1807" s="726"/>
      <c r="S1807" s="726"/>
      <c r="T1807" s="726"/>
      <c r="U1807" s="726"/>
      <c r="V1807" s="726"/>
      <c r="W1807" s="726"/>
      <c r="X1807" s="726"/>
      <c r="Y1807" s="726"/>
      <c r="Z1807" s="726"/>
      <c r="AA1807" s="732"/>
      <c r="AB1807" s="732"/>
      <c r="AC1807" s="732"/>
      <c r="AD1807" s="732"/>
      <c r="AE1807" s="733"/>
      <c r="AF1807" s="734" t="str">
        <f t="shared" si="86"/>
        <v/>
      </c>
      <c r="AG1807" s="773"/>
    </row>
    <row r="1808" spans="1:64" ht="18.75" x14ac:dyDescent="0.25">
      <c r="A1808" s="758"/>
      <c r="B1808" s="737"/>
      <c r="C1808" s="730"/>
      <c r="D1808" s="739"/>
      <c r="E1808" s="765"/>
      <c r="F1808" s="765"/>
      <c r="G1808" s="765"/>
      <c r="H1808" s="765"/>
      <c r="I1808" s="746" t="str">
        <f t="shared" si="85"/>
        <v/>
      </c>
      <c r="J1808" s="731"/>
      <c r="K1808" s="731" t="str">
        <f t="shared" si="84"/>
        <v/>
      </c>
      <c r="L1808" s="726"/>
      <c r="M1808" s="726"/>
      <c r="N1808" s="726"/>
      <c r="O1808" s="726"/>
      <c r="P1808" s="726"/>
      <c r="Q1808" s="726"/>
      <c r="R1808" s="726"/>
      <c r="S1808" s="726"/>
      <c r="T1808" s="726"/>
      <c r="U1808" s="726"/>
      <c r="V1808" s="726"/>
      <c r="W1808" s="726"/>
      <c r="X1808" s="726"/>
      <c r="Y1808" s="726"/>
      <c r="Z1808" s="726"/>
      <c r="AA1808" s="732"/>
      <c r="AB1808" s="732"/>
      <c r="AC1808" s="732"/>
      <c r="AD1808" s="732"/>
      <c r="AE1808" s="733"/>
      <c r="AF1808" s="734" t="str">
        <f t="shared" si="86"/>
        <v/>
      </c>
      <c r="AG1808" s="773"/>
    </row>
    <row r="1809" spans="1:64" ht="18.75" x14ac:dyDescent="0.25">
      <c r="A1809" s="758"/>
      <c r="B1809" s="737"/>
      <c r="C1809" s="730"/>
      <c r="D1809" s="739"/>
      <c r="E1809" s="765"/>
      <c r="F1809" s="765"/>
      <c r="G1809" s="765"/>
      <c r="H1809" s="765"/>
      <c r="I1809" s="746" t="str">
        <f t="shared" si="85"/>
        <v/>
      </c>
      <c r="J1809" s="731"/>
      <c r="K1809" s="731" t="str">
        <f t="shared" si="84"/>
        <v/>
      </c>
      <c r="L1809" s="726"/>
      <c r="M1809" s="726"/>
      <c r="N1809" s="726"/>
      <c r="O1809" s="726"/>
      <c r="P1809" s="726"/>
      <c r="Q1809" s="726"/>
      <c r="R1809" s="726"/>
      <c r="S1809" s="726"/>
      <c r="T1809" s="726"/>
      <c r="U1809" s="726"/>
      <c r="V1809" s="726"/>
      <c r="W1809" s="726"/>
      <c r="X1809" s="726"/>
      <c r="Y1809" s="726"/>
      <c r="Z1809" s="726"/>
      <c r="AA1809" s="732"/>
      <c r="AB1809" s="732"/>
      <c r="AC1809" s="732"/>
      <c r="AD1809" s="732"/>
      <c r="AE1809" s="733"/>
      <c r="AF1809" s="734" t="str">
        <f t="shared" si="86"/>
        <v/>
      </c>
      <c r="AG1809" s="774"/>
      <c r="AH1809" s="778"/>
      <c r="AI1809" s="736"/>
      <c r="AJ1809" s="736"/>
      <c r="AK1809" s="736"/>
      <c r="AL1809" s="736"/>
      <c r="AM1809" s="736"/>
      <c r="AN1809" s="736"/>
      <c r="AO1809" s="736"/>
      <c r="AP1809" s="736"/>
      <c r="AQ1809" s="736"/>
      <c r="AR1809" s="736"/>
      <c r="AS1809" s="736"/>
      <c r="AT1809" s="736"/>
      <c r="AU1809" s="736"/>
      <c r="AV1809" s="736"/>
      <c r="AW1809" s="736"/>
      <c r="AX1809" s="736"/>
      <c r="AY1809" s="736"/>
      <c r="AZ1809" s="736"/>
      <c r="BA1809" s="736"/>
      <c r="BB1809" s="736"/>
      <c r="BC1809" s="736"/>
      <c r="BD1809" s="736"/>
      <c r="BE1809" s="736"/>
      <c r="BF1809" s="736"/>
      <c r="BG1809" s="736"/>
      <c r="BH1809" s="736"/>
      <c r="BI1809" s="736"/>
      <c r="BJ1809" s="736"/>
      <c r="BK1809" s="736"/>
      <c r="BL1809" s="736"/>
    </row>
    <row r="1810" spans="1:64" ht="18.75" x14ac:dyDescent="0.25">
      <c r="A1810" s="758"/>
      <c r="B1810" s="737"/>
      <c r="C1810" s="730"/>
      <c r="D1810" s="739"/>
      <c r="E1810" s="765"/>
      <c r="F1810" s="765"/>
      <c r="G1810" s="765"/>
      <c r="H1810" s="765"/>
      <c r="I1810" s="746" t="str">
        <f t="shared" si="85"/>
        <v/>
      </c>
      <c r="J1810" s="731"/>
      <c r="K1810" s="731" t="str">
        <f t="shared" si="84"/>
        <v/>
      </c>
      <c r="L1810" s="726"/>
      <c r="M1810" s="726"/>
      <c r="N1810" s="726"/>
      <c r="O1810" s="726"/>
      <c r="P1810" s="726"/>
      <c r="Q1810" s="726"/>
      <c r="R1810" s="726"/>
      <c r="S1810" s="726"/>
      <c r="T1810" s="726"/>
      <c r="U1810" s="726"/>
      <c r="V1810" s="726"/>
      <c r="W1810" s="726"/>
      <c r="X1810" s="726"/>
      <c r="Y1810" s="726"/>
      <c r="Z1810" s="726"/>
      <c r="AA1810" s="732"/>
      <c r="AB1810" s="732"/>
      <c r="AC1810" s="732"/>
      <c r="AD1810" s="732"/>
      <c r="AE1810" s="733"/>
      <c r="AF1810" s="734" t="str">
        <f t="shared" si="86"/>
        <v/>
      </c>
      <c r="AG1810" s="774"/>
      <c r="AH1810" s="778"/>
      <c r="AI1810" s="736"/>
      <c r="AJ1810" s="736"/>
      <c r="AK1810" s="736"/>
      <c r="AL1810" s="736"/>
      <c r="AM1810" s="736"/>
      <c r="AN1810" s="736"/>
      <c r="AO1810" s="736"/>
      <c r="AP1810" s="736"/>
      <c r="AQ1810" s="736"/>
      <c r="AR1810" s="736"/>
      <c r="AS1810" s="736"/>
      <c r="AT1810" s="736"/>
      <c r="AU1810" s="736"/>
      <c r="AV1810" s="736"/>
      <c r="AW1810" s="736"/>
      <c r="AX1810" s="736"/>
      <c r="AY1810" s="736"/>
      <c r="AZ1810" s="736"/>
      <c r="BA1810" s="736"/>
      <c r="BB1810" s="736"/>
      <c r="BC1810" s="736"/>
      <c r="BD1810" s="736"/>
      <c r="BE1810" s="736"/>
      <c r="BF1810" s="736"/>
      <c r="BG1810" s="736"/>
      <c r="BH1810" s="736"/>
      <c r="BI1810" s="736"/>
      <c r="BJ1810" s="736"/>
      <c r="BK1810" s="736"/>
      <c r="BL1810" s="736"/>
    </row>
    <row r="1811" spans="1:64" ht="18.75" x14ac:dyDescent="0.25">
      <c r="A1811" s="758"/>
      <c r="B1811" s="737"/>
      <c r="C1811" s="730"/>
      <c r="D1811" s="739"/>
      <c r="E1811" s="765"/>
      <c r="F1811" s="765"/>
      <c r="G1811" s="765"/>
      <c r="H1811" s="765"/>
      <c r="I1811" s="746" t="str">
        <f t="shared" si="85"/>
        <v/>
      </c>
      <c r="J1811" s="731"/>
      <c r="K1811" s="731" t="str">
        <f t="shared" si="84"/>
        <v/>
      </c>
      <c r="L1811" s="726"/>
      <c r="M1811" s="726"/>
      <c r="N1811" s="726"/>
      <c r="O1811" s="726"/>
      <c r="P1811" s="726"/>
      <c r="Q1811" s="726"/>
      <c r="R1811" s="726"/>
      <c r="S1811" s="726"/>
      <c r="T1811" s="726"/>
      <c r="U1811" s="726"/>
      <c r="V1811" s="726"/>
      <c r="W1811" s="726"/>
      <c r="X1811" s="726"/>
      <c r="Y1811" s="726"/>
      <c r="Z1811" s="726"/>
      <c r="AA1811" s="732"/>
      <c r="AB1811" s="732"/>
      <c r="AC1811" s="732"/>
      <c r="AD1811" s="732"/>
      <c r="AE1811" s="733"/>
      <c r="AF1811" s="734" t="str">
        <f t="shared" si="86"/>
        <v/>
      </c>
      <c r="AG1811" s="774"/>
      <c r="AH1811" s="778"/>
      <c r="AI1811" s="736"/>
      <c r="AJ1811" s="736"/>
      <c r="AK1811" s="736"/>
      <c r="AL1811" s="736"/>
      <c r="AM1811" s="736"/>
      <c r="AN1811" s="736"/>
      <c r="AO1811" s="736"/>
      <c r="AP1811" s="736"/>
      <c r="AQ1811" s="736"/>
      <c r="AR1811" s="736"/>
      <c r="AS1811" s="736"/>
      <c r="AT1811" s="736"/>
      <c r="AU1811" s="736"/>
      <c r="AV1811" s="736"/>
      <c r="AW1811" s="736"/>
      <c r="AX1811" s="736"/>
      <c r="AY1811" s="736"/>
      <c r="AZ1811" s="736"/>
      <c r="BA1811" s="736"/>
      <c r="BB1811" s="736"/>
      <c r="BC1811" s="736"/>
      <c r="BD1811" s="736"/>
      <c r="BE1811" s="736"/>
      <c r="BF1811" s="736"/>
      <c r="BG1811" s="736"/>
      <c r="BH1811" s="736"/>
      <c r="BI1811" s="736"/>
      <c r="BJ1811" s="736"/>
      <c r="BK1811" s="736"/>
      <c r="BL1811" s="736"/>
    </row>
    <row r="1812" spans="1:64" ht="18.75" x14ac:dyDescent="0.25">
      <c r="A1812" s="758"/>
      <c r="B1812" s="737"/>
      <c r="C1812" s="730"/>
      <c r="D1812" s="739"/>
      <c r="E1812" s="765"/>
      <c r="F1812" s="765"/>
      <c r="G1812" s="765"/>
      <c r="H1812" s="765"/>
      <c r="I1812" s="746" t="str">
        <f t="shared" si="85"/>
        <v/>
      </c>
      <c r="J1812" s="731"/>
      <c r="K1812" s="731" t="str">
        <f t="shared" si="84"/>
        <v/>
      </c>
      <c r="L1812" s="726"/>
      <c r="M1812" s="726"/>
      <c r="N1812" s="726"/>
      <c r="O1812" s="726"/>
      <c r="P1812" s="726"/>
      <c r="Q1812" s="726"/>
      <c r="R1812" s="726"/>
      <c r="S1812" s="726"/>
      <c r="T1812" s="726"/>
      <c r="U1812" s="726"/>
      <c r="V1812" s="726"/>
      <c r="W1812" s="726"/>
      <c r="X1812" s="726"/>
      <c r="Y1812" s="726"/>
      <c r="Z1812" s="726"/>
      <c r="AA1812" s="732"/>
      <c r="AB1812" s="732"/>
      <c r="AC1812" s="732"/>
      <c r="AD1812" s="732"/>
      <c r="AE1812" s="733"/>
      <c r="AF1812" s="734" t="str">
        <f t="shared" si="86"/>
        <v/>
      </c>
      <c r="AG1812" s="773"/>
    </row>
    <row r="1813" spans="1:64" ht="18.75" x14ac:dyDescent="0.25">
      <c r="A1813" s="758"/>
      <c r="B1813" s="737"/>
      <c r="C1813" s="730"/>
      <c r="D1813" s="739"/>
      <c r="E1813" s="765"/>
      <c r="F1813" s="765"/>
      <c r="G1813" s="765"/>
      <c r="H1813" s="765"/>
      <c r="I1813" s="746" t="str">
        <f t="shared" si="85"/>
        <v/>
      </c>
      <c r="J1813" s="731"/>
      <c r="K1813" s="731" t="str">
        <f t="shared" si="84"/>
        <v/>
      </c>
      <c r="L1813" s="726"/>
      <c r="M1813" s="726"/>
      <c r="N1813" s="726"/>
      <c r="O1813" s="726"/>
      <c r="P1813" s="726"/>
      <c r="Q1813" s="726"/>
      <c r="R1813" s="726"/>
      <c r="S1813" s="726"/>
      <c r="T1813" s="726"/>
      <c r="U1813" s="726"/>
      <c r="V1813" s="726"/>
      <c r="W1813" s="726"/>
      <c r="X1813" s="726"/>
      <c r="Y1813" s="726"/>
      <c r="Z1813" s="726"/>
      <c r="AA1813" s="732"/>
      <c r="AB1813" s="732"/>
      <c r="AC1813" s="732"/>
      <c r="AD1813" s="732"/>
      <c r="AE1813" s="733"/>
      <c r="AF1813" s="734" t="str">
        <f t="shared" si="86"/>
        <v/>
      </c>
      <c r="AG1813" s="773"/>
    </row>
    <row r="1814" spans="1:64" ht="18.75" x14ac:dyDescent="0.25">
      <c r="A1814" s="758"/>
      <c r="B1814" s="737"/>
      <c r="C1814" s="730"/>
      <c r="D1814" s="739"/>
      <c r="E1814" s="765"/>
      <c r="F1814" s="765"/>
      <c r="G1814" s="765"/>
      <c r="H1814" s="765"/>
      <c r="I1814" s="746" t="str">
        <f t="shared" si="85"/>
        <v/>
      </c>
      <c r="J1814" s="731"/>
      <c r="K1814" s="731" t="str">
        <f t="shared" si="84"/>
        <v/>
      </c>
      <c r="L1814" s="726"/>
      <c r="M1814" s="726"/>
      <c r="N1814" s="726"/>
      <c r="O1814" s="726"/>
      <c r="P1814" s="726"/>
      <c r="Q1814" s="726"/>
      <c r="R1814" s="726"/>
      <c r="S1814" s="726"/>
      <c r="T1814" s="726"/>
      <c r="U1814" s="726"/>
      <c r="V1814" s="726"/>
      <c r="W1814" s="726"/>
      <c r="X1814" s="726"/>
      <c r="Y1814" s="726"/>
      <c r="Z1814" s="726"/>
      <c r="AA1814" s="732"/>
      <c r="AB1814" s="732"/>
      <c r="AC1814" s="732"/>
      <c r="AD1814" s="732"/>
      <c r="AE1814" s="733"/>
      <c r="AF1814" s="734" t="str">
        <f t="shared" si="86"/>
        <v/>
      </c>
      <c r="AG1814" s="773"/>
    </row>
    <row r="1815" spans="1:64" ht="18.75" x14ac:dyDescent="0.25">
      <c r="A1815" s="758"/>
      <c r="B1815" s="737"/>
      <c r="C1815" s="730"/>
      <c r="D1815" s="739"/>
      <c r="E1815" s="765"/>
      <c r="F1815" s="765"/>
      <c r="G1815" s="765"/>
      <c r="H1815" s="765"/>
      <c r="I1815" s="746" t="str">
        <f t="shared" si="85"/>
        <v/>
      </c>
      <c r="J1815" s="731"/>
      <c r="K1815" s="731" t="str">
        <f t="shared" si="84"/>
        <v/>
      </c>
      <c r="L1815" s="726"/>
      <c r="M1815" s="726"/>
      <c r="N1815" s="726"/>
      <c r="O1815" s="726"/>
      <c r="P1815" s="726"/>
      <c r="Q1815" s="726"/>
      <c r="R1815" s="726"/>
      <c r="S1815" s="726"/>
      <c r="T1815" s="726"/>
      <c r="U1815" s="726"/>
      <c r="V1815" s="726"/>
      <c r="W1815" s="726"/>
      <c r="X1815" s="726"/>
      <c r="Y1815" s="726"/>
      <c r="Z1815" s="726"/>
      <c r="AA1815" s="732"/>
      <c r="AB1815" s="732"/>
      <c r="AC1815" s="732"/>
      <c r="AD1815" s="732"/>
      <c r="AE1815" s="733"/>
      <c r="AF1815" s="734" t="str">
        <f t="shared" si="86"/>
        <v/>
      </c>
      <c r="AG1815" s="774"/>
      <c r="AH1815" s="778"/>
      <c r="AI1815" s="736"/>
      <c r="AJ1815" s="736"/>
      <c r="AK1815" s="736"/>
      <c r="AL1815" s="736"/>
      <c r="AM1815" s="736"/>
      <c r="AN1815" s="736"/>
      <c r="AO1815" s="736"/>
      <c r="AP1815" s="736"/>
      <c r="AQ1815" s="736"/>
      <c r="AR1815" s="736"/>
      <c r="AS1815" s="736"/>
      <c r="AT1815" s="736"/>
      <c r="AU1815" s="736"/>
      <c r="AV1815" s="736"/>
      <c r="AW1815" s="736"/>
      <c r="AX1815" s="736"/>
      <c r="AY1815" s="736"/>
      <c r="AZ1815" s="736"/>
      <c r="BA1815" s="736"/>
      <c r="BB1815" s="736"/>
      <c r="BC1815" s="736"/>
      <c r="BD1815" s="736"/>
      <c r="BE1815" s="736"/>
      <c r="BF1815" s="736"/>
      <c r="BG1815" s="736"/>
      <c r="BH1815" s="736"/>
      <c r="BI1815" s="736"/>
      <c r="BJ1815" s="736"/>
      <c r="BK1815" s="736"/>
      <c r="BL1815" s="736"/>
    </row>
    <row r="1816" spans="1:64" ht="18.75" x14ac:dyDescent="0.25">
      <c r="A1816" s="758"/>
      <c r="B1816" s="737"/>
      <c r="C1816" s="730"/>
      <c r="D1816" s="739"/>
      <c r="E1816" s="765"/>
      <c r="F1816" s="765"/>
      <c r="G1816" s="765"/>
      <c r="H1816" s="765"/>
      <c r="I1816" s="746" t="str">
        <f t="shared" si="85"/>
        <v/>
      </c>
      <c r="J1816" s="731"/>
      <c r="K1816" s="731" t="str">
        <f t="shared" si="84"/>
        <v/>
      </c>
      <c r="L1816" s="726"/>
      <c r="M1816" s="726"/>
      <c r="N1816" s="726"/>
      <c r="O1816" s="726"/>
      <c r="P1816" s="726"/>
      <c r="Q1816" s="726"/>
      <c r="R1816" s="726"/>
      <c r="S1816" s="726"/>
      <c r="T1816" s="726"/>
      <c r="U1816" s="726"/>
      <c r="V1816" s="726"/>
      <c r="W1816" s="726"/>
      <c r="X1816" s="726"/>
      <c r="Y1816" s="726"/>
      <c r="Z1816" s="726"/>
      <c r="AA1816" s="732"/>
      <c r="AB1816" s="732"/>
      <c r="AC1816" s="732"/>
      <c r="AD1816" s="732"/>
      <c r="AE1816" s="733"/>
      <c r="AF1816" s="734" t="str">
        <f t="shared" si="86"/>
        <v/>
      </c>
      <c r="AG1816" s="773"/>
    </row>
    <row r="1817" spans="1:64" ht="18.75" x14ac:dyDescent="0.25">
      <c r="A1817" s="758"/>
      <c r="B1817" s="737"/>
      <c r="C1817" s="730"/>
      <c r="D1817" s="739"/>
      <c r="E1817" s="765"/>
      <c r="F1817" s="765"/>
      <c r="G1817" s="765"/>
      <c r="H1817" s="765"/>
      <c r="I1817" s="746" t="str">
        <f t="shared" si="85"/>
        <v/>
      </c>
      <c r="J1817" s="731"/>
      <c r="K1817" s="731" t="str">
        <f t="shared" si="84"/>
        <v/>
      </c>
      <c r="L1817" s="726"/>
      <c r="M1817" s="726"/>
      <c r="N1817" s="726"/>
      <c r="O1817" s="726"/>
      <c r="P1817" s="726"/>
      <c r="Q1817" s="726"/>
      <c r="R1817" s="726"/>
      <c r="S1817" s="726"/>
      <c r="T1817" s="726"/>
      <c r="U1817" s="726"/>
      <c r="V1817" s="726"/>
      <c r="W1817" s="726"/>
      <c r="X1817" s="726"/>
      <c r="Y1817" s="726"/>
      <c r="Z1817" s="726"/>
      <c r="AA1817" s="732"/>
      <c r="AB1817" s="732"/>
      <c r="AC1817" s="732"/>
      <c r="AD1817" s="732"/>
      <c r="AE1817" s="733"/>
      <c r="AF1817" s="734" t="str">
        <f t="shared" si="86"/>
        <v/>
      </c>
      <c r="AG1817" s="773"/>
    </row>
    <row r="1818" spans="1:64" ht="18.75" x14ac:dyDescent="0.25">
      <c r="A1818" s="758"/>
      <c r="B1818" s="737"/>
      <c r="C1818" s="730"/>
      <c r="D1818" s="739"/>
      <c r="E1818" s="765"/>
      <c r="F1818" s="765"/>
      <c r="G1818" s="765"/>
      <c r="H1818" s="765"/>
      <c r="I1818" s="746" t="str">
        <f t="shared" si="85"/>
        <v/>
      </c>
      <c r="J1818" s="731"/>
      <c r="K1818" s="731" t="str">
        <f t="shared" si="84"/>
        <v/>
      </c>
      <c r="L1818" s="726"/>
      <c r="M1818" s="726"/>
      <c r="N1818" s="726"/>
      <c r="O1818" s="726"/>
      <c r="P1818" s="726"/>
      <c r="Q1818" s="726"/>
      <c r="R1818" s="726"/>
      <c r="S1818" s="726"/>
      <c r="T1818" s="726"/>
      <c r="U1818" s="726"/>
      <c r="V1818" s="726"/>
      <c r="W1818" s="726"/>
      <c r="X1818" s="726"/>
      <c r="Y1818" s="726"/>
      <c r="Z1818" s="726"/>
      <c r="AA1818" s="732"/>
      <c r="AB1818" s="732"/>
      <c r="AC1818" s="732"/>
      <c r="AD1818" s="732"/>
      <c r="AE1818" s="733"/>
      <c r="AF1818" s="734" t="str">
        <f t="shared" si="86"/>
        <v/>
      </c>
      <c r="AG1818" s="773"/>
    </row>
    <row r="1819" spans="1:64" ht="18.75" x14ac:dyDescent="0.25">
      <c r="A1819" s="758"/>
      <c r="B1819" s="737"/>
      <c r="C1819" s="730"/>
      <c r="D1819" s="739"/>
      <c r="E1819" s="765"/>
      <c r="F1819" s="765"/>
      <c r="G1819" s="765"/>
      <c r="H1819" s="765"/>
      <c r="I1819" s="746" t="str">
        <f t="shared" si="85"/>
        <v/>
      </c>
      <c r="J1819" s="731"/>
      <c r="K1819" s="731" t="str">
        <f t="shared" si="84"/>
        <v/>
      </c>
      <c r="L1819" s="726"/>
      <c r="M1819" s="726"/>
      <c r="N1819" s="726"/>
      <c r="O1819" s="726"/>
      <c r="P1819" s="726"/>
      <c r="Q1819" s="726"/>
      <c r="R1819" s="726"/>
      <c r="S1819" s="726"/>
      <c r="T1819" s="726"/>
      <c r="U1819" s="726"/>
      <c r="V1819" s="726"/>
      <c r="W1819" s="726"/>
      <c r="X1819" s="726"/>
      <c r="Y1819" s="726"/>
      <c r="Z1819" s="726"/>
      <c r="AA1819" s="732"/>
      <c r="AB1819" s="732"/>
      <c r="AC1819" s="732"/>
      <c r="AD1819" s="732"/>
      <c r="AE1819" s="733"/>
      <c r="AF1819" s="734" t="str">
        <f t="shared" si="86"/>
        <v/>
      </c>
      <c r="AG1819" s="773"/>
    </row>
    <row r="1820" spans="1:64" ht="18.75" x14ac:dyDescent="0.25">
      <c r="A1820" s="758"/>
      <c r="B1820" s="737"/>
      <c r="C1820" s="730"/>
      <c r="D1820" s="739"/>
      <c r="E1820" s="765"/>
      <c r="F1820" s="765"/>
      <c r="G1820" s="765"/>
      <c r="H1820" s="765"/>
      <c r="I1820" s="746" t="str">
        <f t="shared" si="85"/>
        <v/>
      </c>
      <c r="J1820" s="731"/>
      <c r="K1820" s="731" t="str">
        <f t="shared" si="84"/>
        <v/>
      </c>
      <c r="L1820" s="726"/>
      <c r="M1820" s="726"/>
      <c r="N1820" s="726"/>
      <c r="O1820" s="726"/>
      <c r="P1820" s="726"/>
      <c r="Q1820" s="726"/>
      <c r="R1820" s="726"/>
      <c r="S1820" s="726"/>
      <c r="T1820" s="726"/>
      <c r="U1820" s="726"/>
      <c r="V1820" s="726"/>
      <c r="W1820" s="726"/>
      <c r="X1820" s="726"/>
      <c r="Y1820" s="726"/>
      <c r="Z1820" s="726"/>
      <c r="AA1820" s="732"/>
      <c r="AB1820" s="732"/>
      <c r="AC1820" s="732"/>
      <c r="AD1820" s="732"/>
      <c r="AE1820" s="733"/>
      <c r="AF1820" s="734" t="str">
        <f t="shared" si="86"/>
        <v/>
      </c>
      <c r="AG1820" s="773"/>
    </row>
    <row r="1821" spans="1:64" ht="18.75" x14ac:dyDescent="0.25">
      <c r="A1821" s="758"/>
      <c r="B1821" s="737"/>
      <c r="C1821" s="730"/>
      <c r="D1821" s="739"/>
      <c r="E1821" s="765"/>
      <c r="F1821" s="765"/>
      <c r="G1821" s="765"/>
      <c r="H1821" s="765"/>
      <c r="I1821" s="746" t="str">
        <f t="shared" si="85"/>
        <v/>
      </c>
      <c r="J1821" s="731"/>
      <c r="K1821" s="731" t="str">
        <f t="shared" si="84"/>
        <v/>
      </c>
      <c r="L1821" s="726"/>
      <c r="M1821" s="726"/>
      <c r="N1821" s="726"/>
      <c r="O1821" s="726"/>
      <c r="P1821" s="726"/>
      <c r="Q1821" s="726"/>
      <c r="R1821" s="726"/>
      <c r="S1821" s="726"/>
      <c r="T1821" s="726"/>
      <c r="U1821" s="726"/>
      <c r="V1821" s="726"/>
      <c r="W1821" s="726"/>
      <c r="X1821" s="726"/>
      <c r="Y1821" s="726"/>
      <c r="Z1821" s="726"/>
      <c r="AA1821" s="732"/>
      <c r="AB1821" s="732"/>
      <c r="AC1821" s="732"/>
      <c r="AD1821" s="732"/>
      <c r="AE1821" s="733"/>
      <c r="AF1821" s="734" t="str">
        <f t="shared" si="86"/>
        <v/>
      </c>
      <c r="AG1821" s="773"/>
    </row>
    <row r="1822" spans="1:64" ht="18.75" x14ac:dyDescent="0.25">
      <c r="A1822" s="758"/>
      <c r="B1822" s="737"/>
      <c r="C1822" s="730"/>
      <c r="D1822" s="739"/>
      <c r="E1822" s="765"/>
      <c r="F1822" s="765"/>
      <c r="G1822" s="765"/>
      <c r="H1822" s="765"/>
      <c r="I1822" s="746" t="str">
        <f t="shared" si="85"/>
        <v/>
      </c>
      <c r="J1822" s="731"/>
      <c r="K1822" s="731" t="str">
        <f t="shared" si="84"/>
        <v/>
      </c>
      <c r="L1822" s="726"/>
      <c r="M1822" s="726"/>
      <c r="N1822" s="726"/>
      <c r="O1822" s="726"/>
      <c r="P1822" s="726"/>
      <c r="Q1822" s="726"/>
      <c r="R1822" s="726"/>
      <c r="S1822" s="726"/>
      <c r="T1822" s="726"/>
      <c r="U1822" s="726"/>
      <c r="V1822" s="726"/>
      <c r="W1822" s="726"/>
      <c r="X1822" s="726"/>
      <c r="Y1822" s="726"/>
      <c r="Z1822" s="726"/>
      <c r="AA1822" s="732"/>
      <c r="AB1822" s="732"/>
      <c r="AC1822" s="732"/>
      <c r="AD1822" s="732"/>
      <c r="AE1822" s="733"/>
      <c r="AF1822" s="734" t="str">
        <f t="shared" si="86"/>
        <v/>
      </c>
      <c r="AG1822" s="773"/>
    </row>
    <row r="1823" spans="1:64" ht="18.75" x14ac:dyDescent="0.25">
      <c r="A1823" s="758"/>
      <c r="B1823" s="737"/>
      <c r="C1823" s="730"/>
      <c r="D1823" s="739"/>
      <c r="E1823" s="765"/>
      <c r="F1823" s="765"/>
      <c r="G1823" s="765"/>
      <c r="H1823" s="765"/>
      <c r="I1823" s="746" t="str">
        <f t="shared" si="85"/>
        <v/>
      </c>
      <c r="J1823" s="731"/>
      <c r="K1823" s="731" t="str">
        <f t="shared" si="84"/>
        <v/>
      </c>
      <c r="L1823" s="726"/>
      <c r="M1823" s="726"/>
      <c r="N1823" s="726"/>
      <c r="O1823" s="726"/>
      <c r="P1823" s="726"/>
      <c r="Q1823" s="726"/>
      <c r="R1823" s="726"/>
      <c r="S1823" s="726"/>
      <c r="T1823" s="726"/>
      <c r="U1823" s="726"/>
      <c r="V1823" s="726"/>
      <c r="W1823" s="726"/>
      <c r="X1823" s="726"/>
      <c r="Y1823" s="726"/>
      <c r="Z1823" s="726"/>
      <c r="AA1823" s="732"/>
      <c r="AB1823" s="732"/>
      <c r="AC1823" s="732"/>
      <c r="AD1823" s="732"/>
      <c r="AE1823" s="733"/>
      <c r="AF1823" s="734" t="str">
        <f t="shared" si="86"/>
        <v/>
      </c>
      <c r="AG1823" s="773"/>
    </row>
    <row r="1824" spans="1:64" ht="18.75" x14ac:dyDescent="0.25">
      <c r="A1824" s="758"/>
      <c r="B1824" s="737"/>
      <c r="C1824" s="730"/>
      <c r="D1824" s="739"/>
      <c r="E1824" s="765"/>
      <c r="F1824" s="765"/>
      <c r="G1824" s="765"/>
      <c r="H1824" s="765"/>
      <c r="I1824" s="746" t="str">
        <f t="shared" si="85"/>
        <v/>
      </c>
      <c r="J1824" s="731"/>
      <c r="K1824" s="731" t="str">
        <f t="shared" si="84"/>
        <v/>
      </c>
      <c r="L1824" s="726"/>
      <c r="M1824" s="726"/>
      <c r="N1824" s="726"/>
      <c r="O1824" s="726"/>
      <c r="P1824" s="726"/>
      <c r="Q1824" s="726"/>
      <c r="R1824" s="726"/>
      <c r="S1824" s="726"/>
      <c r="T1824" s="726"/>
      <c r="U1824" s="726"/>
      <c r="V1824" s="726"/>
      <c r="W1824" s="726"/>
      <c r="X1824" s="726"/>
      <c r="Y1824" s="726"/>
      <c r="Z1824" s="726"/>
      <c r="AA1824" s="732"/>
      <c r="AB1824" s="732"/>
      <c r="AC1824" s="732"/>
      <c r="AD1824" s="732"/>
      <c r="AE1824" s="733"/>
      <c r="AF1824" s="734" t="str">
        <f t="shared" si="86"/>
        <v/>
      </c>
      <c r="AG1824" s="773"/>
    </row>
    <row r="1825" spans="1:64" ht="18.75" x14ac:dyDescent="0.25">
      <c r="A1825" s="758"/>
      <c r="B1825" s="737"/>
      <c r="C1825" s="730"/>
      <c r="D1825" s="739"/>
      <c r="E1825" s="765"/>
      <c r="F1825" s="765"/>
      <c r="G1825" s="765"/>
      <c r="H1825" s="765"/>
      <c r="I1825" s="746" t="str">
        <f t="shared" si="85"/>
        <v/>
      </c>
      <c r="J1825" s="731"/>
      <c r="K1825" s="731" t="str">
        <f t="shared" si="84"/>
        <v/>
      </c>
      <c r="L1825" s="726"/>
      <c r="M1825" s="726"/>
      <c r="N1825" s="726"/>
      <c r="O1825" s="726"/>
      <c r="P1825" s="726"/>
      <c r="Q1825" s="726"/>
      <c r="R1825" s="726"/>
      <c r="S1825" s="726"/>
      <c r="T1825" s="726"/>
      <c r="U1825" s="726"/>
      <c r="V1825" s="726"/>
      <c r="W1825" s="726"/>
      <c r="X1825" s="726"/>
      <c r="Y1825" s="726"/>
      <c r="Z1825" s="726"/>
      <c r="AA1825" s="732"/>
      <c r="AB1825" s="732"/>
      <c r="AC1825" s="732"/>
      <c r="AD1825" s="732"/>
      <c r="AE1825" s="733"/>
      <c r="AF1825" s="734" t="str">
        <f t="shared" si="86"/>
        <v/>
      </c>
      <c r="AG1825" s="773"/>
    </row>
    <row r="1826" spans="1:64" ht="18.75" x14ac:dyDescent="0.25">
      <c r="A1826" s="758"/>
      <c r="B1826" s="737"/>
      <c r="C1826" s="730"/>
      <c r="D1826" s="739"/>
      <c r="E1826" s="765"/>
      <c r="F1826" s="765"/>
      <c r="G1826" s="765"/>
      <c r="H1826" s="765"/>
      <c r="I1826" s="746" t="str">
        <f t="shared" si="85"/>
        <v/>
      </c>
      <c r="J1826" s="731"/>
      <c r="K1826" s="731" t="str">
        <f t="shared" si="84"/>
        <v/>
      </c>
      <c r="L1826" s="726"/>
      <c r="M1826" s="726"/>
      <c r="N1826" s="726"/>
      <c r="O1826" s="726"/>
      <c r="P1826" s="726"/>
      <c r="Q1826" s="726"/>
      <c r="R1826" s="726"/>
      <c r="S1826" s="726"/>
      <c r="T1826" s="726"/>
      <c r="U1826" s="726"/>
      <c r="V1826" s="726"/>
      <c r="W1826" s="726"/>
      <c r="X1826" s="726"/>
      <c r="Y1826" s="726"/>
      <c r="Z1826" s="726"/>
      <c r="AA1826" s="732"/>
      <c r="AB1826" s="732"/>
      <c r="AC1826" s="732"/>
      <c r="AD1826" s="732"/>
      <c r="AE1826" s="733"/>
      <c r="AF1826" s="734" t="str">
        <f t="shared" si="86"/>
        <v/>
      </c>
      <c r="AG1826" s="773"/>
    </row>
    <row r="1827" spans="1:64" ht="19.5" customHeight="1" x14ac:dyDescent="0.25">
      <c r="A1827" s="758"/>
      <c r="B1827" s="737"/>
      <c r="C1827" s="730"/>
      <c r="D1827" s="739"/>
      <c r="E1827" s="765"/>
      <c r="F1827" s="765"/>
      <c r="G1827" s="765"/>
      <c r="H1827" s="765"/>
      <c r="I1827" s="746" t="str">
        <f t="shared" si="85"/>
        <v/>
      </c>
      <c r="J1827" s="731"/>
      <c r="K1827" s="731" t="str">
        <f t="shared" si="84"/>
        <v/>
      </c>
      <c r="L1827" s="726"/>
      <c r="M1827" s="726"/>
      <c r="N1827" s="726"/>
      <c r="O1827" s="726"/>
      <c r="P1827" s="726"/>
      <c r="Q1827" s="726"/>
      <c r="R1827" s="726"/>
      <c r="S1827" s="726"/>
      <c r="T1827" s="726"/>
      <c r="U1827" s="726"/>
      <c r="V1827" s="726"/>
      <c r="W1827" s="726"/>
      <c r="X1827" s="726"/>
      <c r="Y1827" s="726"/>
      <c r="Z1827" s="726"/>
      <c r="AA1827" s="732"/>
      <c r="AB1827" s="732"/>
      <c r="AC1827" s="732"/>
      <c r="AD1827" s="732"/>
      <c r="AE1827" s="733"/>
      <c r="AF1827" s="734" t="str">
        <f t="shared" si="86"/>
        <v/>
      </c>
      <c r="AG1827" s="773"/>
    </row>
    <row r="1828" spans="1:64" ht="18.75" x14ac:dyDescent="0.25">
      <c r="A1828" s="758"/>
      <c r="B1828" s="737"/>
      <c r="C1828" s="730"/>
      <c r="D1828" s="739"/>
      <c r="E1828" s="765"/>
      <c r="F1828" s="765"/>
      <c r="G1828" s="765"/>
      <c r="H1828" s="765"/>
      <c r="I1828" s="746" t="str">
        <f t="shared" si="85"/>
        <v/>
      </c>
      <c r="J1828" s="731"/>
      <c r="K1828" s="731" t="str">
        <f t="shared" si="84"/>
        <v/>
      </c>
      <c r="L1828" s="726"/>
      <c r="M1828" s="726"/>
      <c r="N1828" s="726"/>
      <c r="O1828" s="726"/>
      <c r="P1828" s="726"/>
      <c r="Q1828" s="726"/>
      <c r="R1828" s="726"/>
      <c r="S1828" s="726"/>
      <c r="T1828" s="726"/>
      <c r="U1828" s="726"/>
      <c r="V1828" s="726"/>
      <c r="W1828" s="726"/>
      <c r="X1828" s="726"/>
      <c r="Y1828" s="726"/>
      <c r="Z1828" s="726"/>
      <c r="AA1828" s="732"/>
      <c r="AB1828" s="732"/>
      <c r="AC1828" s="732"/>
      <c r="AD1828" s="732"/>
      <c r="AE1828" s="733"/>
      <c r="AF1828" s="734" t="str">
        <f t="shared" si="86"/>
        <v/>
      </c>
      <c r="AG1828" s="773"/>
    </row>
    <row r="1829" spans="1:64" ht="18.75" x14ac:dyDescent="0.25">
      <c r="A1829" s="758"/>
      <c r="B1829" s="737"/>
      <c r="C1829" s="730"/>
      <c r="D1829" s="739"/>
      <c r="E1829" s="765"/>
      <c r="F1829" s="765"/>
      <c r="G1829" s="765"/>
      <c r="H1829" s="765"/>
      <c r="I1829" s="746" t="str">
        <f t="shared" si="85"/>
        <v/>
      </c>
      <c r="J1829" s="731"/>
      <c r="K1829" s="731" t="str">
        <f t="shared" si="84"/>
        <v/>
      </c>
      <c r="L1829" s="726"/>
      <c r="M1829" s="726"/>
      <c r="N1829" s="726"/>
      <c r="O1829" s="726"/>
      <c r="P1829" s="726"/>
      <c r="Q1829" s="726"/>
      <c r="R1829" s="726"/>
      <c r="S1829" s="726"/>
      <c r="T1829" s="726"/>
      <c r="U1829" s="726"/>
      <c r="V1829" s="726"/>
      <c r="W1829" s="726"/>
      <c r="X1829" s="726"/>
      <c r="Y1829" s="726"/>
      <c r="Z1829" s="726"/>
      <c r="AA1829" s="732"/>
      <c r="AB1829" s="732"/>
      <c r="AC1829" s="732"/>
      <c r="AD1829" s="732"/>
      <c r="AE1829" s="733"/>
      <c r="AF1829" s="734" t="str">
        <f t="shared" si="86"/>
        <v/>
      </c>
      <c r="AG1829" s="773"/>
    </row>
    <row r="1830" spans="1:64" ht="19.5" customHeight="1" x14ac:dyDescent="0.25">
      <c r="A1830" s="758"/>
      <c r="B1830" s="737"/>
      <c r="C1830" s="730"/>
      <c r="D1830" s="739"/>
      <c r="E1830" s="765"/>
      <c r="F1830" s="765"/>
      <c r="G1830" s="765"/>
      <c r="H1830" s="765"/>
      <c r="I1830" s="746" t="str">
        <f t="shared" si="85"/>
        <v/>
      </c>
      <c r="J1830" s="731"/>
      <c r="K1830" s="731" t="str">
        <f t="shared" si="84"/>
        <v/>
      </c>
      <c r="L1830" s="726"/>
      <c r="M1830" s="726"/>
      <c r="N1830" s="726"/>
      <c r="O1830" s="726"/>
      <c r="P1830" s="726"/>
      <c r="Q1830" s="726"/>
      <c r="R1830" s="726"/>
      <c r="S1830" s="726"/>
      <c r="T1830" s="726"/>
      <c r="U1830" s="726"/>
      <c r="V1830" s="726"/>
      <c r="W1830" s="726"/>
      <c r="X1830" s="726"/>
      <c r="Y1830" s="726"/>
      <c r="Z1830" s="726"/>
      <c r="AA1830" s="732"/>
      <c r="AB1830" s="732"/>
      <c r="AC1830" s="732"/>
      <c r="AD1830" s="732"/>
      <c r="AE1830" s="733"/>
      <c r="AF1830" s="734" t="str">
        <f t="shared" si="86"/>
        <v/>
      </c>
      <c r="AG1830" s="775"/>
      <c r="AH1830" s="779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  <c r="AW1830" s="36"/>
      <c r="AX1830" s="36"/>
      <c r="AY1830" s="36"/>
      <c r="AZ1830" s="36"/>
      <c r="BA1830" s="36"/>
      <c r="BB1830" s="36"/>
      <c r="BC1830" s="36"/>
      <c r="BD1830" s="36"/>
      <c r="BE1830" s="36"/>
      <c r="BF1830" s="36"/>
      <c r="BG1830" s="36"/>
      <c r="BH1830" s="36"/>
      <c r="BI1830" s="36"/>
      <c r="BJ1830" s="36"/>
      <c r="BK1830" s="36"/>
      <c r="BL1830" s="36"/>
    </row>
    <row r="1831" spans="1:64" ht="19.5" customHeight="1" x14ac:dyDescent="0.25">
      <c r="A1831" s="758"/>
      <c r="B1831" s="737"/>
      <c r="C1831" s="730"/>
      <c r="D1831" s="739"/>
      <c r="E1831" s="765"/>
      <c r="F1831" s="765"/>
      <c r="G1831" s="765"/>
      <c r="H1831" s="765"/>
      <c r="I1831" s="746" t="str">
        <f t="shared" si="85"/>
        <v/>
      </c>
      <c r="J1831" s="731"/>
      <c r="K1831" s="731" t="str">
        <f t="shared" si="84"/>
        <v/>
      </c>
      <c r="L1831" s="726"/>
      <c r="M1831" s="726"/>
      <c r="N1831" s="726"/>
      <c r="O1831" s="726"/>
      <c r="P1831" s="726"/>
      <c r="Q1831" s="726"/>
      <c r="R1831" s="726"/>
      <c r="S1831" s="726"/>
      <c r="T1831" s="726"/>
      <c r="U1831" s="726"/>
      <c r="V1831" s="726"/>
      <c r="W1831" s="726"/>
      <c r="X1831" s="726"/>
      <c r="Y1831" s="726"/>
      <c r="Z1831" s="726"/>
      <c r="AA1831" s="732"/>
      <c r="AB1831" s="732"/>
      <c r="AC1831" s="732"/>
      <c r="AD1831" s="732"/>
      <c r="AE1831" s="733"/>
      <c r="AF1831" s="734" t="str">
        <f t="shared" si="86"/>
        <v/>
      </c>
      <c r="AG1831" s="775"/>
      <c r="AH1831" s="779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36"/>
      <c r="BE1831" s="36"/>
      <c r="BF1831" s="36"/>
      <c r="BG1831" s="36"/>
      <c r="BH1831" s="36"/>
      <c r="BI1831" s="36"/>
      <c r="BJ1831" s="36"/>
      <c r="BK1831" s="36"/>
      <c r="BL1831" s="36"/>
    </row>
    <row r="1832" spans="1:64" ht="18.75" x14ac:dyDescent="0.25">
      <c r="A1832" s="758"/>
      <c r="B1832" s="737"/>
      <c r="C1832" s="730"/>
      <c r="D1832" s="739"/>
      <c r="E1832" s="765"/>
      <c r="F1832" s="765"/>
      <c r="G1832" s="765"/>
      <c r="H1832" s="765"/>
      <c r="I1832" s="746" t="str">
        <f t="shared" si="85"/>
        <v/>
      </c>
      <c r="J1832" s="731"/>
      <c r="K1832" s="731" t="str">
        <f t="shared" si="84"/>
        <v/>
      </c>
      <c r="L1832" s="726"/>
      <c r="M1832" s="726"/>
      <c r="N1832" s="726"/>
      <c r="O1832" s="726"/>
      <c r="P1832" s="726"/>
      <c r="Q1832" s="726"/>
      <c r="R1832" s="726"/>
      <c r="S1832" s="726"/>
      <c r="T1832" s="726"/>
      <c r="U1832" s="726"/>
      <c r="V1832" s="726"/>
      <c r="W1832" s="726"/>
      <c r="X1832" s="726"/>
      <c r="Y1832" s="726"/>
      <c r="Z1832" s="726"/>
      <c r="AA1832" s="732"/>
      <c r="AB1832" s="732"/>
      <c r="AC1832" s="732"/>
      <c r="AD1832" s="732"/>
      <c r="AE1832" s="733"/>
      <c r="AF1832" s="734" t="str">
        <f t="shared" si="86"/>
        <v/>
      </c>
      <c r="AG1832" s="773"/>
    </row>
    <row r="1833" spans="1:64" ht="18.75" x14ac:dyDescent="0.25">
      <c r="A1833" s="758"/>
      <c r="B1833" s="737"/>
      <c r="C1833" s="730"/>
      <c r="D1833" s="739"/>
      <c r="E1833" s="765"/>
      <c r="F1833" s="765"/>
      <c r="G1833" s="765"/>
      <c r="H1833" s="765"/>
      <c r="I1833" s="746" t="str">
        <f t="shared" si="85"/>
        <v/>
      </c>
      <c r="J1833" s="731"/>
      <c r="K1833" s="731" t="str">
        <f t="shared" si="84"/>
        <v/>
      </c>
      <c r="L1833" s="726"/>
      <c r="M1833" s="726"/>
      <c r="N1833" s="726"/>
      <c r="O1833" s="726"/>
      <c r="P1833" s="726"/>
      <c r="Q1833" s="726"/>
      <c r="R1833" s="726"/>
      <c r="S1833" s="726"/>
      <c r="T1833" s="726"/>
      <c r="U1833" s="726"/>
      <c r="V1833" s="726"/>
      <c r="W1833" s="726"/>
      <c r="X1833" s="726"/>
      <c r="Y1833" s="726"/>
      <c r="Z1833" s="726"/>
      <c r="AA1833" s="732"/>
      <c r="AB1833" s="732"/>
      <c r="AC1833" s="732"/>
      <c r="AD1833" s="732"/>
      <c r="AE1833" s="733"/>
      <c r="AF1833" s="734" t="str">
        <f t="shared" si="86"/>
        <v/>
      </c>
      <c r="AG1833" s="773"/>
    </row>
    <row r="1834" spans="1:64" ht="18.75" x14ac:dyDescent="0.25">
      <c r="A1834" s="758"/>
      <c r="B1834" s="737"/>
      <c r="C1834" s="730"/>
      <c r="D1834" s="739"/>
      <c r="E1834" s="765"/>
      <c r="F1834" s="765"/>
      <c r="G1834" s="765"/>
      <c r="H1834" s="765"/>
      <c r="I1834" s="746" t="str">
        <f t="shared" si="85"/>
        <v/>
      </c>
      <c r="J1834" s="731"/>
      <c r="K1834" s="731" t="str">
        <f t="shared" si="84"/>
        <v/>
      </c>
      <c r="L1834" s="726"/>
      <c r="M1834" s="726"/>
      <c r="N1834" s="726"/>
      <c r="O1834" s="726"/>
      <c r="P1834" s="726"/>
      <c r="Q1834" s="726"/>
      <c r="R1834" s="726"/>
      <c r="S1834" s="726"/>
      <c r="T1834" s="726"/>
      <c r="U1834" s="726"/>
      <c r="V1834" s="726"/>
      <c r="W1834" s="726"/>
      <c r="X1834" s="726"/>
      <c r="Y1834" s="726"/>
      <c r="Z1834" s="726"/>
      <c r="AA1834" s="732"/>
      <c r="AB1834" s="732"/>
      <c r="AC1834" s="732"/>
      <c r="AD1834" s="732"/>
      <c r="AE1834" s="733"/>
      <c r="AF1834" s="734" t="str">
        <f t="shared" si="86"/>
        <v/>
      </c>
      <c r="AG1834" s="773"/>
    </row>
    <row r="1835" spans="1:64" ht="18.75" x14ac:dyDescent="0.25">
      <c r="A1835" s="758"/>
      <c r="B1835" s="737"/>
      <c r="C1835" s="730"/>
      <c r="D1835" s="739"/>
      <c r="E1835" s="765"/>
      <c r="F1835" s="765"/>
      <c r="G1835" s="765"/>
      <c r="H1835" s="765"/>
      <c r="I1835" s="746" t="str">
        <f t="shared" si="85"/>
        <v/>
      </c>
      <c r="J1835" s="731"/>
      <c r="K1835" s="731" t="str">
        <f t="shared" si="84"/>
        <v/>
      </c>
      <c r="L1835" s="726"/>
      <c r="M1835" s="726"/>
      <c r="N1835" s="726"/>
      <c r="O1835" s="726"/>
      <c r="P1835" s="726"/>
      <c r="Q1835" s="726"/>
      <c r="R1835" s="726"/>
      <c r="S1835" s="726"/>
      <c r="T1835" s="726"/>
      <c r="U1835" s="726"/>
      <c r="V1835" s="726"/>
      <c r="W1835" s="726"/>
      <c r="X1835" s="726"/>
      <c r="Y1835" s="726"/>
      <c r="Z1835" s="726"/>
      <c r="AA1835" s="732"/>
      <c r="AB1835" s="732"/>
      <c r="AC1835" s="732"/>
      <c r="AD1835" s="732"/>
      <c r="AE1835" s="733"/>
      <c r="AF1835" s="734" t="str">
        <f t="shared" si="86"/>
        <v/>
      </c>
      <c r="AG1835" s="773"/>
    </row>
    <row r="1836" spans="1:64" ht="18.75" x14ac:dyDescent="0.25">
      <c r="A1836" s="758"/>
      <c r="B1836" s="737"/>
      <c r="C1836" s="730"/>
      <c r="D1836" s="739"/>
      <c r="E1836" s="765"/>
      <c r="F1836" s="765"/>
      <c r="G1836" s="765"/>
      <c r="H1836" s="765"/>
      <c r="I1836" s="746" t="str">
        <f t="shared" si="85"/>
        <v/>
      </c>
      <c r="J1836" s="731"/>
      <c r="K1836" s="731" t="str">
        <f t="shared" si="84"/>
        <v/>
      </c>
      <c r="L1836" s="726"/>
      <c r="M1836" s="726"/>
      <c r="N1836" s="726"/>
      <c r="O1836" s="726"/>
      <c r="P1836" s="726"/>
      <c r="Q1836" s="726"/>
      <c r="R1836" s="726"/>
      <c r="S1836" s="726"/>
      <c r="T1836" s="726"/>
      <c r="U1836" s="726"/>
      <c r="V1836" s="726"/>
      <c r="W1836" s="726"/>
      <c r="X1836" s="726"/>
      <c r="Y1836" s="726"/>
      <c r="Z1836" s="726"/>
      <c r="AA1836" s="732"/>
      <c r="AB1836" s="732"/>
      <c r="AC1836" s="732"/>
      <c r="AD1836" s="732"/>
      <c r="AE1836" s="733"/>
      <c r="AF1836" s="734" t="str">
        <f t="shared" si="86"/>
        <v/>
      </c>
      <c r="AG1836" s="773"/>
    </row>
    <row r="1837" spans="1:64" ht="18.75" x14ac:dyDescent="0.25">
      <c r="A1837" s="758"/>
      <c r="B1837" s="737"/>
      <c r="C1837" s="730"/>
      <c r="D1837" s="739"/>
      <c r="E1837" s="765"/>
      <c r="F1837" s="765"/>
      <c r="G1837" s="765"/>
      <c r="H1837" s="765"/>
      <c r="I1837" s="746" t="str">
        <f t="shared" si="85"/>
        <v/>
      </c>
      <c r="J1837" s="731"/>
      <c r="K1837" s="731" t="str">
        <f t="shared" si="84"/>
        <v/>
      </c>
      <c r="L1837" s="726"/>
      <c r="M1837" s="726"/>
      <c r="N1837" s="726"/>
      <c r="O1837" s="726"/>
      <c r="P1837" s="726"/>
      <c r="Q1837" s="726"/>
      <c r="R1837" s="726"/>
      <c r="S1837" s="726"/>
      <c r="T1837" s="726"/>
      <c r="U1837" s="726"/>
      <c r="V1837" s="726"/>
      <c r="W1837" s="726"/>
      <c r="X1837" s="726"/>
      <c r="Y1837" s="726"/>
      <c r="Z1837" s="726"/>
      <c r="AA1837" s="732"/>
      <c r="AB1837" s="732"/>
      <c r="AC1837" s="732"/>
      <c r="AD1837" s="732"/>
      <c r="AE1837" s="733"/>
      <c r="AF1837" s="734" t="str">
        <f t="shared" si="86"/>
        <v/>
      </c>
      <c r="AG1837" s="773"/>
    </row>
    <row r="1838" spans="1:64" ht="18.75" x14ac:dyDescent="0.25">
      <c r="A1838" s="758"/>
      <c r="B1838" s="737"/>
      <c r="C1838" s="730"/>
      <c r="D1838" s="739"/>
      <c r="E1838" s="765"/>
      <c r="F1838" s="765"/>
      <c r="G1838" s="765"/>
      <c r="H1838" s="765"/>
      <c r="I1838" s="746" t="str">
        <f t="shared" si="85"/>
        <v/>
      </c>
      <c r="J1838" s="731"/>
      <c r="K1838" s="731" t="str">
        <f t="shared" si="84"/>
        <v/>
      </c>
      <c r="L1838" s="726"/>
      <c r="M1838" s="726"/>
      <c r="N1838" s="726"/>
      <c r="O1838" s="726"/>
      <c r="P1838" s="726"/>
      <c r="Q1838" s="726"/>
      <c r="R1838" s="726"/>
      <c r="S1838" s="726"/>
      <c r="T1838" s="726"/>
      <c r="U1838" s="726"/>
      <c r="V1838" s="726"/>
      <c r="W1838" s="726"/>
      <c r="X1838" s="726"/>
      <c r="Y1838" s="726"/>
      <c r="Z1838" s="726"/>
      <c r="AA1838" s="732"/>
      <c r="AB1838" s="732"/>
      <c r="AC1838" s="732"/>
      <c r="AD1838" s="732"/>
      <c r="AE1838" s="733"/>
      <c r="AF1838" s="734" t="str">
        <f t="shared" si="86"/>
        <v/>
      </c>
      <c r="AG1838" s="775"/>
      <c r="AH1838" s="779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  <c r="AW1838" s="36"/>
      <c r="AX1838" s="36"/>
      <c r="AY1838" s="36"/>
      <c r="AZ1838" s="36"/>
      <c r="BA1838" s="36"/>
      <c r="BB1838" s="36"/>
      <c r="BC1838" s="36"/>
      <c r="BD1838" s="36"/>
      <c r="BE1838" s="36"/>
      <c r="BF1838" s="36"/>
      <c r="BG1838" s="36"/>
      <c r="BH1838" s="36"/>
      <c r="BI1838" s="36"/>
      <c r="BJ1838" s="36"/>
      <c r="BK1838" s="36"/>
      <c r="BL1838" s="36"/>
    </row>
    <row r="1839" spans="1:64" ht="18.75" x14ac:dyDescent="0.25">
      <c r="A1839" s="758"/>
      <c r="B1839" s="737"/>
      <c r="C1839" s="730"/>
      <c r="D1839" s="739"/>
      <c r="E1839" s="765"/>
      <c r="F1839" s="765"/>
      <c r="G1839" s="765"/>
      <c r="H1839" s="765"/>
      <c r="I1839" s="746" t="str">
        <f t="shared" si="85"/>
        <v/>
      </c>
      <c r="J1839" s="731"/>
      <c r="K1839" s="731" t="str">
        <f t="shared" si="84"/>
        <v/>
      </c>
      <c r="L1839" s="726"/>
      <c r="M1839" s="726"/>
      <c r="N1839" s="726"/>
      <c r="O1839" s="726"/>
      <c r="P1839" s="726"/>
      <c r="Q1839" s="726"/>
      <c r="R1839" s="726"/>
      <c r="S1839" s="726"/>
      <c r="T1839" s="726"/>
      <c r="U1839" s="726"/>
      <c r="V1839" s="726"/>
      <c r="W1839" s="726"/>
      <c r="X1839" s="726"/>
      <c r="Y1839" s="726"/>
      <c r="Z1839" s="726"/>
      <c r="AA1839" s="732"/>
      <c r="AB1839" s="732"/>
      <c r="AC1839" s="732"/>
      <c r="AD1839" s="732"/>
      <c r="AE1839" s="733"/>
      <c r="AF1839" s="734" t="str">
        <f t="shared" si="86"/>
        <v/>
      </c>
      <c r="AG1839" s="773"/>
    </row>
    <row r="1840" spans="1:64" ht="18.75" x14ac:dyDescent="0.25">
      <c r="A1840" s="758"/>
      <c r="B1840" s="737"/>
      <c r="C1840" s="730"/>
      <c r="D1840" s="739"/>
      <c r="E1840" s="765"/>
      <c r="F1840" s="765"/>
      <c r="G1840" s="765"/>
      <c r="H1840" s="765"/>
      <c r="I1840" s="746" t="str">
        <f t="shared" si="85"/>
        <v/>
      </c>
      <c r="J1840" s="731"/>
      <c r="K1840" s="731" t="str">
        <f t="shared" si="84"/>
        <v/>
      </c>
      <c r="L1840" s="726"/>
      <c r="M1840" s="726"/>
      <c r="N1840" s="726"/>
      <c r="O1840" s="726"/>
      <c r="P1840" s="726"/>
      <c r="Q1840" s="726"/>
      <c r="R1840" s="726"/>
      <c r="S1840" s="726"/>
      <c r="T1840" s="726"/>
      <c r="U1840" s="726"/>
      <c r="V1840" s="726"/>
      <c r="W1840" s="726"/>
      <c r="X1840" s="726"/>
      <c r="Y1840" s="726"/>
      <c r="Z1840" s="726"/>
      <c r="AA1840" s="732"/>
      <c r="AB1840" s="732"/>
      <c r="AC1840" s="732"/>
      <c r="AD1840" s="732"/>
      <c r="AE1840" s="733"/>
      <c r="AF1840" s="734" t="str">
        <f t="shared" si="86"/>
        <v/>
      </c>
      <c r="AG1840" s="773"/>
    </row>
    <row r="1841" spans="1:64" ht="18.75" x14ac:dyDescent="0.25">
      <c r="A1841" s="758"/>
      <c r="B1841" s="737"/>
      <c r="C1841" s="730"/>
      <c r="D1841" s="739"/>
      <c r="E1841" s="765"/>
      <c r="F1841" s="765"/>
      <c r="G1841" s="765"/>
      <c r="H1841" s="765"/>
      <c r="I1841" s="746" t="str">
        <f t="shared" si="85"/>
        <v/>
      </c>
      <c r="J1841" s="731"/>
      <c r="K1841" s="731" t="str">
        <f t="shared" si="84"/>
        <v/>
      </c>
      <c r="L1841" s="726"/>
      <c r="M1841" s="726"/>
      <c r="N1841" s="726"/>
      <c r="O1841" s="726"/>
      <c r="P1841" s="726"/>
      <c r="Q1841" s="726"/>
      <c r="R1841" s="726"/>
      <c r="S1841" s="726"/>
      <c r="T1841" s="726"/>
      <c r="U1841" s="726"/>
      <c r="V1841" s="726"/>
      <c r="W1841" s="726"/>
      <c r="X1841" s="726"/>
      <c r="Y1841" s="726"/>
      <c r="Z1841" s="726"/>
      <c r="AA1841" s="732"/>
      <c r="AB1841" s="732"/>
      <c r="AC1841" s="732"/>
      <c r="AD1841" s="732"/>
      <c r="AE1841" s="733"/>
      <c r="AF1841" s="734" t="str">
        <f t="shared" si="86"/>
        <v/>
      </c>
      <c r="AG1841" s="773"/>
    </row>
    <row r="1842" spans="1:64" ht="18.75" x14ac:dyDescent="0.25">
      <c r="A1842" s="758"/>
      <c r="B1842" s="737"/>
      <c r="C1842" s="730"/>
      <c r="D1842" s="739"/>
      <c r="E1842" s="765"/>
      <c r="F1842" s="765"/>
      <c r="G1842" s="765"/>
      <c r="H1842" s="765"/>
      <c r="I1842" s="746" t="str">
        <f t="shared" si="85"/>
        <v/>
      </c>
      <c r="J1842" s="731"/>
      <c r="K1842" s="731" t="str">
        <f t="shared" si="84"/>
        <v/>
      </c>
      <c r="L1842" s="726"/>
      <c r="M1842" s="726"/>
      <c r="N1842" s="726"/>
      <c r="O1842" s="726"/>
      <c r="P1842" s="726"/>
      <c r="Q1842" s="726"/>
      <c r="R1842" s="726"/>
      <c r="S1842" s="726"/>
      <c r="T1842" s="726"/>
      <c r="U1842" s="726"/>
      <c r="V1842" s="726"/>
      <c r="W1842" s="726"/>
      <c r="X1842" s="726"/>
      <c r="Y1842" s="726"/>
      <c r="Z1842" s="726"/>
      <c r="AA1842" s="732"/>
      <c r="AB1842" s="732"/>
      <c r="AC1842" s="732"/>
      <c r="AD1842" s="732"/>
      <c r="AE1842" s="733"/>
      <c r="AF1842" s="734" t="str">
        <f t="shared" si="86"/>
        <v/>
      </c>
      <c r="AG1842" s="773"/>
    </row>
    <row r="1843" spans="1:64" ht="18.75" x14ac:dyDescent="0.25">
      <c r="A1843" s="758"/>
      <c r="B1843" s="737"/>
      <c r="C1843" s="730"/>
      <c r="D1843" s="739"/>
      <c r="E1843" s="765"/>
      <c r="F1843" s="765"/>
      <c r="G1843" s="765"/>
      <c r="H1843" s="765"/>
      <c r="I1843" s="746" t="str">
        <f t="shared" si="85"/>
        <v/>
      </c>
      <c r="J1843" s="731"/>
      <c r="K1843" s="731" t="str">
        <f t="shared" si="84"/>
        <v/>
      </c>
      <c r="L1843" s="726"/>
      <c r="M1843" s="726"/>
      <c r="N1843" s="726"/>
      <c r="O1843" s="726"/>
      <c r="P1843" s="726"/>
      <c r="Q1843" s="726"/>
      <c r="R1843" s="726"/>
      <c r="S1843" s="726"/>
      <c r="T1843" s="726"/>
      <c r="U1843" s="726"/>
      <c r="V1843" s="726"/>
      <c r="W1843" s="726"/>
      <c r="X1843" s="726"/>
      <c r="Y1843" s="726"/>
      <c r="Z1843" s="726"/>
      <c r="AA1843" s="732"/>
      <c r="AB1843" s="732"/>
      <c r="AC1843" s="732"/>
      <c r="AD1843" s="732"/>
      <c r="AE1843" s="733"/>
      <c r="AF1843" s="734" t="str">
        <f t="shared" si="86"/>
        <v/>
      </c>
      <c r="AG1843" s="773"/>
    </row>
    <row r="1844" spans="1:64" ht="19.5" customHeight="1" x14ac:dyDescent="0.25">
      <c r="A1844" s="758"/>
      <c r="B1844" s="737"/>
      <c r="C1844" s="730"/>
      <c r="D1844" s="739"/>
      <c r="E1844" s="765"/>
      <c r="F1844" s="765"/>
      <c r="G1844" s="765"/>
      <c r="H1844" s="765"/>
      <c r="I1844" s="746" t="str">
        <f t="shared" si="85"/>
        <v/>
      </c>
      <c r="J1844" s="731"/>
      <c r="K1844" s="731" t="str">
        <f t="shared" si="84"/>
        <v/>
      </c>
      <c r="L1844" s="726"/>
      <c r="M1844" s="726"/>
      <c r="N1844" s="726"/>
      <c r="O1844" s="726"/>
      <c r="P1844" s="726"/>
      <c r="Q1844" s="726"/>
      <c r="R1844" s="726"/>
      <c r="S1844" s="726"/>
      <c r="T1844" s="726"/>
      <c r="U1844" s="726"/>
      <c r="V1844" s="726"/>
      <c r="W1844" s="726"/>
      <c r="X1844" s="726"/>
      <c r="Y1844" s="726"/>
      <c r="Z1844" s="726"/>
      <c r="AA1844" s="732"/>
      <c r="AB1844" s="732"/>
      <c r="AC1844" s="732"/>
      <c r="AD1844" s="732"/>
      <c r="AE1844" s="733"/>
      <c r="AF1844" s="734" t="str">
        <f t="shared" si="86"/>
        <v/>
      </c>
      <c r="AG1844" s="775"/>
      <c r="AH1844" s="779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  <c r="AW1844" s="36"/>
      <c r="AX1844" s="36"/>
      <c r="AY1844" s="36"/>
      <c r="AZ1844" s="36"/>
      <c r="BA1844" s="36"/>
      <c r="BB1844" s="36"/>
      <c r="BC1844" s="36"/>
      <c r="BD1844" s="36"/>
      <c r="BE1844" s="36"/>
      <c r="BF1844" s="36"/>
      <c r="BG1844" s="36"/>
      <c r="BH1844" s="36"/>
      <c r="BI1844" s="36"/>
      <c r="BJ1844" s="36"/>
      <c r="BK1844" s="36"/>
      <c r="BL1844" s="36"/>
    </row>
    <row r="1845" spans="1:64" ht="19.5" customHeight="1" x14ac:dyDescent="0.25">
      <c r="A1845" s="758"/>
      <c r="B1845" s="737"/>
      <c r="C1845" s="730"/>
      <c r="D1845" s="739"/>
      <c r="E1845" s="765"/>
      <c r="F1845" s="765"/>
      <c r="G1845" s="765"/>
      <c r="H1845" s="765"/>
      <c r="I1845" s="746" t="str">
        <f t="shared" si="85"/>
        <v/>
      </c>
      <c r="J1845" s="731"/>
      <c r="K1845" s="731" t="str">
        <f t="shared" si="84"/>
        <v/>
      </c>
      <c r="L1845" s="726"/>
      <c r="M1845" s="726"/>
      <c r="N1845" s="726"/>
      <c r="O1845" s="726"/>
      <c r="P1845" s="726"/>
      <c r="Q1845" s="726"/>
      <c r="R1845" s="726"/>
      <c r="S1845" s="726"/>
      <c r="T1845" s="726"/>
      <c r="U1845" s="726"/>
      <c r="V1845" s="726"/>
      <c r="W1845" s="726"/>
      <c r="X1845" s="726"/>
      <c r="Y1845" s="726"/>
      <c r="Z1845" s="726"/>
      <c r="AA1845" s="732"/>
      <c r="AB1845" s="732"/>
      <c r="AC1845" s="732"/>
      <c r="AD1845" s="732"/>
      <c r="AE1845" s="733"/>
      <c r="AF1845" s="734" t="str">
        <f t="shared" si="86"/>
        <v/>
      </c>
      <c r="AG1845" s="775"/>
      <c r="AH1845" s="779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36"/>
      <c r="BA1845" s="36"/>
      <c r="BB1845" s="36"/>
      <c r="BC1845" s="36"/>
      <c r="BD1845" s="36"/>
      <c r="BE1845" s="36"/>
      <c r="BF1845" s="36"/>
      <c r="BG1845" s="36"/>
      <c r="BH1845" s="36"/>
      <c r="BI1845" s="36"/>
      <c r="BJ1845" s="36"/>
      <c r="BK1845" s="36"/>
      <c r="BL1845" s="36"/>
    </row>
    <row r="1846" spans="1:64" ht="18.75" x14ac:dyDescent="0.25">
      <c r="A1846" s="758"/>
      <c r="B1846" s="737"/>
      <c r="C1846" s="730"/>
      <c r="D1846" s="739"/>
      <c r="E1846" s="765"/>
      <c r="F1846" s="765"/>
      <c r="G1846" s="765"/>
      <c r="H1846" s="765"/>
      <c r="I1846" s="746" t="str">
        <f t="shared" si="85"/>
        <v/>
      </c>
      <c r="J1846" s="731"/>
      <c r="K1846" s="731" t="str">
        <f t="shared" si="84"/>
        <v/>
      </c>
      <c r="L1846" s="726"/>
      <c r="M1846" s="726"/>
      <c r="N1846" s="726"/>
      <c r="O1846" s="726"/>
      <c r="P1846" s="726"/>
      <c r="Q1846" s="726"/>
      <c r="R1846" s="726"/>
      <c r="S1846" s="726"/>
      <c r="T1846" s="726"/>
      <c r="U1846" s="726"/>
      <c r="V1846" s="726"/>
      <c r="W1846" s="726"/>
      <c r="X1846" s="726"/>
      <c r="Y1846" s="726"/>
      <c r="Z1846" s="726"/>
      <c r="AA1846" s="732"/>
      <c r="AB1846" s="732"/>
      <c r="AC1846" s="732"/>
      <c r="AD1846" s="732"/>
      <c r="AE1846" s="733"/>
      <c r="AF1846" s="734" t="str">
        <f t="shared" si="86"/>
        <v/>
      </c>
      <c r="AG1846" s="773"/>
    </row>
    <row r="1847" spans="1:64" ht="18.75" x14ac:dyDescent="0.25">
      <c r="A1847" s="758"/>
      <c r="B1847" s="737"/>
      <c r="C1847" s="730"/>
      <c r="D1847" s="739"/>
      <c r="E1847" s="765"/>
      <c r="F1847" s="765"/>
      <c r="G1847" s="765"/>
      <c r="H1847" s="765"/>
      <c r="I1847" s="746" t="str">
        <f t="shared" si="85"/>
        <v/>
      </c>
      <c r="J1847" s="731"/>
      <c r="K1847" s="731" t="str">
        <f t="shared" si="84"/>
        <v/>
      </c>
      <c r="L1847" s="726"/>
      <c r="M1847" s="726"/>
      <c r="N1847" s="726"/>
      <c r="O1847" s="726"/>
      <c r="P1847" s="726"/>
      <c r="Q1847" s="726"/>
      <c r="R1847" s="726"/>
      <c r="S1847" s="726"/>
      <c r="T1847" s="726"/>
      <c r="U1847" s="726"/>
      <c r="V1847" s="726"/>
      <c r="W1847" s="726"/>
      <c r="X1847" s="726"/>
      <c r="Y1847" s="726"/>
      <c r="Z1847" s="726"/>
      <c r="AA1847" s="732"/>
      <c r="AB1847" s="732"/>
      <c r="AC1847" s="732"/>
      <c r="AD1847" s="732"/>
      <c r="AE1847" s="733"/>
      <c r="AF1847" s="734" t="str">
        <f t="shared" si="86"/>
        <v/>
      </c>
      <c r="AG1847" s="773"/>
    </row>
    <row r="1848" spans="1:64" ht="18.75" x14ac:dyDescent="0.25">
      <c r="A1848" s="758"/>
      <c r="B1848" s="737"/>
      <c r="C1848" s="730"/>
      <c r="D1848" s="739"/>
      <c r="E1848" s="765"/>
      <c r="F1848" s="765"/>
      <c r="G1848" s="765"/>
      <c r="H1848" s="765"/>
      <c r="I1848" s="746" t="str">
        <f t="shared" si="85"/>
        <v/>
      </c>
      <c r="J1848" s="731"/>
      <c r="K1848" s="731" t="str">
        <f t="shared" si="84"/>
        <v/>
      </c>
      <c r="L1848" s="726"/>
      <c r="M1848" s="726"/>
      <c r="N1848" s="726"/>
      <c r="O1848" s="726"/>
      <c r="P1848" s="726"/>
      <c r="Q1848" s="726"/>
      <c r="R1848" s="726"/>
      <c r="S1848" s="726"/>
      <c r="T1848" s="726"/>
      <c r="U1848" s="726"/>
      <c r="V1848" s="726"/>
      <c r="W1848" s="726"/>
      <c r="X1848" s="726"/>
      <c r="Y1848" s="726"/>
      <c r="Z1848" s="726"/>
      <c r="AA1848" s="732"/>
      <c r="AB1848" s="732"/>
      <c r="AC1848" s="732"/>
      <c r="AD1848" s="732"/>
      <c r="AE1848" s="733"/>
      <c r="AF1848" s="734" t="str">
        <f t="shared" si="86"/>
        <v/>
      </c>
      <c r="AG1848" s="773"/>
    </row>
    <row r="1849" spans="1:64" ht="18.75" x14ac:dyDescent="0.25">
      <c r="A1849" s="758"/>
      <c r="B1849" s="737"/>
      <c r="C1849" s="730"/>
      <c r="D1849" s="739"/>
      <c r="E1849" s="765"/>
      <c r="F1849" s="765"/>
      <c r="G1849" s="765"/>
      <c r="H1849" s="765"/>
      <c r="I1849" s="746" t="str">
        <f t="shared" si="85"/>
        <v/>
      </c>
      <c r="J1849" s="731"/>
      <c r="K1849" s="731" t="str">
        <f t="shared" si="84"/>
        <v/>
      </c>
      <c r="L1849" s="726"/>
      <c r="M1849" s="726"/>
      <c r="N1849" s="726"/>
      <c r="O1849" s="726"/>
      <c r="P1849" s="726"/>
      <c r="Q1849" s="726"/>
      <c r="R1849" s="726"/>
      <c r="S1849" s="726"/>
      <c r="T1849" s="726"/>
      <c r="U1849" s="726"/>
      <c r="V1849" s="726"/>
      <c r="W1849" s="726"/>
      <c r="X1849" s="726"/>
      <c r="Y1849" s="726"/>
      <c r="Z1849" s="726"/>
      <c r="AA1849" s="732"/>
      <c r="AB1849" s="732"/>
      <c r="AC1849" s="732"/>
      <c r="AD1849" s="732"/>
      <c r="AE1849" s="733"/>
      <c r="AF1849" s="734" t="str">
        <f t="shared" si="86"/>
        <v/>
      </c>
      <c r="AG1849" s="773"/>
    </row>
    <row r="1850" spans="1:64" ht="18.75" x14ac:dyDescent="0.25">
      <c r="A1850" s="758"/>
      <c r="B1850" s="737"/>
      <c r="C1850" s="730"/>
      <c r="D1850" s="739"/>
      <c r="E1850" s="765"/>
      <c r="F1850" s="765"/>
      <c r="G1850" s="765"/>
      <c r="H1850" s="765"/>
      <c r="I1850" s="746" t="str">
        <f t="shared" si="85"/>
        <v/>
      </c>
      <c r="J1850" s="731"/>
      <c r="K1850" s="731" t="str">
        <f t="shared" si="84"/>
        <v/>
      </c>
      <c r="L1850" s="726"/>
      <c r="M1850" s="726"/>
      <c r="N1850" s="726"/>
      <c r="O1850" s="726"/>
      <c r="P1850" s="726"/>
      <c r="Q1850" s="726"/>
      <c r="R1850" s="726"/>
      <c r="S1850" s="726"/>
      <c r="T1850" s="726"/>
      <c r="U1850" s="726"/>
      <c r="V1850" s="726"/>
      <c r="W1850" s="726"/>
      <c r="X1850" s="726"/>
      <c r="Y1850" s="726"/>
      <c r="Z1850" s="726"/>
      <c r="AA1850" s="732"/>
      <c r="AB1850" s="732"/>
      <c r="AC1850" s="732"/>
      <c r="AD1850" s="732"/>
      <c r="AE1850" s="733"/>
      <c r="AF1850" s="734" t="str">
        <f t="shared" si="86"/>
        <v/>
      </c>
      <c r="AG1850" s="773"/>
    </row>
    <row r="1851" spans="1:64" ht="18.75" x14ac:dyDescent="0.25">
      <c r="A1851" s="758"/>
      <c r="B1851" s="737"/>
      <c r="C1851" s="730"/>
      <c r="D1851" s="739"/>
      <c r="E1851" s="765"/>
      <c r="F1851" s="765"/>
      <c r="G1851" s="765"/>
      <c r="H1851" s="765"/>
      <c r="I1851" s="746" t="str">
        <f t="shared" si="85"/>
        <v/>
      </c>
      <c r="J1851" s="731"/>
      <c r="K1851" s="731" t="str">
        <f t="shared" si="84"/>
        <v/>
      </c>
      <c r="L1851" s="726"/>
      <c r="M1851" s="726"/>
      <c r="N1851" s="726"/>
      <c r="O1851" s="726"/>
      <c r="P1851" s="726"/>
      <c r="Q1851" s="726"/>
      <c r="R1851" s="726"/>
      <c r="S1851" s="726"/>
      <c r="T1851" s="726"/>
      <c r="U1851" s="726"/>
      <c r="V1851" s="726"/>
      <c r="W1851" s="726"/>
      <c r="X1851" s="726"/>
      <c r="Y1851" s="726"/>
      <c r="Z1851" s="726"/>
      <c r="AA1851" s="732"/>
      <c r="AB1851" s="732"/>
      <c r="AC1851" s="732"/>
      <c r="AD1851" s="732"/>
      <c r="AE1851" s="733"/>
      <c r="AF1851" s="734" t="str">
        <f t="shared" si="86"/>
        <v/>
      </c>
      <c r="AG1851" s="773"/>
    </row>
    <row r="1852" spans="1:64" ht="18.75" x14ac:dyDescent="0.25">
      <c r="A1852" s="758"/>
      <c r="B1852" s="737"/>
      <c r="C1852" s="730"/>
      <c r="D1852" s="739"/>
      <c r="E1852" s="765"/>
      <c r="F1852" s="765"/>
      <c r="G1852" s="765"/>
      <c r="H1852" s="765"/>
      <c r="I1852" s="746" t="str">
        <f t="shared" si="85"/>
        <v/>
      </c>
      <c r="J1852" s="731"/>
      <c r="K1852" s="731" t="str">
        <f t="shared" si="84"/>
        <v/>
      </c>
      <c r="L1852" s="726"/>
      <c r="M1852" s="726"/>
      <c r="N1852" s="726"/>
      <c r="O1852" s="726"/>
      <c r="P1852" s="726"/>
      <c r="Q1852" s="726"/>
      <c r="R1852" s="726"/>
      <c r="S1852" s="726"/>
      <c r="T1852" s="726"/>
      <c r="U1852" s="726"/>
      <c r="V1852" s="726"/>
      <c r="W1852" s="726"/>
      <c r="X1852" s="726"/>
      <c r="Y1852" s="726"/>
      <c r="Z1852" s="726"/>
      <c r="AA1852" s="732"/>
      <c r="AB1852" s="732"/>
      <c r="AC1852" s="732"/>
      <c r="AD1852" s="732"/>
      <c r="AE1852" s="733"/>
      <c r="AF1852" s="734" t="str">
        <f t="shared" si="86"/>
        <v/>
      </c>
      <c r="AG1852" s="775"/>
      <c r="AH1852" s="779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36"/>
      <c r="BE1852" s="36"/>
      <c r="BF1852" s="36"/>
      <c r="BG1852" s="36"/>
      <c r="BH1852" s="36"/>
      <c r="BI1852" s="36"/>
      <c r="BJ1852" s="36"/>
      <c r="BK1852" s="36"/>
      <c r="BL1852" s="36"/>
    </row>
    <row r="1853" spans="1:64" ht="18.75" x14ac:dyDescent="0.25">
      <c r="A1853" s="758"/>
      <c r="B1853" s="737"/>
      <c r="C1853" s="730"/>
      <c r="D1853" s="739"/>
      <c r="E1853" s="765"/>
      <c r="F1853" s="765"/>
      <c r="G1853" s="765"/>
      <c r="H1853" s="765"/>
      <c r="I1853" s="746" t="str">
        <f t="shared" si="85"/>
        <v/>
      </c>
      <c r="J1853" s="731"/>
      <c r="K1853" s="731" t="str">
        <f t="shared" si="84"/>
        <v/>
      </c>
      <c r="L1853" s="726"/>
      <c r="M1853" s="726"/>
      <c r="N1853" s="726"/>
      <c r="O1853" s="726"/>
      <c r="P1853" s="726"/>
      <c r="Q1853" s="726"/>
      <c r="R1853" s="726"/>
      <c r="S1853" s="726"/>
      <c r="T1853" s="726"/>
      <c r="U1853" s="726"/>
      <c r="V1853" s="726"/>
      <c r="W1853" s="726"/>
      <c r="X1853" s="726"/>
      <c r="Y1853" s="726"/>
      <c r="Z1853" s="726"/>
      <c r="AA1853" s="732"/>
      <c r="AB1853" s="732"/>
      <c r="AC1853" s="732"/>
      <c r="AD1853" s="732"/>
      <c r="AE1853" s="733"/>
      <c r="AF1853" s="734" t="str">
        <f t="shared" si="86"/>
        <v/>
      </c>
      <c r="AG1853" s="773"/>
    </row>
    <row r="1854" spans="1:64" ht="18.75" x14ac:dyDescent="0.25">
      <c r="A1854" s="758"/>
      <c r="B1854" s="737"/>
      <c r="C1854" s="730"/>
      <c r="D1854" s="739"/>
      <c r="E1854" s="765"/>
      <c r="F1854" s="765"/>
      <c r="G1854" s="765"/>
      <c r="H1854" s="765"/>
      <c r="I1854" s="746" t="str">
        <f t="shared" si="85"/>
        <v/>
      </c>
      <c r="J1854" s="731"/>
      <c r="K1854" s="731" t="str">
        <f t="shared" si="84"/>
        <v/>
      </c>
      <c r="L1854" s="726"/>
      <c r="M1854" s="726"/>
      <c r="N1854" s="726"/>
      <c r="O1854" s="726"/>
      <c r="P1854" s="726"/>
      <c r="Q1854" s="726"/>
      <c r="R1854" s="726"/>
      <c r="S1854" s="726"/>
      <c r="T1854" s="726"/>
      <c r="U1854" s="726"/>
      <c r="V1854" s="726"/>
      <c r="W1854" s="726"/>
      <c r="X1854" s="726"/>
      <c r="Y1854" s="726"/>
      <c r="Z1854" s="726"/>
      <c r="AA1854" s="732"/>
      <c r="AB1854" s="732"/>
      <c r="AC1854" s="732"/>
      <c r="AD1854" s="732"/>
      <c r="AE1854" s="733"/>
      <c r="AF1854" s="734" t="str">
        <f t="shared" si="86"/>
        <v/>
      </c>
      <c r="AG1854" s="773"/>
    </row>
    <row r="1855" spans="1:64" ht="18.75" x14ac:dyDescent="0.25">
      <c r="A1855" s="758"/>
      <c r="B1855" s="737"/>
      <c r="C1855" s="730"/>
      <c r="D1855" s="739"/>
      <c r="E1855" s="765"/>
      <c r="F1855" s="765"/>
      <c r="G1855" s="765"/>
      <c r="H1855" s="765"/>
      <c r="I1855" s="746" t="str">
        <f t="shared" si="85"/>
        <v/>
      </c>
      <c r="J1855" s="731"/>
      <c r="K1855" s="731" t="str">
        <f t="shared" si="84"/>
        <v/>
      </c>
      <c r="L1855" s="726"/>
      <c r="M1855" s="726"/>
      <c r="N1855" s="726"/>
      <c r="O1855" s="726"/>
      <c r="P1855" s="726"/>
      <c r="Q1855" s="726"/>
      <c r="R1855" s="726"/>
      <c r="S1855" s="726"/>
      <c r="T1855" s="726"/>
      <c r="U1855" s="726"/>
      <c r="V1855" s="726"/>
      <c r="W1855" s="726"/>
      <c r="X1855" s="726"/>
      <c r="Y1855" s="726"/>
      <c r="Z1855" s="726"/>
      <c r="AA1855" s="732"/>
      <c r="AB1855" s="732"/>
      <c r="AC1855" s="732"/>
      <c r="AD1855" s="732"/>
      <c r="AE1855" s="733"/>
      <c r="AF1855" s="734" t="str">
        <f t="shared" si="86"/>
        <v/>
      </c>
      <c r="AG1855" s="773"/>
    </row>
    <row r="1856" spans="1:64" ht="18.75" x14ac:dyDescent="0.25">
      <c r="A1856" s="758"/>
      <c r="B1856" s="737"/>
      <c r="C1856" s="730"/>
      <c r="D1856" s="739"/>
      <c r="E1856" s="765"/>
      <c r="F1856" s="765"/>
      <c r="G1856" s="765"/>
      <c r="H1856" s="765"/>
      <c r="I1856" s="746" t="str">
        <f t="shared" si="85"/>
        <v/>
      </c>
      <c r="J1856" s="731"/>
      <c r="K1856" s="731" t="str">
        <f t="shared" si="84"/>
        <v/>
      </c>
      <c r="L1856" s="726"/>
      <c r="M1856" s="726"/>
      <c r="N1856" s="726"/>
      <c r="O1856" s="726"/>
      <c r="P1856" s="726"/>
      <c r="Q1856" s="726"/>
      <c r="R1856" s="726"/>
      <c r="S1856" s="726"/>
      <c r="T1856" s="726"/>
      <c r="U1856" s="726"/>
      <c r="V1856" s="726"/>
      <c r="W1856" s="726"/>
      <c r="X1856" s="726"/>
      <c r="Y1856" s="726"/>
      <c r="Z1856" s="726"/>
      <c r="AA1856" s="732"/>
      <c r="AB1856" s="732"/>
      <c r="AC1856" s="732"/>
      <c r="AD1856" s="732"/>
      <c r="AE1856" s="733"/>
      <c r="AF1856" s="734" t="str">
        <f t="shared" si="86"/>
        <v/>
      </c>
      <c r="AG1856" s="773"/>
    </row>
    <row r="1857" spans="1:64" ht="18.75" x14ac:dyDescent="0.25">
      <c r="A1857" s="758"/>
      <c r="B1857" s="737"/>
      <c r="C1857" s="730"/>
      <c r="D1857" s="739"/>
      <c r="E1857" s="765"/>
      <c r="F1857" s="765"/>
      <c r="G1857" s="765"/>
      <c r="H1857" s="765"/>
      <c r="I1857" s="746" t="str">
        <f t="shared" si="85"/>
        <v/>
      </c>
      <c r="J1857" s="731"/>
      <c r="K1857" s="731" t="str">
        <f t="shared" si="84"/>
        <v/>
      </c>
      <c r="L1857" s="726"/>
      <c r="M1857" s="726"/>
      <c r="N1857" s="726"/>
      <c r="O1857" s="726"/>
      <c r="P1857" s="726"/>
      <c r="Q1857" s="726"/>
      <c r="R1857" s="726"/>
      <c r="S1857" s="726"/>
      <c r="T1857" s="726"/>
      <c r="U1857" s="726"/>
      <c r="V1857" s="726"/>
      <c r="W1857" s="726"/>
      <c r="X1857" s="726"/>
      <c r="Y1857" s="726"/>
      <c r="Z1857" s="726"/>
      <c r="AA1857" s="732"/>
      <c r="AB1857" s="732"/>
      <c r="AC1857" s="732"/>
      <c r="AD1857" s="732"/>
      <c r="AE1857" s="733"/>
      <c r="AF1857" s="734" t="str">
        <f t="shared" si="86"/>
        <v/>
      </c>
      <c r="AG1857" s="773"/>
    </row>
    <row r="1858" spans="1:64" ht="18.75" x14ac:dyDescent="0.25">
      <c r="A1858" s="758"/>
      <c r="B1858" s="737"/>
      <c r="C1858" s="730"/>
      <c r="D1858" s="739"/>
      <c r="E1858" s="765"/>
      <c r="F1858" s="765"/>
      <c r="G1858" s="765"/>
      <c r="H1858" s="765"/>
      <c r="I1858" s="746" t="str">
        <f t="shared" si="85"/>
        <v/>
      </c>
      <c r="J1858" s="731"/>
      <c r="K1858" s="731" t="str">
        <f t="shared" si="84"/>
        <v/>
      </c>
      <c r="L1858" s="726"/>
      <c r="M1858" s="726"/>
      <c r="N1858" s="726"/>
      <c r="O1858" s="726"/>
      <c r="P1858" s="726"/>
      <c r="Q1858" s="726"/>
      <c r="R1858" s="726"/>
      <c r="S1858" s="726"/>
      <c r="T1858" s="726"/>
      <c r="U1858" s="726"/>
      <c r="V1858" s="726"/>
      <c r="W1858" s="726"/>
      <c r="X1858" s="726"/>
      <c r="Y1858" s="726"/>
      <c r="Z1858" s="726"/>
      <c r="AA1858" s="732"/>
      <c r="AB1858" s="732"/>
      <c r="AC1858" s="732"/>
      <c r="AD1858" s="732"/>
      <c r="AE1858" s="733"/>
      <c r="AF1858" s="734" t="str">
        <f t="shared" si="86"/>
        <v/>
      </c>
      <c r="AG1858" s="773"/>
    </row>
    <row r="1859" spans="1:64" ht="19.5" customHeight="1" x14ac:dyDescent="0.25">
      <c r="A1859" s="758"/>
      <c r="B1859" s="737"/>
      <c r="C1859" s="730"/>
      <c r="D1859" s="739"/>
      <c r="E1859" s="765"/>
      <c r="F1859" s="765"/>
      <c r="G1859" s="765"/>
      <c r="H1859" s="765"/>
      <c r="I1859" s="746" t="str">
        <f t="shared" si="85"/>
        <v/>
      </c>
      <c r="J1859" s="731"/>
      <c r="K1859" s="731" t="str">
        <f t="shared" si="84"/>
        <v/>
      </c>
      <c r="L1859" s="726"/>
      <c r="M1859" s="726"/>
      <c r="N1859" s="726"/>
      <c r="O1859" s="726"/>
      <c r="P1859" s="726"/>
      <c r="Q1859" s="726"/>
      <c r="R1859" s="726"/>
      <c r="S1859" s="726"/>
      <c r="T1859" s="726"/>
      <c r="U1859" s="726"/>
      <c r="V1859" s="726"/>
      <c r="W1859" s="726"/>
      <c r="X1859" s="726"/>
      <c r="Y1859" s="726"/>
      <c r="Z1859" s="726"/>
      <c r="AA1859" s="732"/>
      <c r="AB1859" s="732"/>
      <c r="AC1859" s="732"/>
      <c r="AD1859" s="732"/>
      <c r="AE1859" s="733"/>
      <c r="AF1859" s="734" t="str">
        <f t="shared" si="86"/>
        <v/>
      </c>
      <c r="AG1859" s="775"/>
      <c r="AH1859" s="779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36"/>
      <c r="BE1859" s="36"/>
      <c r="BF1859" s="36"/>
      <c r="BG1859" s="36"/>
      <c r="BH1859" s="36"/>
      <c r="BI1859" s="36"/>
      <c r="BJ1859" s="36"/>
      <c r="BK1859" s="36"/>
      <c r="BL1859" s="36"/>
    </row>
    <row r="1860" spans="1:64" ht="19.5" customHeight="1" x14ac:dyDescent="0.25">
      <c r="A1860" s="758"/>
      <c r="B1860" s="737"/>
      <c r="C1860" s="730"/>
      <c r="D1860" s="739"/>
      <c r="E1860" s="765"/>
      <c r="F1860" s="765"/>
      <c r="G1860" s="765"/>
      <c r="H1860" s="765"/>
      <c r="I1860" s="746" t="str">
        <f t="shared" si="85"/>
        <v/>
      </c>
      <c r="J1860" s="731"/>
      <c r="K1860" s="731" t="str">
        <f t="shared" ref="K1860:K1923" si="87">IF(AA1860-AE1860 = 0,"",AA1860-AE1860)</f>
        <v/>
      </c>
      <c r="L1860" s="726"/>
      <c r="M1860" s="726"/>
      <c r="N1860" s="726"/>
      <c r="O1860" s="726"/>
      <c r="P1860" s="726"/>
      <c r="Q1860" s="726"/>
      <c r="R1860" s="726"/>
      <c r="S1860" s="726"/>
      <c r="T1860" s="726"/>
      <c r="U1860" s="726"/>
      <c r="V1860" s="726"/>
      <c r="W1860" s="726"/>
      <c r="X1860" s="726"/>
      <c r="Y1860" s="726"/>
      <c r="Z1860" s="726"/>
      <c r="AA1860" s="732"/>
      <c r="AB1860" s="732"/>
      <c r="AC1860" s="732"/>
      <c r="AD1860" s="732"/>
      <c r="AE1860" s="733"/>
      <c r="AF1860" s="734" t="str">
        <f t="shared" si="86"/>
        <v/>
      </c>
      <c r="AG1860" s="775"/>
      <c r="AH1860" s="779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36"/>
      <c r="BE1860" s="36"/>
      <c r="BF1860" s="36"/>
      <c r="BG1860" s="36"/>
      <c r="BH1860" s="36"/>
      <c r="BI1860" s="36"/>
      <c r="BJ1860" s="36"/>
      <c r="BK1860" s="36"/>
      <c r="BL1860" s="36"/>
    </row>
    <row r="1861" spans="1:64" ht="18.75" x14ac:dyDescent="0.25">
      <c r="A1861" s="758"/>
      <c r="B1861" s="737"/>
      <c r="C1861" s="730"/>
      <c r="D1861" s="739"/>
      <c r="E1861" s="765"/>
      <c r="F1861" s="765"/>
      <c r="G1861" s="765"/>
      <c r="H1861" s="765"/>
      <c r="I1861" s="746" t="str">
        <f t="shared" ref="I1861:I1924" si="88">AF1861</f>
        <v/>
      </c>
      <c r="J1861" s="731"/>
      <c r="K1861" s="731" t="str">
        <f t="shared" si="87"/>
        <v/>
      </c>
      <c r="L1861" s="726"/>
      <c r="M1861" s="726"/>
      <c r="N1861" s="726"/>
      <c r="O1861" s="726"/>
      <c r="P1861" s="726"/>
      <c r="Q1861" s="726"/>
      <c r="R1861" s="726"/>
      <c r="S1861" s="726"/>
      <c r="T1861" s="726"/>
      <c r="U1861" s="726"/>
      <c r="V1861" s="726"/>
      <c r="W1861" s="726"/>
      <c r="X1861" s="726"/>
      <c r="Y1861" s="726"/>
      <c r="Z1861" s="726"/>
      <c r="AA1861" s="732"/>
      <c r="AB1861" s="732"/>
      <c r="AC1861" s="732"/>
      <c r="AD1861" s="732"/>
      <c r="AE1861" s="733"/>
      <c r="AF1861" s="734" t="str">
        <f t="shared" ref="AF1861:AF1924" si="89">IF(AE1861 &lt;&gt;"", AE1861/AA1861,"")</f>
        <v/>
      </c>
      <c r="AG1861" s="773"/>
    </row>
    <row r="1862" spans="1:64" ht="18.75" x14ac:dyDescent="0.25">
      <c r="A1862" s="758"/>
      <c r="B1862" s="737"/>
      <c r="C1862" s="730"/>
      <c r="D1862" s="739"/>
      <c r="E1862" s="765"/>
      <c r="F1862" s="765"/>
      <c r="G1862" s="765"/>
      <c r="H1862" s="765"/>
      <c r="I1862" s="746" t="str">
        <f t="shared" si="88"/>
        <v/>
      </c>
      <c r="J1862" s="731"/>
      <c r="K1862" s="731" t="str">
        <f t="shared" si="87"/>
        <v/>
      </c>
      <c r="L1862" s="726"/>
      <c r="M1862" s="726"/>
      <c r="N1862" s="726"/>
      <c r="O1862" s="726"/>
      <c r="P1862" s="726"/>
      <c r="Q1862" s="726"/>
      <c r="R1862" s="726"/>
      <c r="S1862" s="726"/>
      <c r="T1862" s="726"/>
      <c r="U1862" s="726"/>
      <c r="V1862" s="726"/>
      <c r="W1862" s="726"/>
      <c r="X1862" s="726"/>
      <c r="Y1862" s="726"/>
      <c r="Z1862" s="726"/>
      <c r="AA1862" s="732"/>
      <c r="AB1862" s="732"/>
      <c r="AC1862" s="732"/>
      <c r="AD1862" s="732"/>
      <c r="AE1862" s="733"/>
      <c r="AF1862" s="734" t="str">
        <f t="shared" si="89"/>
        <v/>
      </c>
      <c r="AG1862" s="773"/>
    </row>
    <row r="1863" spans="1:64" ht="18.75" x14ac:dyDescent="0.25">
      <c r="A1863" s="758"/>
      <c r="B1863" s="737"/>
      <c r="C1863" s="730"/>
      <c r="D1863" s="739"/>
      <c r="E1863" s="765"/>
      <c r="F1863" s="765"/>
      <c r="G1863" s="765"/>
      <c r="H1863" s="765"/>
      <c r="I1863" s="746" t="str">
        <f t="shared" si="88"/>
        <v/>
      </c>
      <c r="J1863" s="731"/>
      <c r="K1863" s="731" t="str">
        <f t="shared" si="87"/>
        <v/>
      </c>
      <c r="L1863" s="726"/>
      <c r="M1863" s="726"/>
      <c r="N1863" s="726"/>
      <c r="O1863" s="726"/>
      <c r="P1863" s="726"/>
      <c r="Q1863" s="726"/>
      <c r="R1863" s="726"/>
      <c r="S1863" s="726"/>
      <c r="T1863" s="726"/>
      <c r="U1863" s="726"/>
      <c r="V1863" s="726"/>
      <c r="W1863" s="726"/>
      <c r="X1863" s="726"/>
      <c r="Y1863" s="726"/>
      <c r="Z1863" s="726"/>
      <c r="AA1863" s="732"/>
      <c r="AB1863" s="732"/>
      <c r="AC1863" s="732"/>
      <c r="AD1863" s="732"/>
      <c r="AE1863" s="733"/>
      <c r="AF1863" s="734" t="str">
        <f t="shared" si="89"/>
        <v/>
      </c>
      <c r="AG1863" s="773"/>
    </row>
    <row r="1864" spans="1:64" ht="18.75" x14ac:dyDescent="0.25">
      <c r="A1864" s="758"/>
      <c r="B1864" s="737"/>
      <c r="C1864" s="730"/>
      <c r="D1864" s="739"/>
      <c r="E1864" s="765"/>
      <c r="F1864" s="765"/>
      <c r="G1864" s="765"/>
      <c r="H1864" s="765"/>
      <c r="I1864" s="746" t="str">
        <f t="shared" si="88"/>
        <v/>
      </c>
      <c r="J1864" s="731"/>
      <c r="K1864" s="731" t="str">
        <f t="shared" si="87"/>
        <v/>
      </c>
      <c r="L1864" s="726"/>
      <c r="M1864" s="726"/>
      <c r="N1864" s="726"/>
      <c r="O1864" s="726"/>
      <c r="P1864" s="726"/>
      <c r="Q1864" s="726"/>
      <c r="R1864" s="726"/>
      <c r="S1864" s="726"/>
      <c r="T1864" s="726"/>
      <c r="U1864" s="726"/>
      <c r="V1864" s="726"/>
      <c r="W1864" s="726"/>
      <c r="X1864" s="726"/>
      <c r="Y1864" s="726"/>
      <c r="Z1864" s="726"/>
      <c r="AA1864" s="732"/>
      <c r="AB1864" s="732"/>
      <c r="AC1864" s="732"/>
      <c r="AD1864" s="732"/>
      <c r="AE1864" s="733"/>
      <c r="AF1864" s="734" t="str">
        <f t="shared" si="89"/>
        <v/>
      </c>
      <c r="AG1864" s="773"/>
    </row>
    <row r="1865" spans="1:64" ht="18.75" x14ac:dyDescent="0.25">
      <c r="A1865" s="758"/>
      <c r="B1865" s="737"/>
      <c r="C1865" s="730"/>
      <c r="D1865" s="739"/>
      <c r="E1865" s="765"/>
      <c r="F1865" s="765"/>
      <c r="G1865" s="765"/>
      <c r="H1865" s="765"/>
      <c r="I1865" s="746" t="str">
        <f t="shared" si="88"/>
        <v/>
      </c>
      <c r="J1865" s="731"/>
      <c r="K1865" s="731" t="str">
        <f t="shared" si="87"/>
        <v/>
      </c>
      <c r="L1865" s="726"/>
      <c r="M1865" s="726"/>
      <c r="N1865" s="726"/>
      <c r="O1865" s="726"/>
      <c r="P1865" s="726"/>
      <c r="Q1865" s="726"/>
      <c r="R1865" s="726"/>
      <c r="S1865" s="726"/>
      <c r="T1865" s="726"/>
      <c r="U1865" s="726"/>
      <c r="V1865" s="726"/>
      <c r="W1865" s="726"/>
      <c r="X1865" s="726"/>
      <c r="Y1865" s="726"/>
      <c r="Z1865" s="726"/>
      <c r="AA1865" s="732"/>
      <c r="AB1865" s="732"/>
      <c r="AC1865" s="732"/>
      <c r="AD1865" s="732"/>
      <c r="AE1865" s="733"/>
      <c r="AF1865" s="734" t="str">
        <f t="shared" si="89"/>
        <v/>
      </c>
      <c r="AG1865" s="773"/>
    </row>
    <row r="1866" spans="1:64" ht="18.75" x14ac:dyDescent="0.25">
      <c r="A1866" s="758"/>
      <c r="B1866" s="737"/>
      <c r="C1866" s="730"/>
      <c r="D1866" s="739"/>
      <c r="E1866" s="765"/>
      <c r="F1866" s="765"/>
      <c r="G1866" s="765"/>
      <c r="H1866" s="765"/>
      <c r="I1866" s="746" t="str">
        <f t="shared" si="88"/>
        <v/>
      </c>
      <c r="J1866" s="731"/>
      <c r="K1866" s="731" t="str">
        <f t="shared" si="87"/>
        <v/>
      </c>
      <c r="L1866" s="726"/>
      <c r="M1866" s="726"/>
      <c r="N1866" s="726"/>
      <c r="O1866" s="726"/>
      <c r="P1866" s="726"/>
      <c r="Q1866" s="726"/>
      <c r="R1866" s="726"/>
      <c r="S1866" s="726"/>
      <c r="T1866" s="726"/>
      <c r="U1866" s="726"/>
      <c r="V1866" s="726"/>
      <c r="W1866" s="726"/>
      <c r="X1866" s="726"/>
      <c r="Y1866" s="726"/>
      <c r="Z1866" s="726"/>
      <c r="AA1866" s="732"/>
      <c r="AB1866" s="732"/>
      <c r="AC1866" s="732"/>
      <c r="AD1866" s="732"/>
      <c r="AE1866" s="733"/>
      <c r="AF1866" s="734" t="str">
        <f t="shared" si="89"/>
        <v/>
      </c>
      <c r="AG1866" s="773"/>
    </row>
    <row r="1867" spans="1:64" ht="18.75" x14ac:dyDescent="0.25">
      <c r="A1867" s="758"/>
      <c r="B1867" s="737"/>
      <c r="C1867" s="730"/>
      <c r="D1867" s="739"/>
      <c r="E1867" s="765"/>
      <c r="F1867" s="765"/>
      <c r="G1867" s="765"/>
      <c r="H1867" s="765"/>
      <c r="I1867" s="746" t="str">
        <f t="shared" si="88"/>
        <v/>
      </c>
      <c r="J1867" s="731"/>
      <c r="K1867" s="731" t="str">
        <f t="shared" si="87"/>
        <v/>
      </c>
      <c r="L1867" s="726"/>
      <c r="M1867" s="726"/>
      <c r="N1867" s="726"/>
      <c r="O1867" s="726"/>
      <c r="P1867" s="726"/>
      <c r="Q1867" s="726"/>
      <c r="R1867" s="726"/>
      <c r="S1867" s="726"/>
      <c r="T1867" s="726"/>
      <c r="U1867" s="726"/>
      <c r="V1867" s="726"/>
      <c r="W1867" s="726"/>
      <c r="X1867" s="726"/>
      <c r="Y1867" s="726"/>
      <c r="Z1867" s="726"/>
      <c r="AA1867" s="732"/>
      <c r="AB1867" s="732"/>
      <c r="AC1867" s="732"/>
      <c r="AD1867" s="732"/>
      <c r="AE1867" s="733"/>
      <c r="AF1867" s="734" t="str">
        <f t="shared" si="89"/>
        <v/>
      </c>
      <c r="AG1867" s="775"/>
      <c r="AH1867" s="779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36"/>
      <c r="BA1867" s="36"/>
      <c r="BB1867" s="36"/>
      <c r="BC1867" s="36"/>
      <c r="BD1867" s="36"/>
      <c r="BE1867" s="36"/>
      <c r="BF1867" s="36"/>
      <c r="BG1867" s="36"/>
      <c r="BH1867" s="36"/>
      <c r="BI1867" s="36"/>
      <c r="BJ1867" s="36"/>
      <c r="BK1867" s="36"/>
      <c r="BL1867" s="36"/>
    </row>
    <row r="1868" spans="1:64" ht="18.75" x14ac:dyDescent="0.25">
      <c r="A1868" s="758"/>
      <c r="B1868" s="737"/>
      <c r="C1868" s="730"/>
      <c r="D1868" s="739"/>
      <c r="E1868" s="765"/>
      <c r="F1868" s="765"/>
      <c r="G1868" s="765"/>
      <c r="H1868" s="765"/>
      <c r="I1868" s="746" t="str">
        <f t="shared" si="88"/>
        <v/>
      </c>
      <c r="J1868" s="731"/>
      <c r="K1868" s="731" t="str">
        <f t="shared" si="87"/>
        <v/>
      </c>
      <c r="L1868" s="726"/>
      <c r="M1868" s="726"/>
      <c r="N1868" s="726"/>
      <c r="O1868" s="726"/>
      <c r="P1868" s="726"/>
      <c r="Q1868" s="726"/>
      <c r="R1868" s="726"/>
      <c r="S1868" s="726"/>
      <c r="T1868" s="726"/>
      <c r="U1868" s="726"/>
      <c r="V1868" s="726"/>
      <c r="W1868" s="726"/>
      <c r="X1868" s="726"/>
      <c r="Y1868" s="726"/>
      <c r="Z1868" s="726"/>
      <c r="AA1868" s="732"/>
      <c r="AB1868" s="732"/>
      <c r="AC1868" s="732"/>
      <c r="AD1868" s="732"/>
      <c r="AE1868" s="733"/>
      <c r="AF1868" s="734" t="str">
        <f t="shared" si="89"/>
        <v/>
      </c>
      <c r="AG1868" s="773"/>
    </row>
    <row r="1869" spans="1:64" ht="18.75" x14ac:dyDescent="0.25">
      <c r="A1869" s="758"/>
      <c r="B1869" s="737"/>
      <c r="C1869" s="730"/>
      <c r="D1869" s="739"/>
      <c r="E1869" s="765"/>
      <c r="F1869" s="765"/>
      <c r="G1869" s="765"/>
      <c r="H1869" s="765"/>
      <c r="I1869" s="746" t="str">
        <f t="shared" si="88"/>
        <v/>
      </c>
      <c r="J1869" s="731"/>
      <c r="K1869" s="731" t="str">
        <f t="shared" si="87"/>
        <v/>
      </c>
      <c r="L1869" s="726"/>
      <c r="M1869" s="726"/>
      <c r="N1869" s="726"/>
      <c r="O1869" s="726"/>
      <c r="P1869" s="726"/>
      <c r="Q1869" s="726"/>
      <c r="R1869" s="726"/>
      <c r="S1869" s="726"/>
      <c r="T1869" s="726"/>
      <c r="U1869" s="726"/>
      <c r="V1869" s="726"/>
      <c r="W1869" s="726"/>
      <c r="X1869" s="726"/>
      <c r="Y1869" s="726"/>
      <c r="Z1869" s="726"/>
      <c r="AA1869" s="732"/>
      <c r="AB1869" s="732"/>
      <c r="AC1869" s="732"/>
      <c r="AD1869" s="732"/>
      <c r="AE1869" s="733"/>
      <c r="AF1869" s="734" t="str">
        <f t="shared" si="89"/>
        <v/>
      </c>
      <c r="AG1869" s="773"/>
    </row>
    <row r="1870" spans="1:64" ht="18.75" x14ac:dyDescent="0.25">
      <c r="A1870" s="758"/>
      <c r="B1870" s="737"/>
      <c r="C1870" s="730"/>
      <c r="D1870" s="739"/>
      <c r="E1870" s="765"/>
      <c r="F1870" s="765"/>
      <c r="G1870" s="765"/>
      <c r="H1870" s="765"/>
      <c r="I1870" s="746" t="str">
        <f t="shared" si="88"/>
        <v/>
      </c>
      <c r="J1870" s="731"/>
      <c r="K1870" s="731" t="str">
        <f t="shared" si="87"/>
        <v/>
      </c>
      <c r="L1870" s="726"/>
      <c r="M1870" s="726"/>
      <c r="N1870" s="726"/>
      <c r="O1870" s="726"/>
      <c r="P1870" s="726"/>
      <c r="Q1870" s="726"/>
      <c r="R1870" s="726"/>
      <c r="S1870" s="726"/>
      <c r="T1870" s="726"/>
      <c r="U1870" s="726"/>
      <c r="V1870" s="726"/>
      <c r="W1870" s="726"/>
      <c r="X1870" s="726"/>
      <c r="Y1870" s="726"/>
      <c r="Z1870" s="726"/>
      <c r="AA1870" s="732"/>
      <c r="AB1870" s="732"/>
      <c r="AC1870" s="732"/>
      <c r="AD1870" s="732"/>
      <c r="AE1870" s="733"/>
      <c r="AF1870" s="734" t="str">
        <f t="shared" si="89"/>
        <v/>
      </c>
      <c r="AG1870" s="773"/>
    </row>
    <row r="1871" spans="1:64" ht="18.75" x14ac:dyDescent="0.25">
      <c r="A1871" s="758"/>
      <c r="B1871" s="737"/>
      <c r="C1871" s="730"/>
      <c r="D1871" s="739"/>
      <c r="E1871" s="765"/>
      <c r="F1871" s="765"/>
      <c r="G1871" s="765"/>
      <c r="H1871" s="765"/>
      <c r="I1871" s="746" t="str">
        <f t="shared" si="88"/>
        <v/>
      </c>
      <c r="J1871" s="731"/>
      <c r="K1871" s="731" t="str">
        <f t="shared" si="87"/>
        <v/>
      </c>
      <c r="L1871" s="726"/>
      <c r="M1871" s="726"/>
      <c r="N1871" s="726"/>
      <c r="O1871" s="726"/>
      <c r="P1871" s="726"/>
      <c r="Q1871" s="726"/>
      <c r="R1871" s="726"/>
      <c r="S1871" s="726"/>
      <c r="T1871" s="726"/>
      <c r="U1871" s="726"/>
      <c r="V1871" s="726"/>
      <c r="W1871" s="726"/>
      <c r="X1871" s="726"/>
      <c r="Y1871" s="726"/>
      <c r="Z1871" s="726"/>
      <c r="AA1871" s="732"/>
      <c r="AB1871" s="732"/>
      <c r="AC1871" s="732"/>
      <c r="AD1871" s="732"/>
      <c r="AE1871" s="733"/>
      <c r="AF1871" s="734" t="str">
        <f t="shared" si="89"/>
        <v/>
      </c>
      <c r="AG1871" s="773"/>
    </row>
    <row r="1872" spans="1:64" ht="18.75" x14ac:dyDescent="0.25">
      <c r="A1872" s="758"/>
      <c r="B1872" s="737"/>
      <c r="C1872" s="730"/>
      <c r="D1872" s="739"/>
      <c r="E1872" s="765"/>
      <c r="F1872" s="765"/>
      <c r="G1872" s="765"/>
      <c r="H1872" s="765"/>
      <c r="I1872" s="746" t="str">
        <f t="shared" si="88"/>
        <v/>
      </c>
      <c r="J1872" s="731"/>
      <c r="K1872" s="731" t="str">
        <f t="shared" si="87"/>
        <v/>
      </c>
      <c r="L1872" s="726"/>
      <c r="M1872" s="726"/>
      <c r="N1872" s="726"/>
      <c r="O1872" s="726"/>
      <c r="P1872" s="726"/>
      <c r="Q1872" s="726"/>
      <c r="R1872" s="726"/>
      <c r="S1872" s="726"/>
      <c r="T1872" s="726"/>
      <c r="U1872" s="726"/>
      <c r="V1872" s="726"/>
      <c r="W1872" s="726"/>
      <c r="X1872" s="726"/>
      <c r="Y1872" s="726"/>
      <c r="Z1872" s="726"/>
      <c r="AA1872" s="732"/>
      <c r="AB1872" s="732"/>
      <c r="AC1872" s="732"/>
      <c r="AD1872" s="732"/>
      <c r="AE1872" s="733"/>
      <c r="AF1872" s="734" t="str">
        <f t="shared" si="89"/>
        <v/>
      </c>
      <c r="AG1872" s="773"/>
    </row>
    <row r="1873" spans="1:33" ht="18.75" x14ac:dyDescent="0.25">
      <c r="A1873" s="758"/>
      <c r="B1873" s="737"/>
      <c r="C1873" s="730"/>
      <c r="D1873" s="739"/>
      <c r="E1873" s="765"/>
      <c r="F1873" s="765"/>
      <c r="G1873" s="765"/>
      <c r="H1873" s="765"/>
      <c r="I1873" s="746" t="str">
        <f t="shared" si="88"/>
        <v/>
      </c>
      <c r="J1873" s="731"/>
      <c r="K1873" s="731" t="str">
        <f t="shared" si="87"/>
        <v/>
      </c>
      <c r="L1873" s="726"/>
      <c r="M1873" s="726"/>
      <c r="N1873" s="726"/>
      <c r="O1873" s="726"/>
      <c r="P1873" s="726"/>
      <c r="Q1873" s="726"/>
      <c r="R1873" s="726"/>
      <c r="S1873" s="726"/>
      <c r="T1873" s="726"/>
      <c r="U1873" s="726"/>
      <c r="V1873" s="726"/>
      <c r="W1873" s="726"/>
      <c r="X1873" s="726"/>
      <c r="Y1873" s="726"/>
      <c r="Z1873" s="726"/>
      <c r="AA1873" s="732"/>
      <c r="AB1873" s="732"/>
      <c r="AC1873" s="732"/>
      <c r="AD1873" s="732"/>
      <c r="AE1873" s="733"/>
      <c r="AF1873" s="734" t="str">
        <f t="shared" si="89"/>
        <v/>
      </c>
      <c r="AG1873" s="773"/>
    </row>
    <row r="1874" spans="1:33" ht="18.75" x14ac:dyDescent="0.25">
      <c r="A1874" s="758"/>
      <c r="B1874" s="737"/>
      <c r="C1874" s="730"/>
      <c r="D1874" s="739"/>
      <c r="E1874" s="765"/>
      <c r="F1874" s="765"/>
      <c r="G1874" s="765"/>
      <c r="H1874" s="765"/>
      <c r="I1874" s="746" t="str">
        <f t="shared" si="88"/>
        <v/>
      </c>
      <c r="J1874" s="731"/>
      <c r="K1874" s="731" t="str">
        <f t="shared" si="87"/>
        <v/>
      </c>
      <c r="L1874" s="726"/>
      <c r="M1874" s="726"/>
      <c r="N1874" s="726"/>
      <c r="O1874" s="726"/>
      <c r="P1874" s="726"/>
      <c r="Q1874" s="726"/>
      <c r="R1874" s="726"/>
      <c r="S1874" s="726"/>
      <c r="T1874" s="726"/>
      <c r="U1874" s="726"/>
      <c r="V1874" s="726"/>
      <c r="W1874" s="726"/>
      <c r="X1874" s="726"/>
      <c r="Y1874" s="726"/>
      <c r="Z1874" s="726"/>
      <c r="AA1874" s="732"/>
      <c r="AB1874" s="732"/>
      <c r="AC1874" s="732"/>
      <c r="AD1874" s="732"/>
      <c r="AE1874" s="733"/>
      <c r="AF1874" s="734" t="str">
        <f t="shared" si="89"/>
        <v/>
      </c>
      <c r="AG1874" s="773"/>
    </row>
    <row r="1875" spans="1:33" ht="18.75" x14ac:dyDescent="0.25">
      <c r="A1875" s="758"/>
      <c r="B1875" s="737"/>
      <c r="C1875" s="730"/>
      <c r="D1875" s="739"/>
      <c r="E1875" s="765"/>
      <c r="F1875" s="765"/>
      <c r="G1875" s="765"/>
      <c r="H1875" s="765"/>
      <c r="I1875" s="746" t="str">
        <f t="shared" si="88"/>
        <v/>
      </c>
      <c r="J1875" s="731"/>
      <c r="K1875" s="731" t="str">
        <f t="shared" si="87"/>
        <v/>
      </c>
      <c r="L1875" s="726"/>
      <c r="M1875" s="726"/>
      <c r="N1875" s="726"/>
      <c r="O1875" s="726"/>
      <c r="P1875" s="726"/>
      <c r="Q1875" s="726"/>
      <c r="R1875" s="726"/>
      <c r="S1875" s="726"/>
      <c r="T1875" s="726"/>
      <c r="U1875" s="726"/>
      <c r="V1875" s="726"/>
      <c r="W1875" s="726"/>
      <c r="X1875" s="726"/>
      <c r="Y1875" s="726"/>
      <c r="Z1875" s="726"/>
      <c r="AA1875" s="732"/>
      <c r="AB1875" s="732"/>
      <c r="AC1875" s="732"/>
      <c r="AD1875" s="732"/>
      <c r="AE1875" s="733"/>
      <c r="AF1875" s="734" t="str">
        <f t="shared" si="89"/>
        <v/>
      </c>
      <c r="AG1875" s="773"/>
    </row>
    <row r="1876" spans="1:33" ht="18.75" x14ac:dyDescent="0.25">
      <c r="A1876" s="758"/>
      <c r="B1876" s="737"/>
      <c r="C1876" s="730"/>
      <c r="D1876" s="739"/>
      <c r="E1876" s="765"/>
      <c r="F1876" s="765"/>
      <c r="G1876" s="765"/>
      <c r="H1876" s="765"/>
      <c r="I1876" s="746" t="str">
        <f t="shared" si="88"/>
        <v/>
      </c>
      <c r="J1876" s="731"/>
      <c r="K1876" s="731" t="str">
        <f t="shared" si="87"/>
        <v/>
      </c>
      <c r="L1876" s="726"/>
      <c r="M1876" s="726"/>
      <c r="N1876" s="726"/>
      <c r="O1876" s="726"/>
      <c r="P1876" s="726"/>
      <c r="Q1876" s="726"/>
      <c r="R1876" s="726"/>
      <c r="S1876" s="726"/>
      <c r="T1876" s="726"/>
      <c r="U1876" s="726"/>
      <c r="V1876" s="726"/>
      <c r="W1876" s="726"/>
      <c r="X1876" s="726"/>
      <c r="Y1876" s="726"/>
      <c r="Z1876" s="726"/>
      <c r="AA1876" s="732"/>
      <c r="AB1876" s="732"/>
      <c r="AC1876" s="732"/>
      <c r="AD1876" s="732"/>
      <c r="AE1876" s="733"/>
      <c r="AF1876" s="734" t="str">
        <f t="shared" si="89"/>
        <v/>
      </c>
      <c r="AG1876" s="773"/>
    </row>
    <row r="1877" spans="1:33" ht="18.75" x14ac:dyDescent="0.25">
      <c r="A1877" s="758"/>
      <c r="B1877" s="737"/>
      <c r="C1877" s="730"/>
      <c r="D1877" s="739"/>
      <c r="E1877" s="765"/>
      <c r="F1877" s="765"/>
      <c r="G1877" s="765"/>
      <c r="H1877" s="765"/>
      <c r="I1877" s="746" t="str">
        <f t="shared" si="88"/>
        <v/>
      </c>
      <c r="J1877" s="731"/>
      <c r="K1877" s="731" t="str">
        <f t="shared" si="87"/>
        <v/>
      </c>
      <c r="L1877" s="726"/>
      <c r="M1877" s="726"/>
      <c r="N1877" s="726"/>
      <c r="O1877" s="726"/>
      <c r="P1877" s="726"/>
      <c r="Q1877" s="726"/>
      <c r="R1877" s="726"/>
      <c r="S1877" s="726"/>
      <c r="T1877" s="726"/>
      <c r="U1877" s="726"/>
      <c r="V1877" s="726"/>
      <c r="W1877" s="726"/>
      <c r="X1877" s="726"/>
      <c r="Y1877" s="726"/>
      <c r="Z1877" s="726"/>
      <c r="AA1877" s="732"/>
      <c r="AB1877" s="732"/>
      <c r="AC1877" s="732"/>
      <c r="AD1877" s="732"/>
      <c r="AE1877" s="733"/>
      <c r="AF1877" s="734" t="str">
        <f t="shared" si="89"/>
        <v/>
      </c>
      <c r="AG1877" s="773"/>
    </row>
    <row r="1878" spans="1:33" ht="18.75" x14ac:dyDescent="0.25">
      <c r="A1878" s="758"/>
      <c r="B1878" s="737"/>
      <c r="C1878" s="730"/>
      <c r="D1878" s="739"/>
      <c r="E1878" s="765"/>
      <c r="F1878" s="765"/>
      <c r="G1878" s="765"/>
      <c r="H1878" s="765"/>
      <c r="I1878" s="746" t="str">
        <f t="shared" si="88"/>
        <v/>
      </c>
      <c r="J1878" s="731"/>
      <c r="K1878" s="731" t="str">
        <f t="shared" si="87"/>
        <v/>
      </c>
      <c r="L1878" s="726"/>
      <c r="M1878" s="726"/>
      <c r="N1878" s="726"/>
      <c r="O1878" s="726"/>
      <c r="P1878" s="726"/>
      <c r="Q1878" s="726"/>
      <c r="R1878" s="726"/>
      <c r="S1878" s="726"/>
      <c r="T1878" s="726"/>
      <c r="U1878" s="726"/>
      <c r="V1878" s="726"/>
      <c r="W1878" s="726"/>
      <c r="X1878" s="726"/>
      <c r="Y1878" s="726"/>
      <c r="Z1878" s="726"/>
      <c r="AA1878" s="732"/>
      <c r="AB1878" s="732"/>
      <c r="AC1878" s="732"/>
      <c r="AD1878" s="732"/>
      <c r="AE1878" s="733"/>
      <c r="AF1878" s="734" t="str">
        <f t="shared" si="89"/>
        <v/>
      </c>
      <c r="AG1878" s="773"/>
    </row>
    <row r="1879" spans="1:33" ht="18.75" x14ac:dyDescent="0.25">
      <c r="A1879" s="758"/>
      <c r="B1879" s="737"/>
      <c r="C1879" s="730"/>
      <c r="D1879" s="739"/>
      <c r="E1879" s="765"/>
      <c r="F1879" s="765"/>
      <c r="G1879" s="765"/>
      <c r="H1879" s="765"/>
      <c r="I1879" s="746" t="str">
        <f t="shared" si="88"/>
        <v/>
      </c>
      <c r="J1879" s="731"/>
      <c r="K1879" s="731" t="str">
        <f t="shared" si="87"/>
        <v/>
      </c>
      <c r="L1879" s="726"/>
      <c r="M1879" s="726"/>
      <c r="N1879" s="726"/>
      <c r="O1879" s="726"/>
      <c r="P1879" s="726"/>
      <c r="Q1879" s="726"/>
      <c r="R1879" s="726"/>
      <c r="S1879" s="726"/>
      <c r="T1879" s="726"/>
      <c r="U1879" s="726"/>
      <c r="V1879" s="726"/>
      <c r="W1879" s="726"/>
      <c r="X1879" s="726"/>
      <c r="Y1879" s="726"/>
      <c r="Z1879" s="726"/>
      <c r="AA1879" s="732"/>
      <c r="AB1879" s="732"/>
      <c r="AC1879" s="732"/>
      <c r="AD1879" s="732"/>
      <c r="AE1879" s="733"/>
      <c r="AF1879" s="734" t="str">
        <f t="shared" si="89"/>
        <v/>
      </c>
      <c r="AG1879" s="773"/>
    </row>
    <row r="1880" spans="1:33" ht="18.75" x14ac:dyDescent="0.25">
      <c r="A1880" s="758"/>
      <c r="B1880" s="737"/>
      <c r="C1880" s="730"/>
      <c r="D1880" s="739"/>
      <c r="E1880" s="765"/>
      <c r="F1880" s="765"/>
      <c r="G1880" s="765"/>
      <c r="H1880" s="765"/>
      <c r="I1880" s="746" t="str">
        <f t="shared" si="88"/>
        <v/>
      </c>
      <c r="J1880" s="731"/>
      <c r="K1880" s="731" t="str">
        <f t="shared" si="87"/>
        <v/>
      </c>
      <c r="L1880" s="726"/>
      <c r="M1880" s="726"/>
      <c r="N1880" s="726"/>
      <c r="O1880" s="726"/>
      <c r="P1880" s="726"/>
      <c r="Q1880" s="726"/>
      <c r="R1880" s="726"/>
      <c r="S1880" s="726"/>
      <c r="T1880" s="726"/>
      <c r="U1880" s="726"/>
      <c r="V1880" s="726"/>
      <c r="W1880" s="726"/>
      <c r="X1880" s="726"/>
      <c r="Y1880" s="726"/>
      <c r="Z1880" s="726"/>
      <c r="AA1880" s="732"/>
      <c r="AB1880" s="732"/>
      <c r="AC1880" s="732"/>
      <c r="AD1880" s="732"/>
      <c r="AE1880" s="733"/>
      <c r="AF1880" s="734" t="str">
        <f t="shared" si="89"/>
        <v/>
      </c>
      <c r="AG1880" s="773"/>
    </row>
    <row r="1881" spans="1:33" ht="18.75" x14ac:dyDescent="0.25">
      <c r="A1881" s="758"/>
      <c r="B1881" s="737"/>
      <c r="C1881" s="730"/>
      <c r="D1881" s="739"/>
      <c r="E1881" s="765"/>
      <c r="F1881" s="765"/>
      <c r="G1881" s="765"/>
      <c r="H1881" s="765"/>
      <c r="I1881" s="746" t="str">
        <f t="shared" si="88"/>
        <v/>
      </c>
      <c r="J1881" s="731"/>
      <c r="K1881" s="731" t="str">
        <f t="shared" si="87"/>
        <v/>
      </c>
      <c r="L1881" s="726"/>
      <c r="M1881" s="726"/>
      <c r="N1881" s="726"/>
      <c r="O1881" s="726"/>
      <c r="P1881" s="726"/>
      <c r="Q1881" s="726"/>
      <c r="R1881" s="726"/>
      <c r="S1881" s="726"/>
      <c r="T1881" s="726"/>
      <c r="U1881" s="726"/>
      <c r="V1881" s="726"/>
      <c r="W1881" s="726"/>
      <c r="X1881" s="726"/>
      <c r="Y1881" s="726"/>
      <c r="Z1881" s="726"/>
      <c r="AA1881" s="732"/>
      <c r="AB1881" s="732"/>
      <c r="AC1881" s="732"/>
      <c r="AD1881" s="732"/>
      <c r="AE1881" s="733"/>
      <c r="AF1881" s="734" t="str">
        <f t="shared" si="89"/>
        <v/>
      </c>
      <c r="AG1881" s="773"/>
    </row>
    <row r="1882" spans="1:33" ht="18.75" x14ac:dyDescent="0.25">
      <c r="A1882" s="758"/>
      <c r="B1882" s="737"/>
      <c r="C1882" s="730"/>
      <c r="D1882" s="739"/>
      <c r="E1882" s="765"/>
      <c r="F1882" s="765"/>
      <c r="G1882" s="765"/>
      <c r="H1882" s="765"/>
      <c r="I1882" s="746" t="str">
        <f t="shared" si="88"/>
        <v/>
      </c>
      <c r="J1882" s="731"/>
      <c r="K1882" s="731" t="str">
        <f t="shared" si="87"/>
        <v/>
      </c>
      <c r="L1882" s="726"/>
      <c r="M1882" s="726"/>
      <c r="N1882" s="726"/>
      <c r="O1882" s="726"/>
      <c r="P1882" s="726"/>
      <c r="Q1882" s="726"/>
      <c r="R1882" s="726"/>
      <c r="S1882" s="726"/>
      <c r="T1882" s="726"/>
      <c r="U1882" s="726"/>
      <c r="V1882" s="726"/>
      <c r="W1882" s="726"/>
      <c r="X1882" s="726"/>
      <c r="Y1882" s="726"/>
      <c r="Z1882" s="726"/>
      <c r="AA1882" s="732"/>
      <c r="AB1882" s="732"/>
      <c r="AC1882" s="732"/>
      <c r="AD1882" s="732"/>
      <c r="AE1882" s="733"/>
      <c r="AF1882" s="734" t="str">
        <f t="shared" si="89"/>
        <v/>
      </c>
      <c r="AG1882" s="773"/>
    </row>
    <row r="1883" spans="1:33" ht="18.75" x14ac:dyDescent="0.25">
      <c r="A1883" s="758"/>
      <c r="B1883" s="737"/>
      <c r="C1883" s="730"/>
      <c r="D1883" s="739"/>
      <c r="E1883" s="765"/>
      <c r="F1883" s="765"/>
      <c r="G1883" s="765"/>
      <c r="H1883" s="765"/>
      <c r="I1883" s="746" t="str">
        <f t="shared" si="88"/>
        <v/>
      </c>
      <c r="J1883" s="731"/>
      <c r="K1883" s="731" t="str">
        <f t="shared" si="87"/>
        <v/>
      </c>
      <c r="L1883" s="726"/>
      <c r="M1883" s="726"/>
      <c r="N1883" s="726"/>
      <c r="O1883" s="726"/>
      <c r="P1883" s="726"/>
      <c r="Q1883" s="726"/>
      <c r="R1883" s="726"/>
      <c r="S1883" s="726"/>
      <c r="T1883" s="726"/>
      <c r="U1883" s="726"/>
      <c r="V1883" s="726"/>
      <c r="W1883" s="726"/>
      <c r="X1883" s="726"/>
      <c r="Y1883" s="726"/>
      <c r="Z1883" s="726"/>
      <c r="AA1883" s="732"/>
      <c r="AB1883" s="732"/>
      <c r="AC1883" s="732"/>
      <c r="AD1883" s="732"/>
      <c r="AE1883" s="733"/>
      <c r="AF1883" s="734" t="str">
        <f t="shared" si="89"/>
        <v/>
      </c>
      <c r="AG1883" s="773"/>
    </row>
    <row r="1884" spans="1:33" ht="18.75" x14ac:dyDescent="0.25">
      <c r="A1884" s="758"/>
      <c r="B1884" s="737"/>
      <c r="C1884" s="730"/>
      <c r="D1884" s="739"/>
      <c r="E1884" s="765"/>
      <c r="F1884" s="765"/>
      <c r="G1884" s="765"/>
      <c r="H1884" s="765"/>
      <c r="I1884" s="746" t="str">
        <f t="shared" si="88"/>
        <v/>
      </c>
      <c r="J1884" s="731"/>
      <c r="K1884" s="731" t="str">
        <f t="shared" si="87"/>
        <v/>
      </c>
      <c r="L1884" s="726"/>
      <c r="M1884" s="726"/>
      <c r="N1884" s="726"/>
      <c r="O1884" s="726"/>
      <c r="P1884" s="726"/>
      <c r="Q1884" s="726"/>
      <c r="R1884" s="726"/>
      <c r="S1884" s="726"/>
      <c r="T1884" s="726"/>
      <c r="U1884" s="726"/>
      <c r="V1884" s="726"/>
      <c r="W1884" s="726"/>
      <c r="X1884" s="726"/>
      <c r="Y1884" s="726"/>
      <c r="Z1884" s="726"/>
      <c r="AA1884" s="732"/>
      <c r="AB1884" s="732"/>
      <c r="AC1884" s="732"/>
      <c r="AD1884" s="732"/>
      <c r="AE1884" s="733"/>
      <c r="AF1884" s="734" t="str">
        <f t="shared" si="89"/>
        <v/>
      </c>
      <c r="AG1884" s="773"/>
    </row>
    <row r="1885" spans="1:33" ht="18.75" x14ac:dyDescent="0.25">
      <c r="A1885" s="758"/>
      <c r="B1885" s="737"/>
      <c r="C1885" s="730"/>
      <c r="D1885" s="739"/>
      <c r="E1885" s="765"/>
      <c r="F1885" s="765"/>
      <c r="G1885" s="765"/>
      <c r="H1885" s="765"/>
      <c r="I1885" s="746" t="str">
        <f t="shared" si="88"/>
        <v/>
      </c>
      <c r="J1885" s="731"/>
      <c r="K1885" s="731" t="str">
        <f t="shared" si="87"/>
        <v/>
      </c>
      <c r="L1885" s="726"/>
      <c r="M1885" s="726"/>
      <c r="N1885" s="726"/>
      <c r="O1885" s="726"/>
      <c r="P1885" s="726"/>
      <c r="Q1885" s="726"/>
      <c r="R1885" s="726"/>
      <c r="S1885" s="726"/>
      <c r="T1885" s="726"/>
      <c r="U1885" s="726"/>
      <c r="V1885" s="726"/>
      <c r="W1885" s="726"/>
      <c r="X1885" s="726"/>
      <c r="Y1885" s="726"/>
      <c r="Z1885" s="726"/>
      <c r="AA1885" s="732"/>
      <c r="AB1885" s="732"/>
      <c r="AC1885" s="732"/>
      <c r="AD1885" s="732"/>
      <c r="AE1885" s="733"/>
      <c r="AF1885" s="734" t="str">
        <f t="shared" si="89"/>
        <v/>
      </c>
      <c r="AG1885" s="773"/>
    </row>
    <row r="1886" spans="1:33" ht="18.75" x14ac:dyDescent="0.25">
      <c r="A1886" s="758"/>
      <c r="B1886" s="737"/>
      <c r="C1886" s="730"/>
      <c r="D1886" s="739"/>
      <c r="E1886" s="765"/>
      <c r="F1886" s="765"/>
      <c r="G1886" s="765"/>
      <c r="H1886" s="765"/>
      <c r="I1886" s="746" t="str">
        <f t="shared" si="88"/>
        <v/>
      </c>
      <c r="J1886" s="731"/>
      <c r="K1886" s="731" t="str">
        <f t="shared" si="87"/>
        <v/>
      </c>
      <c r="L1886" s="726"/>
      <c r="M1886" s="726"/>
      <c r="N1886" s="726"/>
      <c r="O1886" s="726"/>
      <c r="P1886" s="726"/>
      <c r="Q1886" s="726"/>
      <c r="R1886" s="726"/>
      <c r="S1886" s="726"/>
      <c r="T1886" s="726"/>
      <c r="U1886" s="726"/>
      <c r="V1886" s="726"/>
      <c r="W1886" s="726"/>
      <c r="X1886" s="726"/>
      <c r="Y1886" s="726"/>
      <c r="Z1886" s="726"/>
      <c r="AA1886" s="732"/>
      <c r="AB1886" s="732"/>
      <c r="AC1886" s="732"/>
      <c r="AD1886" s="732"/>
      <c r="AE1886" s="733"/>
      <c r="AF1886" s="734" t="str">
        <f t="shared" si="89"/>
        <v/>
      </c>
      <c r="AG1886" s="773"/>
    </row>
    <row r="1887" spans="1:33" ht="18.75" x14ac:dyDescent="0.25">
      <c r="A1887" s="758"/>
      <c r="B1887" s="737"/>
      <c r="C1887" s="730"/>
      <c r="D1887" s="739"/>
      <c r="E1887" s="765"/>
      <c r="F1887" s="765"/>
      <c r="G1887" s="765"/>
      <c r="H1887" s="765"/>
      <c r="I1887" s="746" t="str">
        <f t="shared" si="88"/>
        <v/>
      </c>
      <c r="J1887" s="731"/>
      <c r="K1887" s="731" t="str">
        <f t="shared" si="87"/>
        <v/>
      </c>
      <c r="L1887" s="726"/>
      <c r="M1887" s="726"/>
      <c r="N1887" s="726"/>
      <c r="O1887" s="726"/>
      <c r="P1887" s="726"/>
      <c r="Q1887" s="726"/>
      <c r="R1887" s="726"/>
      <c r="S1887" s="726"/>
      <c r="T1887" s="726"/>
      <c r="U1887" s="726"/>
      <c r="V1887" s="726"/>
      <c r="W1887" s="726"/>
      <c r="X1887" s="726"/>
      <c r="Y1887" s="726"/>
      <c r="Z1887" s="726"/>
      <c r="AA1887" s="732"/>
      <c r="AB1887" s="732"/>
      <c r="AC1887" s="732"/>
      <c r="AD1887" s="732"/>
      <c r="AE1887" s="733"/>
      <c r="AF1887" s="734" t="str">
        <f t="shared" si="89"/>
        <v/>
      </c>
      <c r="AG1887" s="773"/>
    </row>
    <row r="1888" spans="1:33" ht="18.75" x14ac:dyDescent="0.25">
      <c r="A1888" s="758"/>
      <c r="B1888" s="737"/>
      <c r="C1888" s="730"/>
      <c r="D1888" s="739"/>
      <c r="E1888" s="765"/>
      <c r="F1888" s="765"/>
      <c r="G1888" s="765"/>
      <c r="H1888" s="765"/>
      <c r="I1888" s="746" t="str">
        <f t="shared" si="88"/>
        <v/>
      </c>
      <c r="J1888" s="731"/>
      <c r="K1888" s="731" t="str">
        <f t="shared" si="87"/>
        <v/>
      </c>
      <c r="L1888" s="726"/>
      <c r="M1888" s="726"/>
      <c r="N1888" s="726"/>
      <c r="O1888" s="726"/>
      <c r="P1888" s="726"/>
      <c r="Q1888" s="726"/>
      <c r="R1888" s="726"/>
      <c r="S1888" s="726"/>
      <c r="T1888" s="726"/>
      <c r="U1888" s="726"/>
      <c r="V1888" s="726"/>
      <c r="W1888" s="726"/>
      <c r="X1888" s="726"/>
      <c r="Y1888" s="726"/>
      <c r="Z1888" s="726"/>
      <c r="AA1888" s="732"/>
      <c r="AB1888" s="732"/>
      <c r="AC1888" s="732"/>
      <c r="AD1888" s="732"/>
      <c r="AE1888" s="733"/>
      <c r="AF1888" s="734" t="str">
        <f t="shared" si="89"/>
        <v/>
      </c>
      <c r="AG1888" s="773"/>
    </row>
    <row r="1889" spans="1:33" ht="18.75" x14ac:dyDescent="0.25">
      <c r="A1889" s="758"/>
      <c r="B1889" s="737"/>
      <c r="C1889" s="730"/>
      <c r="D1889" s="739"/>
      <c r="E1889" s="765"/>
      <c r="F1889" s="765"/>
      <c r="G1889" s="765"/>
      <c r="H1889" s="765"/>
      <c r="I1889" s="746" t="str">
        <f t="shared" si="88"/>
        <v/>
      </c>
      <c r="J1889" s="731"/>
      <c r="K1889" s="731" t="str">
        <f t="shared" si="87"/>
        <v/>
      </c>
      <c r="L1889" s="726"/>
      <c r="M1889" s="726"/>
      <c r="N1889" s="726"/>
      <c r="O1889" s="726"/>
      <c r="P1889" s="726"/>
      <c r="Q1889" s="726"/>
      <c r="R1889" s="726"/>
      <c r="S1889" s="726"/>
      <c r="T1889" s="726"/>
      <c r="U1889" s="726"/>
      <c r="V1889" s="726"/>
      <c r="W1889" s="726"/>
      <c r="X1889" s="726"/>
      <c r="Y1889" s="726"/>
      <c r="Z1889" s="726"/>
      <c r="AA1889" s="732"/>
      <c r="AB1889" s="732"/>
      <c r="AC1889" s="732"/>
      <c r="AD1889" s="732"/>
      <c r="AE1889" s="733"/>
      <c r="AF1889" s="734" t="str">
        <f t="shared" si="89"/>
        <v/>
      </c>
      <c r="AG1889" s="773"/>
    </row>
    <row r="1890" spans="1:33" ht="18.75" x14ac:dyDescent="0.25">
      <c r="A1890" s="758"/>
      <c r="B1890" s="737"/>
      <c r="C1890" s="730"/>
      <c r="D1890" s="739"/>
      <c r="E1890" s="765"/>
      <c r="F1890" s="765"/>
      <c r="G1890" s="765"/>
      <c r="H1890" s="765"/>
      <c r="I1890" s="746" t="str">
        <f t="shared" si="88"/>
        <v/>
      </c>
      <c r="J1890" s="731"/>
      <c r="K1890" s="731" t="str">
        <f t="shared" si="87"/>
        <v/>
      </c>
      <c r="L1890" s="726"/>
      <c r="M1890" s="726"/>
      <c r="N1890" s="726"/>
      <c r="O1890" s="726"/>
      <c r="P1890" s="726"/>
      <c r="Q1890" s="726"/>
      <c r="R1890" s="726"/>
      <c r="S1890" s="726"/>
      <c r="T1890" s="726"/>
      <c r="U1890" s="726"/>
      <c r="V1890" s="726"/>
      <c r="W1890" s="726"/>
      <c r="X1890" s="726"/>
      <c r="Y1890" s="726"/>
      <c r="Z1890" s="726"/>
      <c r="AA1890" s="732"/>
      <c r="AB1890" s="732"/>
      <c r="AC1890" s="732"/>
      <c r="AD1890" s="732"/>
      <c r="AE1890" s="733"/>
      <c r="AF1890" s="734" t="str">
        <f t="shared" si="89"/>
        <v/>
      </c>
      <c r="AG1890" s="773"/>
    </row>
    <row r="1891" spans="1:33" ht="18.75" x14ac:dyDescent="0.25">
      <c r="A1891" s="758"/>
      <c r="B1891" s="737"/>
      <c r="C1891" s="730"/>
      <c r="D1891" s="739"/>
      <c r="E1891" s="765"/>
      <c r="F1891" s="765"/>
      <c r="G1891" s="765"/>
      <c r="H1891" s="765"/>
      <c r="I1891" s="746" t="str">
        <f t="shared" si="88"/>
        <v/>
      </c>
      <c r="J1891" s="731"/>
      <c r="K1891" s="731" t="str">
        <f t="shared" si="87"/>
        <v/>
      </c>
      <c r="L1891" s="726"/>
      <c r="M1891" s="726"/>
      <c r="N1891" s="726"/>
      <c r="O1891" s="726"/>
      <c r="P1891" s="726"/>
      <c r="Q1891" s="726"/>
      <c r="R1891" s="726"/>
      <c r="S1891" s="726"/>
      <c r="T1891" s="726"/>
      <c r="U1891" s="726"/>
      <c r="V1891" s="726"/>
      <c r="W1891" s="726"/>
      <c r="X1891" s="726"/>
      <c r="Y1891" s="726"/>
      <c r="Z1891" s="726"/>
      <c r="AA1891" s="732"/>
      <c r="AB1891" s="732"/>
      <c r="AC1891" s="732"/>
      <c r="AD1891" s="732"/>
      <c r="AE1891" s="733"/>
      <c r="AF1891" s="734" t="str">
        <f t="shared" si="89"/>
        <v/>
      </c>
      <c r="AG1891" s="773"/>
    </row>
    <row r="1892" spans="1:33" ht="18.75" x14ac:dyDescent="0.25">
      <c r="A1892" s="758"/>
      <c r="B1892" s="737"/>
      <c r="C1892" s="730"/>
      <c r="D1892" s="739"/>
      <c r="E1892" s="765"/>
      <c r="F1892" s="765"/>
      <c r="G1892" s="765"/>
      <c r="H1892" s="765"/>
      <c r="I1892" s="746" t="str">
        <f t="shared" si="88"/>
        <v/>
      </c>
      <c r="J1892" s="731"/>
      <c r="K1892" s="731" t="str">
        <f t="shared" si="87"/>
        <v/>
      </c>
      <c r="L1892" s="726"/>
      <c r="M1892" s="726"/>
      <c r="N1892" s="726"/>
      <c r="O1892" s="726"/>
      <c r="P1892" s="726"/>
      <c r="Q1892" s="726"/>
      <c r="R1892" s="726"/>
      <c r="S1892" s="726"/>
      <c r="T1892" s="726"/>
      <c r="U1892" s="726"/>
      <c r="V1892" s="726"/>
      <c r="W1892" s="726"/>
      <c r="X1892" s="726"/>
      <c r="Y1892" s="726"/>
      <c r="Z1892" s="726"/>
      <c r="AA1892" s="732"/>
      <c r="AB1892" s="732"/>
      <c r="AC1892" s="732"/>
      <c r="AD1892" s="732"/>
      <c r="AE1892" s="733"/>
      <c r="AF1892" s="734" t="str">
        <f t="shared" si="89"/>
        <v/>
      </c>
      <c r="AG1892" s="773"/>
    </row>
    <row r="1893" spans="1:33" ht="18.75" x14ac:dyDescent="0.25">
      <c r="A1893" s="758"/>
      <c r="B1893" s="737"/>
      <c r="C1893" s="730"/>
      <c r="D1893" s="739"/>
      <c r="E1893" s="765"/>
      <c r="F1893" s="765"/>
      <c r="G1893" s="765"/>
      <c r="H1893" s="765"/>
      <c r="I1893" s="746" t="str">
        <f t="shared" si="88"/>
        <v/>
      </c>
      <c r="J1893" s="731"/>
      <c r="K1893" s="731" t="str">
        <f t="shared" si="87"/>
        <v/>
      </c>
      <c r="L1893" s="726"/>
      <c r="M1893" s="726"/>
      <c r="N1893" s="726"/>
      <c r="O1893" s="726"/>
      <c r="P1893" s="726"/>
      <c r="Q1893" s="726"/>
      <c r="R1893" s="726"/>
      <c r="S1893" s="726"/>
      <c r="T1893" s="726"/>
      <c r="U1893" s="726"/>
      <c r="V1893" s="726"/>
      <c r="W1893" s="726"/>
      <c r="X1893" s="726"/>
      <c r="Y1893" s="726"/>
      <c r="Z1893" s="726"/>
      <c r="AA1893" s="732"/>
      <c r="AB1893" s="732"/>
      <c r="AC1893" s="732"/>
      <c r="AD1893" s="732"/>
      <c r="AE1893" s="733"/>
      <c r="AF1893" s="734" t="str">
        <f t="shared" si="89"/>
        <v/>
      </c>
      <c r="AG1893" s="773"/>
    </row>
    <row r="1894" spans="1:33" ht="18.75" x14ac:dyDescent="0.25">
      <c r="A1894" s="758"/>
      <c r="B1894" s="737"/>
      <c r="C1894" s="730"/>
      <c r="D1894" s="739"/>
      <c r="E1894" s="765"/>
      <c r="F1894" s="765"/>
      <c r="G1894" s="765"/>
      <c r="H1894" s="765"/>
      <c r="I1894" s="746" t="str">
        <f t="shared" si="88"/>
        <v/>
      </c>
      <c r="J1894" s="731"/>
      <c r="K1894" s="731" t="str">
        <f t="shared" si="87"/>
        <v/>
      </c>
      <c r="L1894" s="726"/>
      <c r="M1894" s="726"/>
      <c r="N1894" s="726"/>
      <c r="O1894" s="726"/>
      <c r="P1894" s="726"/>
      <c r="Q1894" s="726"/>
      <c r="R1894" s="726"/>
      <c r="S1894" s="726"/>
      <c r="T1894" s="726"/>
      <c r="U1894" s="726"/>
      <c r="V1894" s="726"/>
      <c r="W1894" s="726"/>
      <c r="X1894" s="726"/>
      <c r="Y1894" s="726"/>
      <c r="Z1894" s="726"/>
      <c r="AA1894" s="732"/>
      <c r="AB1894" s="732"/>
      <c r="AC1894" s="732"/>
      <c r="AD1894" s="732"/>
      <c r="AE1894" s="733"/>
      <c r="AF1894" s="734" t="str">
        <f t="shared" si="89"/>
        <v/>
      </c>
      <c r="AG1894" s="773"/>
    </row>
    <row r="1895" spans="1:33" ht="18.75" x14ac:dyDescent="0.25">
      <c r="A1895" s="758"/>
      <c r="B1895" s="737"/>
      <c r="C1895" s="730"/>
      <c r="D1895" s="739"/>
      <c r="E1895" s="765"/>
      <c r="F1895" s="765"/>
      <c r="G1895" s="765"/>
      <c r="H1895" s="765"/>
      <c r="I1895" s="746" t="str">
        <f t="shared" si="88"/>
        <v/>
      </c>
      <c r="J1895" s="731"/>
      <c r="K1895" s="731" t="str">
        <f t="shared" si="87"/>
        <v/>
      </c>
      <c r="L1895" s="726"/>
      <c r="M1895" s="726"/>
      <c r="N1895" s="726"/>
      <c r="O1895" s="726"/>
      <c r="P1895" s="726"/>
      <c r="Q1895" s="726"/>
      <c r="R1895" s="726"/>
      <c r="S1895" s="726"/>
      <c r="T1895" s="726"/>
      <c r="U1895" s="726"/>
      <c r="V1895" s="726"/>
      <c r="W1895" s="726"/>
      <c r="X1895" s="726"/>
      <c r="Y1895" s="726"/>
      <c r="Z1895" s="726"/>
      <c r="AA1895" s="732"/>
      <c r="AB1895" s="732"/>
      <c r="AC1895" s="732"/>
      <c r="AD1895" s="732"/>
      <c r="AE1895" s="733"/>
      <c r="AF1895" s="734" t="str">
        <f t="shared" si="89"/>
        <v/>
      </c>
      <c r="AG1895" s="773"/>
    </row>
    <row r="1896" spans="1:33" ht="18.75" x14ac:dyDescent="0.25">
      <c r="A1896" s="758"/>
      <c r="B1896" s="737"/>
      <c r="C1896" s="730"/>
      <c r="D1896" s="739"/>
      <c r="E1896" s="765"/>
      <c r="F1896" s="765"/>
      <c r="G1896" s="765"/>
      <c r="H1896" s="765"/>
      <c r="I1896" s="746" t="str">
        <f t="shared" si="88"/>
        <v/>
      </c>
      <c r="J1896" s="731"/>
      <c r="K1896" s="731" t="str">
        <f t="shared" si="87"/>
        <v/>
      </c>
      <c r="L1896" s="726"/>
      <c r="M1896" s="726"/>
      <c r="N1896" s="726"/>
      <c r="O1896" s="726"/>
      <c r="P1896" s="726"/>
      <c r="Q1896" s="726"/>
      <c r="R1896" s="726"/>
      <c r="S1896" s="726"/>
      <c r="T1896" s="726"/>
      <c r="U1896" s="726"/>
      <c r="V1896" s="726"/>
      <c r="W1896" s="726"/>
      <c r="X1896" s="726"/>
      <c r="Y1896" s="726"/>
      <c r="Z1896" s="726"/>
      <c r="AA1896" s="732"/>
      <c r="AB1896" s="732"/>
      <c r="AC1896" s="732"/>
      <c r="AD1896" s="732"/>
      <c r="AE1896" s="733"/>
      <c r="AF1896" s="734" t="str">
        <f t="shared" si="89"/>
        <v/>
      </c>
      <c r="AG1896" s="773"/>
    </row>
    <row r="1897" spans="1:33" ht="18.75" x14ac:dyDescent="0.25">
      <c r="A1897" s="758"/>
      <c r="B1897" s="737"/>
      <c r="C1897" s="730"/>
      <c r="D1897" s="739"/>
      <c r="E1897" s="765"/>
      <c r="F1897" s="765"/>
      <c r="G1897" s="765"/>
      <c r="H1897" s="765"/>
      <c r="I1897" s="746" t="str">
        <f t="shared" si="88"/>
        <v/>
      </c>
      <c r="J1897" s="731"/>
      <c r="K1897" s="731" t="str">
        <f t="shared" si="87"/>
        <v/>
      </c>
      <c r="L1897" s="726"/>
      <c r="M1897" s="726"/>
      <c r="N1897" s="726"/>
      <c r="O1897" s="726"/>
      <c r="P1897" s="726"/>
      <c r="Q1897" s="726"/>
      <c r="R1897" s="726"/>
      <c r="S1897" s="726"/>
      <c r="T1897" s="726"/>
      <c r="U1897" s="726"/>
      <c r="V1897" s="726"/>
      <c r="W1897" s="726"/>
      <c r="X1897" s="726"/>
      <c r="Y1897" s="726"/>
      <c r="Z1897" s="726"/>
      <c r="AA1897" s="732"/>
      <c r="AB1897" s="732"/>
      <c r="AC1897" s="732"/>
      <c r="AD1897" s="732"/>
      <c r="AE1897" s="733"/>
      <c r="AF1897" s="734" t="str">
        <f t="shared" si="89"/>
        <v/>
      </c>
      <c r="AG1897" s="773"/>
    </row>
    <row r="1898" spans="1:33" ht="18.75" x14ac:dyDescent="0.25">
      <c r="A1898" s="758"/>
      <c r="B1898" s="737"/>
      <c r="C1898" s="730"/>
      <c r="D1898" s="739"/>
      <c r="E1898" s="765"/>
      <c r="F1898" s="765"/>
      <c r="G1898" s="765"/>
      <c r="H1898" s="765"/>
      <c r="I1898" s="746" t="str">
        <f t="shared" si="88"/>
        <v/>
      </c>
      <c r="J1898" s="731"/>
      <c r="K1898" s="731" t="str">
        <f t="shared" si="87"/>
        <v/>
      </c>
      <c r="L1898" s="726"/>
      <c r="M1898" s="726"/>
      <c r="N1898" s="726"/>
      <c r="O1898" s="726"/>
      <c r="P1898" s="726"/>
      <c r="Q1898" s="726"/>
      <c r="R1898" s="726"/>
      <c r="S1898" s="726"/>
      <c r="T1898" s="726"/>
      <c r="U1898" s="726"/>
      <c r="V1898" s="726"/>
      <c r="W1898" s="726"/>
      <c r="X1898" s="726"/>
      <c r="Y1898" s="726"/>
      <c r="Z1898" s="726"/>
      <c r="AA1898" s="732"/>
      <c r="AB1898" s="732"/>
      <c r="AC1898" s="732"/>
      <c r="AD1898" s="732"/>
      <c r="AE1898" s="733"/>
      <c r="AF1898" s="734" t="str">
        <f t="shared" si="89"/>
        <v/>
      </c>
      <c r="AG1898" s="773"/>
    </row>
    <row r="1899" spans="1:33" ht="18.75" x14ac:dyDescent="0.25">
      <c r="A1899" s="758"/>
      <c r="B1899" s="737"/>
      <c r="C1899" s="730"/>
      <c r="D1899" s="739"/>
      <c r="E1899" s="765"/>
      <c r="F1899" s="765"/>
      <c r="G1899" s="765"/>
      <c r="H1899" s="765"/>
      <c r="I1899" s="746" t="str">
        <f t="shared" si="88"/>
        <v/>
      </c>
      <c r="J1899" s="731"/>
      <c r="K1899" s="731" t="str">
        <f t="shared" si="87"/>
        <v/>
      </c>
      <c r="L1899" s="726"/>
      <c r="M1899" s="726"/>
      <c r="N1899" s="726"/>
      <c r="O1899" s="726"/>
      <c r="P1899" s="726"/>
      <c r="Q1899" s="726"/>
      <c r="R1899" s="726"/>
      <c r="S1899" s="726"/>
      <c r="T1899" s="726"/>
      <c r="U1899" s="726"/>
      <c r="V1899" s="726"/>
      <c r="W1899" s="726"/>
      <c r="X1899" s="726"/>
      <c r="Y1899" s="726"/>
      <c r="Z1899" s="726"/>
      <c r="AA1899" s="732"/>
      <c r="AB1899" s="732"/>
      <c r="AC1899" s="732"/>
      <c r="AD1899" s="732"/>
      <c r="AE1899" s="733"/>
      <c r="AF1899" s="734" t="str">
        <f t="shared" si="89"/>
        <v/>
      </c>
      <c r="AG1899" s="773"/>
    </row>
    <row r="1900" spans="1:33" ht="18.75" x14ac:dyDescent="0.25">
      <c r="A1900" s="758"/>
      <c r="B1900" s="737"/>
      <c r="C1900" s="730"/>
      <c r="D1900" s="739"/>
      <c r="E1900" s="765"/>
      <c r="F1900" s="765"/>
      <c r="G1900" s="765"/>
      <c r="H1900" s="765"/>
      <c r="I1900" s="746" t="str">
        <f t="shared" si="88"/>
        <v/>
      </c>
      <c r="J1900" s="731"/>
      <c r="K1900" s="731" t="str">
        <f t="shared" si="87"/>
        <v/>
      </c>
      <c r="L1900" s="726"/>
      <c r="M1900" s="726"/>
      <c r="N1900" s="726"/>
      <c r="O1900" s="726"/>
      <c r="P1900" s="726"/>
      <c r="Q1900" s="726"/>
      <c r="R1900" s="726"/>
      <c r="S1900" s="726"/>
      <c r="T1900" s="726"/>
      <c r="U1900" s="726"/>
      <c r="V1900" s="726"/>
      <c r="W1900" s="726"/>
      <c r="X1900" s="726"/>
      <c r="Y1900" s="726"/>
      <c r="Z1900" s="726"/>
      <c r="AA1900" s="732"/>
      <c r="AB1900" s="732"/>
      <c r="AC1900" s="732"/>
      <c r="AD1900" s="732"/>
      <c r="AE1900" s="733"/>
      <c r="AF1900" s="734" t="str">
        <f t="shared" si="89"/>
        <v/>
      </c>
      <c r="AG1900" s="773"/>
    </row>
    <row r="1901" spans="1:33" ht="18.75" x14ac:dyDescent="0.25">
      <c r="A1901" s="758"/>
      <c r="B1901" s="737"/>
      <c r="C1901" s="730"/>
      <c r="D1901" s="739"/>
      <c r="E1901" s="765"/>
      <c r="F1901" s="765"/>
      <c r="G1901" s="765"/>
      <c r="H1901" s="765"/>
      <c r="I1901" s="746" t="str">
        <f t="shared" si="88"/>
        <v/>
      </c>
      <c r="J1901" s="731"/>
      <c r="K1901" s="731" t="str">
        <f t="shared" si="87"/>
        <v/>
      </c>
      <c r="L1901" s="726"/>
      <c r="M1901" s="726"/>
      <c r="N1901" s="726"/>
      <c r="O1901" s="726"/>
      <c r="P1901" s="726"/>
      <c r="Q1901" s="726"/>
      <c r="R1901" s="726"/>
      <c r="S1901" s="726"/>
      <c r="T1901" s="726"/>
      <c r="U1901" s="726"/>
      <c r="V1901" s="726"/>
      <c r="W1901" s="726"/>
      <c r="X1901" s="726"/>
      <c r="Y1901" s="726"/>
      <c r="Z1901" s="726"/>
      <c r="AA1901" s="732"/>
      <c r="AB1901" s="732"/>
      <c r="AC1901" s="732"/>
      <c r="AD1901" s="732"/>
      <c r="AE1901" s="733"/>
      <c r="AF1901" s="734" t="str">
        <f t="shared" si="89"/>
        <v/>
      </c>
      <c r="AG1901" s="773"/>
    </row>
    <row r="1902" spans="1:33" ht="18.75" x14ac:dyDescent="0.25">
      <c r="A1902" s="758"/>
      <c r="B1902" s="737"/>
      <c r="C1902" s="730"/>
      <c r="D1902" s="739"/>
      <c r="E1902" s="765"/>
      <c r="F1902" s="765"/>
      <c r="G1902" s="765"/>
      <c r="H1902" s="765"/>
      <c r="I1902" s="746" t="str">
        <f t="shared" si="88"/>
        <v/>
      </c>
      <c r="J1902" s="731"/>
      <c r="K1902" s="731" t="str">
        <f t="shared" si="87"/>
        <v/>
      </c>
      <c r="L1902" s="726"/>
      <c r="M1902" s="726"/>
      <c r="N1902" s="726"/>
      <c r="O1902" s="726"/>
      <c r="P1902" s="726"/>
      <c r="Q1902" s="726"/>
      <c r="R1902" s="726"/>
      <c r="S1902" s="726"/>
      <c r="T1902" s="726"/>
      <c r="U1902" s="726"/>
      <c r="V1902" s="726"/>
      <c r="W1902" s="726"/>
      <c r="X1902" s="726"/>
      <c r="Y1902" s="726"/>
      <c r="Z1902" s="726"/>
      <c r="AA1902" s="732"/>
      <c r="AB1902" s="732"/>
      <c r="AC1902" s="732"/>
      <c r="AD1902" s="732"/>
      <c r="AE1902" s="733"/>
      <c r="AF1902" s="734" t="str">
        <f t="shared" si="89"/>
        <v/>
      </c>
      <c r="AG1902" s="773"/>
    </row>
    <row r="1903" spans="1:33" ht="18.75" x14ac:dyDescent="0.25">
      <c r="A1903" s="758"/>
      <c r="B1903" s="737"/>
      <c r="C1903" s="730"/>
      <c r="D1903" s="739"/>
      <c r="E1903" s="765"/>
      <c r="F1903" s="765"/>
      <c r="G1903" s="765"/>
      <c r="H1903" s="765"/>
      <c r="I1903" s="746" t="str">
        <f t="shared" si="88"/>
        <v/>
      </c>
      <c r="J1903" s="731"/>
      <c r="K1903" s="731" t="str">
        <f t="shared" si="87"/>
        <v/>
      </c>
      <c r="L1903" s="726"/>
      <c r="M1903" s="726"/>
      <c r="N1903" s="726"/>
      <c r="O1903" s="726"/>
      <c r="P1903" s="726"/>
      <c r="Q1903" s="726"/>
      <c r="R1903" s="726"/>
      <c r="S1903" s="726"/>
      <c r="T1903" s="726"/>
      <c r="U1903" s="726"/>
      <c r="V1903" s="726"/>
      <c r="W1903" s="726"/>
      <c r="X1903" s="726"/>
      <c r="Y1903" s="726"/>
      <c r="Z1903" s="726"/>
      <c r="AA1903" s="732"/>
      <c r="AB1903" s="732"/>
      <c r="AC1903" s="732"/>
      <c r="AD1903" s="732"/>
      <c r="AE1903" s="733"/>
      <c r="AF1903" s="734" t="str">
        <f t="shared" si="89"/>
        <v/>
      </c>
      <c r="AG1903" s="773"/>
    </row>
    <row r="1904" spans="1:33" ht="18.75" x14ac:dyDescent="0.25">
      <c r="A1904" s="758"/>
      <c r="B1904" s="737"/>
      <c r="C1904" s="730"/>
      <c r="D1904" s="739"/>
      <c r="E1904" s="765"/>
      <c r="F1904" s="765"/>
      <c r="G1904" s="765"/>
      <c r="H1904" s="765"/>
      <c r="I1904" s="746" t="str">
        <f t="shared" si="88"/>
        <v/>
      </c>
      <c r="J1904" s="731"/>
      <c r="K1904" s="731" t="str">
        <f t="shared" si="87"/>
        <v/>
      </c>
      <c r="L1904" s="726"/>
      <c r="M1904" s="726"/>
      <c r="N1904" s="726"/>
      <c r="O1904" s="726"/>
      <c r="P1904" s="726"/>
      <c r="Q1904" s="726"/>
      <c r="R1904" s="726"/>
      <c r="S1904" s="726"/>
      <c r="T1904" s="726"/>
      <c r="U1904" s="726"/>
      <c r="V1904" s="726"/>
      <c r="W1904" s="726"/>
      <c r="X1904" s="726"/>
      <c r="Y1904" s="726"/>
      <c r="Z1904" s="726"/>
      <c r="AA1904" s="732"/>
      <c r="AB1904" s="732"/>
      <c r="AC1904" s="732"/>
      <c r="AD1904" s="732"/>
      <c r="AE1904" s="733"/>
      <c r="AF1904" s="734" t="str">
        <f t="shared" si="89"/>
        <v/>
      </c>
      <c r="AG1904" s="773"/>
    </row>
    <row r="1905" spans="1:33" ht="18.75" x14ac:dyDescent="0.25">
      <c r="A1905" s="758"/>
      <c r="B1905" s="737"/>
      <c r="C1905" s="730"/>
      <c r="D1905" s="739"/>
      <c r="E1905" s="765"/>
      <c r="F1905" s="765"/>
      <c r="G1905" s="765"/>
      <c r="H1905" s="765"/>
      <c r="I1905" s="746" t="str">
        <f t="shared" si="88"/>
        <v/>
      </c>
      <c r="J1905" s="731"/>
      <c r="K1905" s="731" t="str">
        <f t="shared" si="87"/>
        <v/>
      </c>
      <c r="L1905" s="726"/>
      <c r="M1905" s="726"/>
      <c r="N1905" s="726"/>
      <c r="O1905" s="726"/>
      <c r="P1905" s="726"/>
      <c r="Q1905" s="726"/>
      <c r="R1905" s="726"/>
      <c r="S1905" s="726"/>
      <c r="T1905" s="726"/>
      <c r="U1905" s="726"/>
      <c r="V1905" s="726"/>
      <c r="W1905" s="726"/>
      <c r="X1905" s="726"/>
      <c r="Y1905" s="726"/>
      <c r="Z1905" s="726"/>
      <c r="AA1905" s="732"/>
      <c r="AB1905" s="732"/>
      <c r="AC1905" s="732"/>
      <c r="AD1905" s="732"/>
      <c r="AE1905" s="733"/>
      <c r="AF1905" s="734" t="str">
        <f t="shared" si="89"/>
        <v/>
      </c>
      <c r="AG1905" s="773"/>
    </row>
    <row r="1906" spans="1:33" ht="18.75" x14ac:dyDescent="0.25">
      <c r="A1906" s="758"/>
      <c r="B1906" s="737"/>
      <c r="C1906" s="730"/>
      <c r="D1906" s="739"/>
      <c r="E1906" s="765"/>
      <c r="F1906" s="765"/>
      <c r="G1906" s="765"/>
      <c r="H1906" s="765"/>
      <c r="I1906" s="746" t="str">
        <f t="shared" si="88"/>
        <v/>
      </c>
      <c r="J1906" s="731"/>
      <c r="K1906" s="731" t="str">
        <f t="shared" si="87"/>
        <v/>
      </c>
      <c r="L1906" s="726"/>
      <c r="M1906" s="726"/>
      <c r="N1906" s="726"/>
      <c r="O1906" s="726"/>
      <c r="P1906" s="726"/>
      <c r="Q1906" s="726"/>
      <c r="R1906" s="726"/>
      <c r="S1906" s="726"/>
      <c r="T1906" s="726"/>
      <c r="U1906" s="726"/>
      <c r="V1906" s="726"/>
      <c r="W1906" s="726"/>
      <c r="X1906" s="726"/>
      <c r="Y1906" s="726"/>
      <c r="Z1906" s="726"/>
      <c r="AA1906" s="732"/>
      <c r="AB1906" s="732"/>
      <c r="AC1906" s="732"/>
      <c r="AD1906" s="732"/>
      <c r="AE1906" s="733"/>
      <c r="AF1906" s="734" t="str">
        <f t="shared" si="89"/>
        <v/>
      </c>
      <c r="AG1906" s="773"/>
    </row>
    <row r="1907" spans="1:33" ht="18.75" x14ac:dyDescent="0.25">
      <c r="A1907" s="758"/>
      <c r="B1907" s="737"/>
      <c r="C1907" s="730"/>
      <c r="D1907" s="739"/>
      <c r="E1907" s="765"/>
      <c r="F1907" s="765"/>
      <c r="G1907" s="765"/>
      <c r="H1907" s="765"/>
      <c r="I1907" s="746" t="str">
        <f t="shared" si="88"/>
        <v/>
      </c>
      <c r="J1907" s="731"/>
      <c r="K1907" s="731" t="str">
        <f t="shared" si="87"/>
        <v/>
      </c>
      <c r="L1907" s="726"/>
      <c r="M1907" s="726"/>
      <c r="N1907" s="726"/>
      <c r="O1907" s="726"/>
      <c r="P1907" s="726"/>
      <c r="Q1907" s="726"/>
      <c r="R1907" s="726"/>
      <c r="S1907" s="726"/>
      <c r="T1907" s="726"/>
      <c r="U1907" s="726"/>
      <c r="V1907" s="726"/>
      <c r="W1907" s="726"/>
      <c r="X1907" s="726"/>
      <c r="Y1907" s="726"/>
      <c r="Z1907" s="726"/>
      <c r="AA1907" s="732"/>
      <c r="AB1907" s="732"/>
      <c r="AC1907" s="732"/>
      <c r="AD1907" s="732"/>
      <c r="AE1907" s="733"/>
      <c r="AF1907" s="734" t="str">
        <f t="shared" si="89"/>
        <v/>
      </c>
      <c r="AG1907" s="773"/>
    </row>
    <row r="1908" spans="1:33" ht="18.75" x14ac:dyDescent="0.25">
      <c r="A1908" s="758"/>
      <c r="B1908" s="737"/>
      <c r="C1908" s="730"/>
      <c r="D1908" s="739"/>
      <c r="E1908" s="765"/>
      <c r="F1908" s="765"/>
      <c r="G1908" s="765"/>
      <c r="H1908" s="765"/>
      <c r="I1908" s="746" t="str">
        <f t="shared" si="88"/>
        <v/>
      </c>
      <c r="J1908" s="731"/>
      <c r="K1908" s="731" t="str">
        <f t="shared" si="87"/>
        <v/>
      </c>
      <c r="L1908" s="726"/>
      <c r="M1908" s="726"/>
      <c r="N1908" s="726"/>
      <c r="O1908" s="726"/>
      <c r="P1908" s="726"/>
      <c r="Q1908" s="726"/>
      <c r="R1908" s="726"/>
      <c r="S1908" s="726"/>
      <c r="T1908" s="726"/>
      <c r="U1908" s="726"/>
      <c r="V1908" s="726"/>
      <c r="W1908" s="726"/>
      <c r="X1908" s="726"/>
      <c r="Y1908" s="726"/>
      <c r="Z1908" s="726"/>
      <c r="AA1908" s="732"/>
      <c r="AB1908" s="732"/>
      <c r="AC1908" s="732"/>
      <c r="AD1908" s="732"/>
      <c r="AE1908" s="733"/>
      <c r="AF1908" s="734" t="str">
        <f t="shared" si="89"/>
        <v/>
      </c>
      <c r="AG1908" s="773"/>
    </row>
    <row r="1909" spans="1:33" ht="18.75" x14ac:dyDescent="0.25">
      <c r="A1909" s="758"/>
      <c r="B1909" s="737"/>
      <c r="C1909" s="730"/>
      <c r="D1909" s="739"/>
      <c r="E1909" s="765"/>
      <c r="F1909" s="765"/>
      <c r="G1909" s="765"/>
      <c r="H1909" s="765"/>
      <c r="I1909" s="746" t="str">
        <f t="shared" si="88"/>
        <v/>
      </c>
      <c r="J1909" s="731"/>
      <c r="K1909" s="731" t="str">
        <f t="shared" si="87"/>
        <v/>
      </c>
      <c r="L1909" s="726"/>
      <c r="M1909" s="726"/>
      <c r="N1909" s="726"/>
      <c r="O1909" s="726"/>
      <c r="P1909" s="726"/>
      <c r="Q1909" s="726"/>
      <c r="R1909" s="726"/>
      <c r="S1909" s="726"/>
      <c r="T1909" s="726"/>
      <c r="U1909" s="726"/>
      <c r="V1909" s="726"/>
      <c r="W1909" s="726"/>
      <c r="X1909" s="726"/>
      <c r="Y1909" s="726"/>
      <c r="Z1909" s="726"/>
      <c r="AA1909" s="732"/>
      <c r="AB1909" s="732"/>
      <c r="AC1909" s="732"/>
      <c r="AD1909" s="732"/>
      <c r="AE1909" s="733"/>
      <c r="AF1909" s="734" t="str">
        <f t="shared" si="89"/>
        <v/>
      </c>
      <c r="AG1909" s="773"/>
    </row>
    <row r="1910" spans="1:33" ht="18.75" x14ac:dyDescent="0.25">
      <c r="A1910" s="758"/>
      <c r="B1910" s="737"/>
      <c r="C1910" s="730"/>
      <c r="D1910" s="739"/>
      <c r="E1910" s="765"/>
      <c r="F1910" s="765"/>
      <c r="G1910" s="765"/>
      <c r="H1910" s="765"/>
      <c r="I1910" s="746" t="str">
        <f t="shared" si="88"/>
        <v/>
      </c>
      <c r="J1910" s="731"/>
      <c r="K1910" s="731" t="str">
        <f t="shared" si="87"/>
        <v/>
      </c>
      <c r="L1910" s="726"/>
      <c r="M1910" s="726"/>
      <c r="N1910" s="726"/>
      <c r="O1910" s="726"/>
      <c r="P1910" s="726"/>
      <c r="Q1910" s="726"/>
      <c r="R1910" s="726"/>
      <c r="S1910" s="726"/>
      <c r="T1910" s="726"/>
      <c r="U1910" s="726"/>
      <c r="V1910" s="726"/>
      <c r="W1910" s="726"/>
      <c r="X1910" s="726"/>
      <c r="Y1910" s="726"/>
      <c r="Z1910" s="726"/>
      <c r="AA1910" s="732"/>
      <c r="AB1910" s="732"/>
      <c r="AC1910" s="732"/>
      <c r="AD1910" s="732"/>
      <c r="AE1910" s="733"/>
      <c r="AF1910" s="734" t="str">
        <f t="shared" si="89"/>
        <v/>
      </c>
      <c r="AG1910" s="773"/>
    </row>
    <row r="1911" spans="1:33" ht="18.75" x14ac:dyDescent="0.25">
      <c r="A1911" s="758"/>
      <c r="B1911" s="737"/>
      <c r="C1911" s="730"/>
      <c r="D1911" s="739"/>
      <c r="E1911" s="765"/>
      <c r="F1911" s="765"/>
      <c r="G1911" s="765"/>
      <c r="H1911" s="765"/>
      <c r="I1911" s="746" t="str">
        <f t="shared" si="88"/>
        <v/>
      </c>
      <c r="J1911" s="731"/>
      <c r="K1911" s="731" t="str">
        <f t="shared" si="87"/>
        <v/>
      </c>
      <c r="L1911" s="726"/>
      <c r="M1911" s="726"/>
      <c r="N1911" s="726"/>
      <c r="O1911" s="726"/>
      <c r="P1911" s="726"/>
      <c r="Q1911" s="726"/>
      <c r="R1911" s="726"/>
      <c r="S1911" s="726"/>
      <c r="T1911" s="726"/>
      <c r="U1911" s="726"/>
      <c r="V1911" s="726"/>
      <c r="W1911" s="726"/>
      <c r="X1911" s="726"/>
      <c r="Y1911" s="726"/>
      <c r="Z1911" s="726"/>
      <c r="AA1911" s="732"/>
      <c r="AB1911" s="732"/>
      <c r="AC1911" s="732"/>
      <c r="AD1911" s="732"/>
      <c r="AE1911" s="733"/>
      <c r="AF1911" s="734" t="str">
        <f t="shared" si="89"/>
        <v/>
      </c>
      <c r="AG1911" s="773"/>
    </row>
    <row r="1912" spans="1:33" ht="18.75" x14ac:dyDescent="0.25">
      <c r="A1912" s="758"/>
      <c r="B1912" s="737"/>
      <c r="C1912" s="730"/>
      <c r="D1912" s="739"/>
      <c r="E1912" s="765"/>
      <c r="F1912" s="765"/>
      <c r="G1912" s="765"/>
      <c r="H1912" s="765"/>
      <c r="I1912" s="746" t="str">
        <f t="shared" si="88"/>
        <v/>
      </c>
      <c r="J1912" s="731"/>
      <c r="K1912" s="731" t="str">
        <f t="shared" si="87"/>
        <v/>
      </c>
      <c r="L1912" s="726"/>
      <c r="M1912" s="726"/>
      <c r="N1912" s="726"/>
      <c r="O1912" s="726"/>
      <c r="P1912" s="726"/>
      <c r="Q1912" s="726"/>
      <c r="R1912" s="726"/>
      <c r="S1912" s="726"/>
      <c r="T1912" s="726"/>
      <c r="U1912" s="726"/>
      <c r="V1912" s="726"/>
      <c r="W1912" s="726"/>
      <c r="X1912" s="726"/>
      <c r="Y1912" s="726"/>
      <c r="Z1912" s="726"/>
      <c r="AA1912" s="732"/>
      <c r="AB1912" s="732"/>
      <c r="AC1912" s="732"/>
      <c r="AD1912" s="732"/>
      <c r="AE1912" s="733"/>
      <c r="AF1912" s="734" t="str">
        <f t="shared" si="89"/>
        <v/>
      </c>
      <c r="AG1912" s="773"/>
    </row>
    <row r="1913" spans="1:33" ht="18.75" x14ac:dyDescent="0.25">
      <c r="A1913" s="758"/>
      <c r="B1913" s="737"/>
      <c r="C1913" s="730"/>
      <c r="D1913" s="739"/>
      <c r="E1913" s="765"/>
      <c r="F1913" s="765"/>
      <c r="G1913" s="765"/>
      <c r="H1913" s="765"/>
      <c r="I1913" s="746" t="str">
        <f t="shared" si="88"/>
        <v/>
      </c>
      <c r="J1913" s="731"/>
      <c r="K1913" s="731" t="str">
        <f t="shared" si="87"/>
        <v/>
      </c>
      <c r="L1913" s="726"/>
      <c r="M1913" s="726"/>
      <c r="N1913" s="726"/>
      <c r="O1913" s="726"/>
      <c r="P1913" s="726"/>
      <c r="Q1913" s="726"/>
      <c r="R1913" s="726"/>
      <c r="S1913" s="726"/>
      <c r="T1913" s="726"/>
      <c r="U1913" s="726"/>
      <c r="V1913" s="726"/>
      <c r="W1913" s="726"/>
      <c r="X1913" s="726"/>
      <c r="Y1913" s="726"/>
      <c r="Z1913" s="726"/>
      <c r="AA1913" s="732"/>
      <c r="AB1913" s="732"/>
      <c r="AC1913" s="732"/>
      <c r="AD1913" s="732"/>
      <c r="AE1913" s="733"/>
      <c r="AF1913" s="734" t="str">
        <f t="shared" si="89"/>
        <v/>
      </c>
      <c r="AG1913" s="773"/>
    </row>
    <row r="1914" spans="1:33" ht="18.75" x14ac:dyDescent="0.25">
      <c r="A1914" s="758"/>
      <c r="B1914" s="737"/>
      <c r="C1914" s="730"/>
      <c r="D1914" s="739"/>
      <c r="E1914" s="765"/>
      <c r="F1914" s="765"/>
      <c r="G1914" s="765"/>
      <c r="H1914" s="765"/>
      <c r="I1914" s="746" t="str">
        <f t="shared" si="88"/>
        <v/>
      </c>
      <c r="J1914" s="731"/>
      <c r="K1914" s="731" t="str">
        <f t="shared" si="87"/>
        <v/>
      </c>
      <c r="L1914" s="726"/>
      <c r="M1914" s="726"/>
      <c r="N1914" s="726"/>
      <c r="O1914" s="726"/>
      <c r="P1914" s="726"/>
      <c r="Q1914" s="726"/>
      <c r="R1914" s="726"/>
      <c r="S1914" s="726"/>
      <c r="T1914" s="726"/>
      <c r="U1914" s="726"/>
      <c r="V1914" s="726"/>
      <c r="W1914" s="726"/>
      <c r="X1914" s="726"/>
      <c r="Y1914" s="726"/>
      <c r="Z1914" s="726"/>
      <c r="AA1914" s="732"/>
      <c r="AB1914" s="732"/>
      <c r="AC1914" s="732"/>
      <c r="AD1914" s="732"/>
      <c r="AE1914" s="733"/>
      <c r="AF1914" s="734" t="str">
        <f t="shared" si="89"/>
        <v/>
      </c>
      <c r="AG1914" s="773"/>
    </row>
    <row r="1915" spans="1:33" ht="18.75" x14ac:dyDescent="0.25">
      <c r="A1915" s="758"/>
      <c r="B1915" s="737"/>
      <c r="C1915" s="730"/>
      <c r="D1915" s="739"/>
      <c r="E1915" s="765"/>
      <c r="F1915" s="765"/>
      <c r="G1915" s="765"/>
      <c r="H1915" s="765"/>
      <c r="I1915" s="746" t="str">
        <f t="shared" si="88"/>
        <v/>
      </c>
      <c r="J1915" s="731"/>
      <c r="K1915" s="731" t="str">
        <f t="shared" si="87"/>
        <v/>
      </c>
      <c r="L1915" s="726"/>
      <c r="M1915" s="726"/>
      <c r="N1915" s="726"/>
      <c r="O1915" s="726"/>
      <c r="P1915" s="726"/>
      <c r="Q1915" s="726"/>
      <c r="R1915" s="726"/>
      <c r="S1915" s="726"/>
      <c r="T1915" s="726"/>
      <c r="U1915" s="726"/>
      <c r="V1915" s="726"/>
      <c r="W1915" s="726"/>
      <c r="X1915" s="726"/>
      <c r="Y1915" s="726"/>
      <c r="Z1915" s="726"/>
      <c r="AA1915" s="732"/>
      <c r="AB1915" s="732"/>
      <c r="AC1915" s="732"/>
      <c r="AD1915" s="732"/>
      <c r="AE1915" s="733"/>
      <c r="AF1915" s="734" t="str">
        <f t="shared" si="89"/>
        <v/>
      </c>
      <c r="AG1915" s="773"/>
    </row>
    <row r="1916" spans="1:33" ht="18.75" x14ac:dyDescent="0.25">
      <c r="A1916" s="758"/>
      <c r="B1916" s="737"/>
      <c r="C1916" s="730"/>
      <c r="D1916" s="739"/>
      <c r="E1916" s="765"/>
      <c r="F1916" s="765"/>
      <c r="G1916" s="765"/>
      <c r="H1916" s="765"/>
      <c r="I1916" s="746" t="str">
        <f t="shared" si="88"/>
        <v/>
      </c>
      <c r="J1916" s="731"/>
      <c r="K1916" s="731" t="str">
        <f t="shared" si="87"/>
        <v/>
      </c>
      <c r="L1916" s="726"/>
      <c r="M1916" s="726"/>
      <c r="N1916" s="726"/>
      <c r="O1916" s="726"/>
      <c r="P1916" s="726"/>
      <c r="Q1916" s="726"/>
      <c r="R1916" s="726"/>
      <c r="S1916" s="726"/>
      <c r="T1916" s="726"/>
      <c r="U1916" s="726"/>
      <c r="V1916" s="726"/>
      <c r="W1916" s="726"/>
      <c r="X1916" s="726"/>
      <c r="Y1916" s="726"/>
      <c r="Z1916" s="726"/>
      <c r="AA1916" s="732"/>
      <c r="AB1916" s="732"/>
      <c r="AC1916" s="732"/>
      <c r="AD1916" s="732"/>
      <c r="AE1916" s="733"/>
      <c r="AF1916" s="734" t="str">
        <f t="shared" si="89"/>
        <v/>
      </c>
      <c r="AG1916" s="773"/>
    </row>
    <row r="1917" spans="1:33" ht="18.75" x14ac:dyDescent="0.25">
      <c r="A1917" s="758"/>
      <c r="B1917" s="737"/>
      <c r="C1917" s="730"/>
      <c r="D1917" s="739"/>
      <c r="E1917" s="765"/>
      <c r="F1917" s="765"/>
      <c r="G1917" s="765"/>
      <c r="H1917" s="765"/>
      <c r="I1917" s="746" t="str">
        <f t="shared" si="88"/>
        <v/>
      </c>
      <c r="J1917" s="731"/>
      <c r="K1917" s="731" t="str">
        <f t="shared" si="87"/>
        <v/>
      </c>
      <c r="L1917" s="726"/>
      <c r="M1917" s="726"/>
      <c r="N1917" s="726"/>
      <c r="O1917" s="726"/>
      <c r="P1917" s="726"/>
      <c r="Q1917" s="726"/>
      <c r="R1917" s="726"/>
      <c r="S1917" s="726"/>
      <c r="T1917" s="726"/>
      <c r="U1917" s="726"/>
      <c r="V1917" s="726"/>
      <c r="W1917" s="726"/>
      <c r="X1917" s="726"/>
      <c r="Y1917" s="726"/>
      <c r="Z1917" s="726"/>
      <c r="AA1917" s="732"/>
      <c r="AB1917" s="732"/>
      <c r="AC1917" s="732"/>
      <c r="AD1917" s="732"/>
      <c r="AE1917" s="733"/>
      <c r="AF1917" s="734" t="str">
        <f t="shared" si="89"/>
        <v/>
      </c>
      <c r="AG1917" s="773"/>
    </row>
    <row r="1918" spans="1:33" ht="18.75" x14ac:dyDescent="0.25">
      <c r="A1918" s="758"/>
      <c r="B1918" s="737"/>
      <c r="C1918" s="730"/>
      <c r="D1918" s="739"/>
      <c r="E1918" s="765"/>
      <c r="F1918" s="765"/>
      <c r="G1918" s="765"/>
      <c r="H1918" s="765"/>
      <c r="I1918" s="746" t="str">
        <f t="shared" si="88"/>
        <v/>
      </c>
      <c r="J1918" s="731"/>
      <c r="K1918" s="731" t="str">
        <f t="shared" si="87"/>
        <v/>
      </c>
      <c r="L1918" s="726"/>
      <c r="M1918" s="726"/>
      <c r="N1918" s="726"/>
      <c r="O1918" s="726"/>
      <c r="P1918" s="726"/>
      <c r="Q1918" s="726"/>
      <c r="R1918" s="726"/>
      <c r="S1918" s="726"/>
      <c r="T1918" s="726"/>
      <c r="U1918" s="726"/>
      <c r="V1918" s="726"/>
      <c r="W1918" s="726"/>
      <c r="X1918" s="726"/>
      <c r="Y1918" s="726"/>
      <c r="Z1918" s="726"/>
      <c r="AA1918" s="732"/>
      <c r="AB1918" s="732"/>
      <c r="AC1918" s="732"/>
      <c r="AD1918" s="732"/>
      <c r="AE1918" s="733"/>
      <c r="AF1918" s="734" t="str">
        <f t="shared" si="89"/>
        <v/>
      </c>
      <c r="AG1918" s="773"/>
    </row>
    <row r="1919" spans="1:33" ht="18.75" x14ac:dyDescent="0.25">
      <c r="A1919" s="758"/>
      <c r="B1919" s="737"/>
      <c r="C1919" s="730"/>
      <c r="D1919" s="739"/>
      <c r="E1919" s="765"/>
      <c r="F1919" s="765"/>
      <c r="G1919" s="765"/>
      <c r="H1919" s="765"/>
      <c r="I1919" s="746" t="str">
        <f t="shared" si="88"/>
        <v/>
      </c>
      <c r="J1919" s="731"/>
      <c r="K1919" s="731" t="str">
        <f t="shared" si="87"/>
        <v/>
      </c>
      <c r="L1919" s="726"/>
      <c r="M1919" s="726"/>
      <c r="N1919" s="726"/>
      <c r="O1919" s="726"/>
      <c r="P1919" s="726"/>
      <c r="Q1919" s="726"/>
      <c r="R1919" s="726"/>
      <c r="S1919" s="726"/>
      <c r="T1919" s="726"/>
      <c r="U1919" s="726"/>
      <c r="V1919" s="726"/>
      <c r="W1919" s="726"/>
      <c r="X1919" s="726"/>
      <c r="Y1919" s="726"/>
      <c r="Z1919" s="726"/>
      <c r="AA1919" s="732"/>
      <c r="AB1919" s="732"/>
      <c r="AC1919" s="732"/>
      <c r="AD1919" s="732"/>
      <c r="AE1919" s="733"/>
      <c r="AF1919" s="734" t="str">
        <f t="shared" si="89"/>
        <v/>
      </c>
      <c r="AG1919" s="773"/>
    </row>
    <row r="1920" spans="1:33" ht="18.75" x14ac:dyDescent="0.25">
      <c r="A1920" s="758"/>
      <c r="B1920" s="737"/>
      <c r="C1920" s="730"/>
      <c r="D1920" s="739"/>
      <c r="E1920" s="765"/>
      <c r="F1920" s="765"/>
      <c r="G1920" s="765"/>
      <c r="H1920" s="765"/>
      <c r="I1920" s="746" t="str">
        <f t="shared" si="88"/>
        <v/>
      </c>
      <c r="J1920" s="731"/>
      <c r="K1920" s="731" t="str">
        <f t="shared" si="87"/>
        <v/>
      </c>
      <c r="L1920" s="726"/>
      <c r="M1920" s="726"/>
      <c r="N1920" s="726"/>
      <c r="O1920" s="726"/>
      <c r="P1920" s="726"/>
      <c r="Q1920" s="726"/>
      <c r="R1920" s="726"/>
      <c r="S1920" s="726"/>
      <c r="T1920" s="726"/>
      <c r="U1920" s="726"/>
      <c r="V1920" s="726"/>
      <c r="W1920" s="726"/>
      <c r="X1920" s="726"/>
      <c r="Y1920" s="726"/>
      <c r="Z1920" s="726"/>
      <c r="AA1920" s="732"/>
      <c r="AB1920" s="732"/>
      <c r="AC1920" s="732"/>
      <c r="AD1920" s="732"/>
      <c r="AE1920" s="733"/>
      <c r="AF1920" s="734" t="str">
        <f t="shared" si="89"/>
        <v/>
      </c>
      <c r="AG1920" s="773"/>
    </row>
    <row r="1921" spans="1:33" ht="18.75" x14ac:dyDescent="0.25">
      <c r="A1921" s="758"/>
      <c r="B1921" s="737"/>
      <c r="C1921" s="730"/>
      <c r="D1921" s="739"/>
      <c r="E1921" s="765"/>
      <c r="F1921" s="765"/>
      <c r="G1921" s="765"/>
      <c r="H1921" s="765"/>
      <c r="I1921" s="746" t="str">
        <f t="shared" si="88"/>
        <v/>
      </c>
      <c r="J1921" s="731"/>
      <c r="K1921" s="731" t="str">
        <f t="shared" si="87"/>
        <v/>
      </c>
      <c r="L1921" s="726"/>
      <c r="M1921" s="726"/>
      <c r="N1921" s="726"/>
      <c r="O1921" s="726"/>
      <c r="P1921" s="726"/>
      <c r="Q1921" s="726"/>
      <c r="R1921" s="726"/>
      <c r="S1921" s="726"/>
      <c r="T1921" s="726"/>
      <c r="U1921" s="726"/>
      <c r="V1921" s="726"/>
      <c r="W1921" s="726"/>
      <c r="X1921" s="726"/>
      <c r="Y1921" s="726"/>
      <c r="Z1921" s="726"/>
      <c r="AA1921" s="732"/>
      <c r="AB1921" s="732"/>
      <c r="AC1921" s="732"/>
      <c r="AD1921" s="732"/>
      <c r="AE1921" s="733"/>
      <c r="AF1921" s="734" t="str">
        <f t="shared" si="89"/>
        <v/>
      </c>
      <c r="AG1921" s="773"/>
    </row>
    <row r="1922" spans="1:33" ht="18.75" x14ac:dyDescent="0.25">
      <c r="A1922" s="758"/>
      <c r="B1922" s="737"/>
      <c r="C1922" s="730"/>
      <c r="D1922" s="739"/>
      <c r="E1922" s="765"/>
      <c r="F1922" s="765"/>
      <c r="G1922" s="765"/>
      <c r="H1922" s="765"/>
      <c r="I1922" s="746" t="str">
        <f t="shared" si="88"/>
        <v/>
      </c>
      <c r="J1922" s="731"/>
      <c r="K1922" s="731" t="str">
        <f t="shared" si="87"/>
        <v/>
      </c>
      <c r="L1922" s="726"/>
      <c r="M1922" s="726"/>
      <c r="N1922" s="726"/>
      <c r="O1922" s="726"/>
      <c r="P1922" s="726"/>
      <c r="Q1922" s="726"/>
      <c r="R1922" s="726"/>
      <c r="S1922" s="726"/>
      <c r="T1922" s="726"/>
      <c r="U1922" s="726"/>
      <c r="V1922" s="726"/>
      <c r="W1922" s="726"/>
      <c r="X1922" s="726"/>
      <c r="Y1922" s="726"/>
      <c r="Z1922" s="726"/>
      <c r="AA1922" s="732"/>
      <c r="AB1922" s="732"/>
      <c r="AC1922" s="732"/>
      <c r="AD1922" s="732"/>
      <c r="AE1922" s="733"/>
      <c r="AF1922" s="734" t="str">
        <f t="shared" si="89"/>
        <v/>
      </c>
      <c r="AG1922" s="773"/>
    </row>
    <row r="1923" spans="1:33" ht="18.75" x14ac:dyDescent="0.25">
      <c r="A1923" s="758"/>
      <c r="B1923" s="737"/>
      <c r="C1923" s="730"/>
      <c r="D1923" s="739"/>
      <c r="E1923" s="765"/>
      <c r="F1923" s="765"/>
      <c r="G1923" s="765"/>
      <c r="H1923" s="765"/>
      <c r="I1923" s="746" t="str">
        <f t="shared" si="88"/>
        <v/>
      </c>
      <c r="J1923" s="731"/>
      <c r="K1923" s="731" t="str">
        <f t="shared" si="87"/>
        <v/>
      </c>
      <c r="L1923" s="726"/>
      <c r="M1923" s="726"/>
      <c r="N1923" s="726"/>
      <c r="O1923" s="726"/>
      <c r="P1923" s="726"/>
      <c r="Q1923" s="726"/>
      <c r="R1923" s="726"/>
      <c r="S1923" s="726"/>
      <c r="T1923" s="726"/>
      <c r="U1923" s="726"/>
      <c r="V1923" s="726"/>
      <c r="W1923" s="726"/>
      <c r="X1923" s="726"/>
      <c r="Y1923" s="726"/>
      <c r="Z1923" s="726"/>
      <c r="AA1923" s="732"/>
      <c r="AB1923" s="732"/>
      <c r="AC1923" s="732"/>
      <c r="AD1923" s="732"/>
      <c r="AE1923" s="733"/>
      <c r="AF1923" s="734" t="str">
        <f t="shared" si="89"/>
        <v/>
      </c>
      <c r="AG1923" s="773"/>
    </row>
    <row r="1924" spans="1:33" ht="18.75" x14ac:dyDescent="0.25">
      <c r="A1924" s="758"/>
      <c r="B1924" s="737"/>
      <c r="C1924" s="730"/>
      <c r="D1924" s="739"/>
      <c r="E1924" s="765"/>
      <c r="F1924" s="765"/>
      <c r="G1924" s="765"/>
      <c r="H1924" s="765"/>
      <c r="I1924" s="746" t="str">
        <f t="shared" si="88"/>
        <v/>
      </c>
      <c r="J1924" s="731"/>
      <c r="K1924" s="731" t="str">
        <f t="shared" ref="K1924:K1987" si="90">IF(AA1924-AE1924 = 0,"",AA1924-AE1924)</f>
        <v/>
      </c>
      <c r="L1924" s="726"/>
      <c r="M1924" s="726"/>
      <c r="N1924" s="726"/>
      <c r="O1924" s="726"/>
      <c r="P1924" s="726"/>
      <c r="Q1924" s="726"/>
      <c r="R1924" s="726"/>
      <c r="S1924" s="726"/>
      <c r="T1924" s="726"/>
      <c r="U1924" s="726"/>
      <c r="V1924" s="726"/>
      <c r="W1924" s="726"/>
      <c r="X1924" s="726"/>
      <c r="Y1924" s="726"/>
      <c r="Z1924" s="726"/>
      <c r="AA1924" s="732"/>
      <c r="AB1924" s="732"/>
      <c r="AC1924" s="732"/>
      <c r="AD1924" s="732"/>
      <c r="AE1924" s="733"/>
      <c r="AF1924" s="734" t="str">
        <f t="shared" si="89"/>
        <v/>
      </c>
      <c r="AG1924" s="773"/>
    </row>
    <row r="1925" spans="1:33" ht="18.75" x14ac:dyDescent="0.25">
      <c r="A1925" s="758"/>
      <c r="B1925" s="737"/>
      <c r="C1925" s="730"/>
      <c r="D1925" s="739"/>
      <c r="E1925" s="765"/>
      <c r="F1925" s="765"/>
      <c r="G1925" s="765"/>
      <c r="H1925" s="765"/>
      <c r="I1925" s="746" t="str">
        <f t="shared" ref="I1925:I1988" si="91">AF1925</f>
        <v/>
      </c>
      <c r="J1925" s="731"/>
      <c r="K1925" s="731" t="str">
        <f t="shared" si="90"/>
        <v/>
      </c>
      <c r="L1925" s="726"/>
      <c r="M1925" s="726"/>
      <c r="N1925" s="726"/>
      <c r="O1925" s="726"/>
      <c r="P1925" s="726"/>
      <c r="Q1925" s="726"/>
      <c r="R1925" s="726"/>
      <c r="S1925" s="726"/>
      <c r="T1925" s="726"/>
      <c r="U1925" s="726"/>
      <c r="V1925" s="726"/>
      <c r="W1925" s="726"/>
      <c r="X1925" s="726"/>
      <c r="Y1925" s="726"/>
      <c r="Z1925" s="726"/>
      <c r="AA1925" s="732"/>
      <c r="AB1925" s="732"/>
      <c r="AC1925" s="732"/>
      <c r="AD1925" s="732"/>
      <c r="AE1925" s="733"/>
      <c r="AF1925" s="734" t="str">
        <f t="shared" ref="AF1925:AF1988" si="92">IF(AE1925 &lt;&gt;"", AE1925/AA1925,"")</f>
        <v/>
      </c>
      <c r="AG1925" s="773"/>
    </row>
    <row r="1926" spans="1:33" ht="18.75" x14ac:dyDescent="0.25">
      <c r="A1926" s="758"/>
      <c r="B1926" s="737"/>
      <c r="C1926" s="730"/>
      <c r="D1926" s="739"/>
      <c r="E1926" s="765"/>
      <c r="F1926" s="765"/>
      <c r="G1926" s="765"/>
      <c r="H1926" s="765"/>
      <c r="I1926" s="746" t="str">
        <f t="shared" si="91"/>
        <v/>
      </c>
      <c r="J1926" s="731"/>
      <c r="K1926" s="731" t="str">
        <f t="shared" si="90"/>
        <v/>
      </c>
      <c r="L1926" s="726"/>
      <c r="M1926" s="726"/>
      <c r="N1926" s="726"/>
      <c r="O1926" s="726"/>
      <c r="P1926" s="726"/>
      <c r="Q1926" s="726"/>
      <c r="R1926" s="726"/>
      <c r="S1926" s="726"/>
      <c r="T1926" s="726"/>
      <c r="U1926" s="726"/>
      <c r="V1926" s="726"/>
      <c r="W1926" s="726"/>
      <c r="X1926" s="726"/>
      <c r="Y1926" s="726"/>
      <c r="Z1926" s="726"/>
      <c r="AA1926" s="732"/>
      <c r="AB1926" s="732"/>
      <c r="AC1926" s="732"/>
      <c r="AD1926" s="732"/>
      <c r="AE1926" s="733"/>
      <c r="AF1926" s="734" t="str">
        <f t="shared" si="92"/>
        <v/>
      </c>
      <c r="AG1926" s="773"/>
    </row>
    <row r="1927" spans="1:33" ht="18.75" x14ac:dyDescent="0.25">
      <c r="A1927" s="758"/>
      <c r="B1927" s="737"/>
      <c r="C1927" s="730"/>
      <c r="D1927" s="739"/>
      <c r="E1927" s="765"/>
      <c r="F1927" s="765"/>
      <c r="G1927" s="765"/>
      <c r="H1927" s="765"/>
      <c r="I1927" s="746" t="str">
        <f t="shared" si="91"/>
        <v/>
      </c>
      <c r="J1927" s="731"/>
      <c r="K1927" s="731" t="str">
        <f t="shared" si="90"/>
        <v/>
      </c>
      <c r="L1927" s="726"/>
      <c r="M1927" s="726"/>
      <c r="N1927" s="726"/>
      <c r="O1927" s="726"/>
      <c r="P1927" s="726"/>
      <c r="Q1927" s="726"/>
      <c r="R1927" s="726"/>
      <c r="S1927" s="726"/>
      <c r="T1927" s="726"/>
      <c r="U1927" s="726"/>
      <c r="V1927" s="726"/>
      <c r="W1927" s="726"/>
      <c r="X1927" s="726"/>
      <c r="Y1927" s="726"/>
      <c r="Z1927" s="726"/>
      <c r="AA1927" s="732"/>
      <c r="AB1927" s="732"/>
      <c r="AC1927" s="732"/>
      <c r="AD1927" s="732"/>
      <c r="AE1927" s="733"/>
      <c r="AF1927" s="734" t="str">
        <f t="shared" si="92"/>
        <v/>
      </c>
      <c r="AG1927" s="773"/>
    </row>
    <row r="1928" spans="1:33" ht="18.75" x14ac:dyDescent="0.25">
      <c r="A1928" s="758"/>
      <c r="B1928" s="737"/>
      <c r="C1928" s="730"/>
      <c r="D1928" s="739"/>
      <c r="E1928" s="765"/>
      <c r="F1928" s="765"/>
      <c r="G1928" s="765"/>
      <c r="H1928" s="765"/>
      <c r="I1928" s="746" t="str">
        <f t="shared" si="91"/>
        <v/>
      </c>
      <c r="J1928" s="731"/>
      <c r="K1928" s="731" t="str">
        <f t="shared" si="90"/>
        <v/>
      </c>
      <c r="L1928" s="726"/>
      <c r="M1928" s="726"/>
      <c r="N1928" s="726"/>
      <c r="O1928" s="726"/>
      <c r="P1928" s="726"/>
      <c r="Q1928" s="726"/>
      <c r="R1928" s="726"/>
      <c r="S1928" s="726"/>
      <c r="T1928" s="726"/>
      <c r="U1928" s="726"/>
      <c r="V1928" s="726"/>
      <c r="W1928" s="726"/>
      <c r="X1928" s="726"/>
      <c r="Y1928" s="726"/>
      <c r="Z1928" s="726"/>
      <c r="AA1928" s="732"/>
      <c r="AB1928" s="732"/>
      <c r="AC1928" s="732"/>
      <c r="AD1928" s="732"/>
      <c r="AE1928" s="733"/>
      <c r="AF1928" s="734" t="str">
        <f t="shared" si="92"/>
        <v/>
      </c>
      <c r="AG1928" s="773"/>
    </row>
    <row r="1929" spans="1:33" ht="18.75" x14ac:dyDescent="0.25">
      <c r="A1929" s="758"/>
      <c r="B1929" s="737"/>
      <c r="C1929" s="730"/>
      <c r="D1929" s="739"/>
      <c r="E1929" s="765"/>
      <c r="F1929" s="765"/>
      <c r="G1929" s="765"/>
      <c r="H1929" s="765"/>
      <c r="I1929" s="746" t="str">
        <f t="shared" si="91"/>
        <v/>
      </c>
      <c r="J1929" s="731"/>
      <c r="K1929" s="731" t="str">
        <f t="shared" si="90"/>
        <v/>
      </c>
      <c r="L1929" s="726"/>
      <c r="M1929" s="726"/>
      <c r="N1929" s="726"/>
      <c r="O1929" s="726"/>
      <c r="P1929" s="726"/>
      <c r="Q1929" s="726"/>
      <c r="R1929" s="726"/>
      <c r="S1929" s="726"/>
      <c r="T1929" s="726"/>
      <c r="U1929" s="726"/>
      <c r="V1929" s="726"/>
      <c r="W1929" s="726"/>
      <c r="X1929" s="726"/>
      <c r="Y1929" s="726"/>
      <c r="Z1929" s="726"/>
      <c r="AA1929" s="732"/>
      <c r="AB1929" s="732"/>
      <c r="AC1929" s="732"/>
      <c r="AD1929" s="732"/>
      <c r="AE1929" s="733"/>
      <c r="AF1929" s="734" t="str">
        <f t="shared" si="92"/>
        <v/>
      </c>
      <c r="AG1929" s="773"/>
    </row>
    <row r="1930" spans="1:33" ht="18.75" x14ac:dyDescent="0.25">
      <c r="A1930" s="758"/>
      <c r="B1930" s="737"/>
      <c r="C1930" s="730"/>
      <c r="D1930" s="739"/>
      <c r="E1930" s="765"/>
      <c r="F1930" s="765"/>
      <c r="G1930" s="765"/>
      <c r="H1930" s="765"/>
      <c r="I1930" s="746" t="str">
        <f t="shared" si="91"/>
        <v/>
      </c>
      <c r="J1930" s="731"/>
      <c r="K1930" s="731" t="str">
        <f t="shared" si="90"/>
        <v/>
      </c>
      <c r="L1930" s="726"/>
      <c r="M1930" s="726"/>
      <c r="N1930" s="726"/>
      <c r="O1930" s="726"/>
      <c r="P1930" s="726"/>
      <c r="Q1930" s="726"/>
      <c r="R1930" s="726"/>
      <c r="S1930" s="726"/>
      <c r="T1930" s="726"/>
      <c r="U1930" s="726"/>
      <c r="V1930" s="726"/>
      <c r="W1930" s="726"/>
      <c r="X1930" s="726"/>
      <c r="Y1930" s="726"/>
      <c r="Z1930" s="726"/>
      <c r="AA1930" s="732"/>
      <c r="AB1930" s="732"/>
      <c r="AC1930" s="732"/>
      <c r="AD1930" s="732"/>
      <c r="AE1930" s="733"/>
      <c r="AF1930" s="734" t="str">
        <f t="shared" si="92"/>
        <v/>
      </c>
      <c r="AG1930" s="773"/>
    </row>
    <row r="1931" spans="1:33" ht="18.75" x14ac:dyDescent="0.25">
      <c r="A1931" s="758"/>
      <c r="B1931" s="737"/>
      <c r="C1931" s="730"/>
      <c r="D1931" s="739"/>
      <c r="E1931" s="765"/>
      <c r="F1931" s="765"/>
      <c r="G1931" s="765"/>
      <c r="H1931" s="765"/>
      <c r="I1931" s="746" t="str">
        <f t="shared" si="91"/>
        <v/>
      </c>
      <c r="J1931" s="731"/>
      <c r="K1931" s="731" t="str">
        <f t="shared" si="90"/>
        <v/>
      </c>
      <c r="L1931" s="726"/>
      <c r="M1931" s="726"/>
      <c r="N1931" s="726"/>
      <c r="O1931" s="726"/>
      <c r="P1931" s="726"/>
      <c r="Q1931" s="726"/>
      <c r="R1931" s="726"/>
      <c r="S1931" s="726"/>
      <c r="T1931" s="726"/>
      <c r="U1931" s="726"/>
      <c r="V1931" s="726"/>
      <c r="W1931" s="726"/>
      <c r="X1931" s="726"/>
      <c r="Y1931" s="726"/>
      <c r="Z1931" s="726"/>
      <c r="AA1931" s="732"/>
      <c r="AB1931" s="732"/>
      <c r="AC1931" s="732"/>
      <c r="AD1931" s="732"/>
      <c r="AE1931" s="733"/>
      <c r="AF1931" s="734" t="str">
        <f t="shared" si="92"/>
        <v/>
      </c>
      <c r="AG1931" s="773"/>
    </row>
    <row r="1932" spans="1:33" ht="18.75" x14ac:dyDescent="0.25">
      <c r="A1932" s="758"/>
      <c r="B1932" s="737"/>
      <c r="C1932" s="730"/>
      <c r="D1932" s="739"/>
      <c r="E1932" s="765"/>
      <c r="F1932" s="765"/>
      <c r="G1932" s="765"/>
      <c r="H1932" s="765"/>
      <c r="I1932" s="746" t="str">
        <f t="shared" si="91"/>
        <v/>
      </c>
      <c r="J1932" s="731"/>
      <c r="K1932" s="731" t="str">
        <f t="shared" si="90"/>
        <v/>
      </c>
      <c r="L1932" s="726"/>
      <c r="M1932" s="726"/>
      <c r="N1932" s="726"/>
      <c r="O1932" s="726"/>
      <c r="P1932" s="726"/>
      <c r="Q1932" s="726"/>
      <c r="R1932" s="726"/>
      <c r="S1932" s="726"/>
      <c r="T1932" s="726"/>
      <c r="U1932" s="726"/>
      <c r="V1932" s="726"/>
      <c r="W1932" s="726"/>
      <c r="X1932" s="726"/>
      <c r="Y1932" s="726"/>
      <c r="Z1932" s="726"/>
      <c r="AA1932" s="732"/>
      <c r="AB1932" s="732"/>
      <c r="AC1932" s="732"/>
      <c r="AD1932" s="732"/>
      <c r="AE1932" s="733"/>
      <c r="AF1932" s="734" t="str">
        <f t="shared" si="92"/>
        <v/>
      </c>
      <c r="AG1932" s="773"/>
    </row>
    <row r="1933" spans="1:33" ht="18.75" x14ac:dyDescent="0.25">
      <c r="A1933" s="758"/>
      <c r="B1933" s="737"/>
      <c r="C1933" s="730"/>
      <c r="D1933" s="739"/>
      <c r="E1933" s="765"/>
      <c r="F1933" s="765"/>
      <c r="G1933" s="765"/>
      <c r="H1933" s="765"/>
      <c r="I1933" s="746" t="str">
        <f t="shared" si="91"/>
        <v/>
      </c>
      <c r="J1933" s="731"/>
      <c r="K1933" s="731" t="str">
        <f t="shared" si="90"/>
        <v/>
      </c>
      <c r="L1933" s="726"/>
      <c r="M1933" s="726"/>
      <c r="N1933" s="726"/>
      <c r="O1933" s="726"/>
      <c r="P1933" s="726"/>
      <c r="Q1933" s="726"/>
      <c r="R1933" s="726"/>
      <c r="S1933" s="726"/>
      <c r="T1933" s="726"/>
      <c r="U1933" s="726"/>
      <c r="V1933" s="726"/>
      <c r="W1933" s="726"/>
      <c r="X1933" s="726"/>
      <c r="Y1933" s="726"/>
      <c r="Z1933" s="726"/>
      <c r="AA1933" s="732"/>
      <c r="AB1933" s="732"/>
      <c r="AC1933" s="732"/>
      <c r="AD1933" s="732"/>
      <c r="AE1933" s="733"/>
      <c r="AF1933" s="734" t="str">
        <f t="shared" si="92"/>
        <v/>
      </c>
      <c r="AG1933" s="773"/>
    </row>
    <row r="1934" spans="1:33" ht="18.75" x14ac:dyDescent="0.25">
      <c r="A1934" s="758"/>
      <c r="B1934" s="737"/>
      <c r="C1934" s="730"/>
      <c r="D1934" s="739"/>
      <c r="E1934" s="765"/>
      <c r="F1934" s="765"/>
      <c r="G1934" s="765"/>
      <c r="H1934" s="765"/>
      <c r="I1934" s="746" t="str">
        <f t="shared" si="91"/>
        <v/>
      </c>
      <c r="J1934" s="731"/>
      <c r="K1934" s="731" t="str">
        <f t="shared" si="90"/>
        <v/>
      </c>
      <c r="L1934" s="726"/>
      <c r="M1934" s="726"/>
      <c r="N1934" s="726"/>
      <c r="O1934" s="726"/>
      <c r="P1934" s="726"/>
      <c r="Q1934" s="726"/>
      <c r="R1934" s="726"/>
      <c r="S1934" s="726"/>
      <c r="T1934" s="726"/>
      <c r="U1934" s="726"/>
      <c r="V1934" s="726"/>
      <c r="W1934" s="726"/>
      <c r="X1934" s="726"/>
      <c r="Y1934" s="726"/>
      <c r="Z1934" s="726"/>
      <c r="AA1934" s="732"/>
      <c r="AB1934" s="732"/>
      <c r="AC1934" s="732"/>
      <c r="AD1934" s="732"/>
      <c r="AE1934" s="733"/>
      <c r="AF1934" s="734" t="str">
        <f t="shared" si="92"/>
        <v/>
      </c>
      <c r="AG1934" s="773"/>
    </row>
    <row r="1935" spans="1:33" ht="18.75" x14ac:dyDescent="0.25">
      <c r="A1935" s="758"/>
      <c r="B1935" s="737"/>
      <c r="C1935" s="730"/>
      <c r="D1935" s="739"/>
      <c r="E1935" s="765"/>
      <c r="F1935" s="765"/>
      <c r="G1935" s="765"/>
      <c r="H1935" s="765"/>
      <c r="I1935" s="746" t="str">
        <f t="shared" si="91"/>
        <v/>
      </c>
      <c r="J1935" s="731"/>
      <c r="K1935" s="731" t="str">
        <f t="shared" si="90"/>
        <v/>
      </c>
      <c r="L1935" s="726"/>
      <c r="M1935" s="726"/>
      <c r="N1935" s="726"/>
      <c r="O1935" s="726"/>
      <c r="P1935" s="726"/>
      <c r="Q1935" s="726"/>
      <c r="R1935" s="726"/>
      <c r="S1935" s="726"/>
      <c r="T1935" s="726"/>
      <c r="U1935" s="726"/>
      <c r="V1935" s="726"/>
      <c r="W1935" s="726"/>
      <c r="X1935" s="726"/>
      <c r="Y1935" s="726"/>
      <c r="Z1935" s="726"/>
      <c r="AA1935" s="732"/>
      <c r="AB1935" s="732"/>
      <c r="AC1935" s="732"/>
      <c r="AD1935" s="732"/>
      <c r="AE1935" s="733"/>
      <c r="AF1935" s="734" t="str">
        <f t="shared" si="92"/>
        <v/>
      </c>
      <c r="AG1935" s="773"/>
    </row>
    <row r="1936" spans="1:33" ht="18.75" x14ac:dyDescent="0.25">
      <c r="A1936" s="758"/>
      <c r="B1936" s="737"/>
      <c r="C1936" s="730"/>
      <c r="D1936" s="739"/>
      <c r="E1936" s="765"/>
      <c r="F1936" s="765"/>
      <c r="G1936" s="765"/>
      <c r="H1936" s="765"/>
      <c r="I1936" s="746" t="str">
        <f t="shared" si="91"/>
        <v/>
      </c>
      <c r="J1936" s="731"/>
      <c r="K1936" s="731" t="str">
        <f t="shared" si="90"/>
        <v/>
      </c>
      <c r="L1936" s="726"/>
      <c r="M1936" s="726"/>
      <c r="N1936" s="726"/>
      <c r="O1936" s="726"/>
      <c r="P1936" s="726"/>
      <c r="Q1936" s="726"/>
      <c r="R1936" s="726"/>
      <c r="S1936" s="726"/>
      <c r="T1936" s="726"/>
      <c r="U1936" s="726"/>
      <c r="V1936" s="726"/>
      <c r="W1936" s="726"/>
      <c r="X1936" s="726"/>
      <c r="Y1936" s="726"/>
      <c r="Z1936" s="726"/>
      <c r="AA1936" s="732"/>
      <c r="AB1936" s="732"/>
      <c r="AC1936" s="732"/>
      <c r="AD1936" s="732"/>
      <c r="AE1936" s="733"/>
      <c r="AF1936" s="734" t="str">
        <f t="shared" si="92"/>
        <v/>
      </c>
      <c r="AG1936" s="773"/>
    </row>
    <row r="1937" spans="1:33" ht="18.75" x14ac:dyDescent="0.25">
      <c r="A1937" s="758"/>
      <c r="B1937" s="737"/>
      <c r="C1937" s="730"/>
      <c r="D1937" s="739"/>
      <c r="E1937" s="765"/>
      <c r="F1937" s="765"/>
      <c r="G1937" s="765"/>
      <c r="H1937" s="765"/>
      <c r="I1937" s="746" t="str">
        <f t="shared" si="91"/>
        <v/>
      </c>
      <c r="J1937" s="731"/>
      <c r="K1937" s="731" t="str">
        <f t="shared" si="90"/>
        <v/>
      </c>
      <c r="L1937" s="726"/>
      <c r="M1937" s="726"/>
      <c r="N1937" s="726"/>
      <c r="O1937" s="726"/>
      <c r="P1937" s="726"/>
      <c r="Q1937" s="726"/>
      <c r="R1937" s="726"/>
      <c r="S1937" s="726"/>
      <c r="T1937" s="726"/>
      <c r="U1937" s="726"/>
      <c r="V1937" s="726"/>
      <c r="W1937" s="726"/>
      <c r="X1937" s="726"/>
      <c r="Y1937" s="726"/>
      <c r="Z1937" s="726"/>
      <c r="AA1937" s="732"/>
      <c r="AB1937" s="732"/>
      <c r="AC1937" s="732"/>
      <c r="AD1937" s="732"/>
      <c r="AE1937" s="733"/>
      <c r="AF1937" s="734" t="str">
        <f t="shared" si="92"/>
        <v/>
      </c>
      <c r="AG1937" s="773"/>
    </row>
    <row r="1938" spans="1:33" ht="18.75" x14ac:dyDescent="0.25">
      <c r="A1938" s="758"/>
      <c r="B1938" s="737"/>
      <c r="C1938" s="730"/>
      <c r="D1938" s="739"/>
      <c r="E1938" s="765"/>
      <c r="F1938" s="765"/>
      <c r="G1938" s="765"/>
      <c r="H1938" s="765"/>
      <c r="I1938" s="746" t="str">
        <f t="shared" si="91"/>
        <v/>
      </c>
      <c r="J1938" s="731"/>
      <c r="K1938" s="731" t="str">
        <f t="shared" si="90"/>
        <v/>
      </c>
      <c r="L1938" s="726"/>
      <c r="M1938" s="726"/>
      <c r="N1938" s="726"/>
      <c r="O1938" s="726"/>
      <c r="P1938" s="726"/>
      <c r="Q1938" s="726"/>
      <c r="R1938" s="726"/>
      <c r="S1938" s="726"/>
      <c r="T1938" s="726"/>
      <c r="U1938" s="726"/>
      <c r="V1938" s="726"/>
      <c r="W1938" s="726"/>
      <c r="X1938" s="726"/>
      <c r="Y1938" s="726"/>
      <c r="Z1938" s="726"/>
      <c r="AA1938" s="732"/>
      <c r="AB1938" s="732"/>
      <c r="AC1938" s="732"/>
      <c r="AD1938" s="732"/>
      <c r="AE1938" s="733"/>
      <c r="AF1938" s="734" t="str">
        <f t="shared" si="92"/>
        <v/>
      </c>
      <c r="AG1938" s="773"/>
    </row>
    <row r="1939" spans="1:33" ht="18.75" x14ac:dyDescent="0.25">
      <c r="A1939" s="758"/>
      <c r="B1939" s="737"/>
      <c r="C1939" s="730"/>
      <c r="D1939" s="739"/>
      <c r="E1939" s="765"/>
      <c r="F1939" s="765"/>
      <c r="G1939" s="765"/>
      <c r="H1939" s="765"/>
      <c r="I1939" s="746" t="str">
        <f t="shared" si="91"/>
        <v/>
      </c>
      <c r="J1939" s="731"/>
      <c r="K1939" s="731" t="str">
        <f t="shared" si="90"/>
        <v/>
      </c>
      <c r="L1939" s="726"/>
      <c r="M1939" s="726"/>
      <c r="N1939" s="726"/>
      <c r="O1939" s="726"/>
      <c r="P1939" s="726"/>
      <c r="Q1939" s="726"/>
      <c r="R1939" s="726"/>
      <c r="S1939" s="726"/>
      <c r="T1939" s="726"/>
      <c r="U1939" s="726"/>
      <c r="V1939" s="726"/>
      <c r="W1939" s="726"/>
      <c r="X1939" s="726"/>
      <c r="Y1939" s="726"/>
      <c r="Z1939" s="726"/>
      <c r="AA1939" s="732"/>
      <c r="AB1939" s="732"/>
      <c r="AC1939" s="732"/>
      <c r="AD1939" s="732"/>
      <c r="AE1939" s="733"/>
      <c r="AF1939" s="734" t="str">
        <f t="shared" si="92"/>
        <v/>
      </c>
      <c r="AG1939" s="773"/>
    </row>
    <row r="1940" spans="1:33" ht="18.75" x14ac:dyDescent="0.25">
      <c r="A1940" s="758"/>
      <c r="B1940" s="737"/>
      <c r="C1940" s="730"/>
      <c r="D1940" s="739"/>
      <c r="E1940" s="765"/>
      <c r="F1940" s="765"/>
      <c r="G1940" s="765"/>
      <c r="H1940" s="765"/>
      <c r="I1940" s="746" t="str">
        <f t="shared" si="91"/>
        <v/>
      </c>
      <c r="J1940" s="731"/>
      <c r="K1940" s="731" t="str">
        <f t="shared" si="90"/>
        <v/>
      </c>
      <c r="L1940" s="726"/>
      <c r="M1940" s="726"/>
      <c r="N1940" s="726"/>
      <c r="O1940" s="726"/>
      <c r="P1940" s="726"/>
      <c r="Q1940" s="726"/>
      <c r="R1940" s="726"/>
      <c r="S1940" s="726"/>
      <c r="T1940" s="726"/>
      <c r="U1940" s="726"/>
      <c r="V1940" s="726"/>
      <c r="W1940" s="726"/>
      <c r="X1940" s="726"/>
      <c r="Y1940" s="726"/>
      <c r="Z1940" s="726"/>
      <c r="AA1940" s="732"/>
      <c r="AB1940" s="732"/>
      <c r="AC1940" s="732"/>
      <c r="AD1940" s="732"/>
      <c r="AE1940" s="733"/>
      <c r="AF1940" s="734" t="str">
        <f t="shared" si="92"/>
        <v/>
      </c>
      <c r="AG1940" s="773"/>
    </row>
    <row r="1941" spans="1:33" ht="18.75" x14ac:dyDescent="0.25">
      <c r="A1941" s="758"/>
      <c r="B1941" s="737"/>
      <c r="C1941" s="730"/>
      <c r="D1941" s="739"/>
      <c r="E1941" s="765"/>
      <c r="F1941" s="765"/>
      <c r="G1941" s="765"/>
      <c r="H1941" s="765"/>
      <c r="I1941" s="746" t="str">
        <f t="shared" si="91"/>
        <v/>
      </c>
      <c r="J1941" s="731"/>
      <c r="K1941" s="731" t="str">
        <f t="shared" si="90"/>
        <v/>
      </c>
      <c r="L1941" s="726"/>
      <c r="M1941" s="726"/>
      <c r="N1941" s="726"/>
      <c r="O1941" s="726"/>
      <c r="P1941" s="726"/>
      <c r="Q1941" s="726"/>
      <c r="R1941" s="726"/>
      <c r="S1941" s="726"/>
      <c r="T1941" s="726"/>
      <c r="U1941" s="726"/>
      <c r="V1941" s="726"/>
      <c r="W1941" s="726"/>
      <c r="X1941" s="726"/>
      <c r="Y1941" s="726"/>
      <c r="Z1941" s="726"/>
      <c r="AA1941" s="732"/>
      <c r="AB1941" s="732"/>
      <c r="AC1941" s="732"/>
      <c r="AD1941" s="732"/>
      <c r="AE1941" s="733"/>
      <c r="AF1941" s="734" t="str">
        <f t="shared" si="92"/>
        <v/>
      </c>
      <c r="AG1941" s="773"/>
    </row>
    <row r="1942" spans="1:33" ht="18.75" x14ac:dyDescent="0.25">
      <c r="A1942" s="758"/>
      <c r="B1942" s="737"/>
      <c r="C1942" s="730"/>
      <c r="D1942" s="739"/>
      <c r="E1942" s="765"/>
      <c r="F1942" s="765"/>
      <c r="G1942" s="765"/>
      <c r="H1942" s="765"/>
      <c r="I1942" s="746" t="str">
        <f t="shared" si="91"/>
        <v/>
      </c>
      <c r="J1942" s="731"/>
      <c r="K1942" s="731" t="str">
        <f t="shared" si="90"/>
        <v/>
      </c>
      <c r="L1942" s="726"/>
      <c r="M1942" s="726"/>
      <c r="N1942" s="726"/>
      <c r="O1942" s="726"/>
      <c r="P1942" s="726"/>
      <c r="Q1942" s="726"/>
      <c r="R1942" s="726"/>
      <c r="S1942" s="726"/>
      <c r="T1942" s="726"/>
      <c r="U1942" s="726"/>
      <c r="V1942" s="726"/>
      <c r="W1942" s="726"/>
      <c r="X1942" s="726"/>
      <c r="Y1942" s="726"/>
      <c r="Z1942" s="726"/>
      <c r="AA1942" s="732"/>
      <c r="AB1942" s="732"/>
      <c r="AC1942" s="732"/>
      <c r="AD1942" s="732"/>
      <c r="AE1942" s="733"/>
      <c r="AF1942" s="734" t="str">
        <f t="shared" si="92"/>
        <v/>
      </c>
      <c r="AG1942" s="773"/>
    </row>
    <row r="1943" spans="1:33" ht="18.75" x14ac:dyDescent="0.25">
      <c r="A1943" s="758"/>
      <c r="B1943" s="737"/>
      <c r="C1943" s="730"/>
      <c r="D1943" s="739"/>
      <c r="E1943" s="765"/>
      <c r="F1943" s="765"/>
      <c r="G1943" s="765"/>
      <c r="H1943" s="765"/>
      <c r="I1943" s="746" t="str">
        <f t="shared" si="91"/>
        <v/>
      </c>
      <c r="J1943" s="731"/>
      <c r="K1943" s="731" t="str">
        <f t="shared" si="90"/>
        <v/>
      </c>
      <c r="L1943" s="726"/>
      <c r="M1943" s="726"/>
      <c r="N1943" s="726"/>
      <c r="O1943" s="726"/>
      <c r="P1943" s="726"/>
      <c r="Q1943" s="726"/>
      <c r="R1943" s="726"/>
      <c r="S1943" s="726"/>
      <c r="T1943" s="726"/>
      <c r="U1943" s="726"/>
      <c r="V1943" s="726"/>
      <c r="W1943" s="726"/>
      <c r="X1943" s="726"/>
      <c r="Y1943" s="726"/>
      <c r="Z1943" s="726"/>
      <c r="AA1943" s="732"/>
      <c r="AB1943" s="732"/>
      <c r="AC1943" s="732"/>
      <c r="AD1943" s="732"/>
      <c r="AE1943" s="733"/>
      <c r="AF1943" s="734" t="str">
        <f t="shared" si="92"/>
        <v/>
      </c>
      <c r="AG1943" s="773"/>
    </row>
    <row r="1944" spans="1:33" ht="18.75" x14ac:dyDescent="0.25">
      <c r="A1944" s="758"/>
      <c r="B1944" s="737"/>
      <c r="C1944" s="730"/>
      <c r="D1944" s="739"/>
      <c r="E1944" s="765"/>
      <c r="F1944" s="765"/>
      <c r="G1944" s="765"/>
      <c r="H1944" s="765"/>
      <c r="I1944" s="746" t="str">
        <f t="shared" si="91"/>
        <v/>
      </c>
      <c r="J1944" s="731"/>
      <c r="K1944" s="731" t="str">
        <f t="shared" si="90"/>
        <v/>
      </c>
      <c r="L1944" s="726"/>
      <c r="M1944" s="726"/>
      <c r="N1944" s="726"/>
      <c r="O1944" s="726"/>
      <c r="P1944" s="726"/>
      <c r="Q1944" s="726"/>
      <c r="R1944" s="726"/>
      <c r="S1944" s="726"/>
      <c r="T1944" s="726"/>
      <c r="U1944" s="726"/>
      <c r="V1944" s="726"/>
      <c r="W1944" s="726"/>
      <c r="X1944" s="726"/>
      <c r="Y1944" s="726"/>
      <c r="Z1944" s="726"/>
      <c r="AA1944" s="732"/>
      <c r="AB1944" s="732"/>
      <c r="AC1944" s="732"/>
      <c r="AD1944" s="732"/>
      <c r="AE1944" s="733"/>
      <c r="AF1944" s="734" t="str">
        <f t="shared" si="92"/>
        <v/>
      </c>
      <c r="AG1944" s="773"/>
    </row>
    <row r="1945" spans="1:33" ht="18.75" x14ac:dyDescent="0.25">
      <c r="A1945" s="758"/>
      <c r="B1945" s="737"/>
      <c r="C1945" s="730"/>
      <c r="D1945" s="739"/>
      <c r="E1945" s="765"/>
      <c r="F1945" s="765"/>
      <c r="G1945" s="765"/>
      <c r="H1945" s="765"/>
      <c r="I1945" s="746" t="str">
        <f t="shared" si="91"/>
        <v/>
      </c>
      <c r="J1945" s="731"/>
      <c r="K1945" s="731" t="str">
        <f t="shared" si="90"/>
        <v/>
      </c>
      <c r="L1945" s="726"/>
      <c r="M1945" s="726"/>
      <c r="N1945" s="726"/>
      <c r="O1945" s="726"/>
      <c r="P1945" s="726"/>
      <c r="Q1945" s="726"/>
      <c r="R1945" s="726"/>
      <c r="S1945" s="726"/>
      <c r="T1945" s="726"/>
      <c r="U1945" s="726"/>
      <c r="V1945" s="726"/>
      <c r="W1945" s="726"/>
      <c r="X1945" s="726"/>
      <c r="Y1945" s="726"/>
      <c r="Z1945" s="726"/>
      <c r="AA1945" s="732"/>
      <c r="AB1945" s="732"/>
      <c r="AC1945" s="732"/>
      <c r="AD1945" s="732"/>
      <c r="AE1945" s="733"/>
      <c r="AF1945" s="734" t="str">
        <f t="shared" si="92"/>
        <v/>
      </c>
      <c r="AG1945" s="773"/>
    </row>
    <row r="1946" spans="1:33" ht="18.75" x14ac:dyDescent="0.25">
      <c r="A1946" s="758"/>
      <c r="B1946" s="737"/>
      <c r="C1946" s="730"/>
      <c r="D1946" s="739"/>
      <c r="E1946" s="765"/>
      <c r="F1946" s="765"/>
      <c r="G1946" s="765"/>
      <c r="H1946" s="765"/>
      <c r="I1946" s="746" t="str">
        <f t="shared" si="91"/>
        <v/>
      </c>
      <c r="J1946" s="731"/>
      <c r="K1946" s="731" t="str">
        <f t="shared" si="90"/>
        <v/>
      </c>
      <c r="L1946" s="726"/>
      <c r="M1946" s="726"/>
      <c r="N1946" s="726"/>
      <c r="O1946" s="726"/>
      <c r="P1946" s="726"/>
      <c r="Q1946" s="726"/>
      <c r="R1946" s="726"/>
      <c r="S1946" s="726"/>
      <c r="T1946" s="726"/>
      <c r="U1946" s="726"/>
      <c r="V1946" s="726"/>
      <c r="W1946" s="726"/>
      <c r="X1946" s="726"/>
      <c r="Y1946" s="726"/>
      <c r="Z1946" s="726"/>
      <c r="AA1946" s="732"/>
      <c r="AB1946" s="732"/>
      <c r="AC1946" s="732"/>
      <c r="AD1946" s="732"/>
      <c r="AE1946" s="733"/>
      <c r="AF1946" s="734" t="str">
        <f t="shared" si="92"/>
        <v/>
      </c>
      <c r="AG1946" s="773"/>
    </row>
    <row r="1947" spans="1:33" ht="18.75" x14ac:dyDescent="0.25">
      <c r="A1947" s="758"/>
      <c r="B1947" s="737"/>
      <c r="C1947" s="730"/>
      <c r="D1947" s="739"/>
      <c r="E1947" s="765"/>
      <c r="F1947" s="765"/>
      <c r="G1947" s="765"/>
      <c r="H1947" s="765"/>
      <c r="I1947" s="746" t="str">
        <f t="shared" si="91"/>
        <v/>
      </c>
      <c r="J1947" s="731"/>
      <c r="K1947" s="731" t="str">
        <f t="shared" si="90"/>
        <v/>
      </c>
      <c r="L1947" s="726"/>
      <c r="M1947" s="726"/>
      <c r="N1947" s="726"/>
      <c r="O1947" s="726"/>
      <c r="P1947" s="726"/>
      <c r="Q1947" s="726"/>
      <c r="R1947" s="726"/>
      <c r="S1947" s="726"/>
      <c r="T1947" s="726"/>
      <c r="U1947" s="726"/>
      <c r="V1947" s="726"/>
      <c r="W1947" s="726"/>
      <c r="X1947" s="726"/>
      <c r="Y1947" s="726"/>
      <c r="Z1947" s="726"/>
      <c r="AA1947" s="732"/>
      <c r="AB1947" s="732"/>
      <c r="AC1947" s="732"/>
      <c r="AD1947" s="732"/>
      <c r="AE1947" s="733"/>
      <c r="AF1947" s="734" t="str">
        <f t="shared" si="92"/>
        <v/>
      </c>
      <c r="AG1947" s="773"/>
    </row>
    <row r="1948" spans="1:33" ht="18.75" x14ac:dyDescent="0.25">
      <c r="A1948" s="758"/>
      <c r="B1948" s="737"/>
      <c r="C1948" s="730"/>
      <c r="D1948" s="739"/>
      <c r="E1948" s="765"/>
      <c r="F1948" s="765"/>
      <c r="G1948" s="765"/>
      <c r="H1948" s="765"/>
      <c r="I1948" s="746" t="str">
        <f t="shared" si="91"/>
        <v/>
      </c>
      <c r="J1948" s="731"/>
      <c r="K1948" s="731" t="str">
        <f t="shared" si="90"/>
        <v/>
      </c>
      <c r="L1948" s="726"/>
      <c r="M1948" s="726"/>
      <c r="N1948" s="726"/>
      <c r="O1948" s="726"/>
      <c r="P1948" s="726"/>
      <c r="Q1948" s="726"/>
      <c r="R1948" s="726"/>
      <c r="S1948" s="726"/>
      <c r="T1948" s="726"/>
      <c r="U1948" s="726"/>
      <c r="V1948" s="726"/>
      <c r="W1948" s="726"/>
      <c r="X1948" s="726"/>
      <c r="Y1948" s="726"/>
      <c r="Z1948" s="726"/>
      <c r="AA1948" s="732"/>
      <c r="AB1948" s="732"/>
      <c r="AC1948" s="732"/>
      <c r="AD1948" s="732"/>
      <c r="AE1948" s="733"/>
      <c r="AF1948" s="734" t="str">
        <f t="shared" si="92"/>
        <v/>
      </c>
      <c r="AG1948" s="773"/>
    </row>
    <row r="1949" spans="1:33" ht="18.75" x14ac:dyDescent="0.25">
      <c r="A1949" s="758"/>
      <c r="B1949" s="737"/>
      <c r="C1949" s="730"/>
      <c r="D1949" s="739"/>
      <c r="E1949" s="765"/>
      <c r="F1949" s="765"/>
      <c r="G1949" s="765"/>
      <c r="H1949" s="765"/>
      <c r="I1949" s="746" t="str">
        <f t="shared" si="91"/>
        <v/>
      </c>
      <c r="J1949" s="731"/>
      <c r="K1949" s="731" t="str">
        <f t="shared" si="90"/>
        <v/>
      </c>
      <c r="L1949" s="726"/>
      <c r="M1949" s="726"/>
      <c r="N1949" s="726"/>
      <c r="O1949" s="726"/>
      <c r="P1949" s="726"/>
      <c r="Q1949" s="726"/>
      <c r="R1949" s="726"/>
      <c r="S1949" s="726"/>
      <c r="T1949" s="726"/>
      <c r="U1949" s="726"/>
      <c r="V1949" s="726"/>
      <c r="W1949" s="726"/>
      <c r="X1949" s="726"/>
      <c r="Y1949" s="726"/>
      <c r="Z1949" s="726"/>
      <c r="AA1949" s="732"/>
      <c r="AB1949" s="732"/>
      <c r="AC1949" s="732"/>
      <c r="AD1949" s="732"/>
      <c r="AE1949" s="733"/>
      <c r="AF1949" s="734" t="str">
        <f t="shared" si="92"/>
        <v/>
      </c>
      <c r="AG1949" s="773"/>
    </row>
    <row r="1950" spans="1:33" ht="18.75" x14ac:dyDescent="0.25">
      <c r="A1950" s="758"/>
      <c r="B1950" s="737"/>
      <c r="C1950" s="730"/>
      <c r="D1950" s="739"/>
      <c r="E1950" s="765"/>
      <c r="F1950" s="765"/>
      <c r="G1950" s="765"/>
      <c r="H1950" s="765"/>
      <c r="I1950" s="746" t="str">
        <f t="shared" si="91"/>
        <v/>
      </c>
      <c r="J1950" s="731"/>
      <c r="K1950" s="731" t="str">
        <f t="shared" si="90"/>
        <v/>
      </c>
      <c r="L1950" s="726"/>
      <c r="M1950" s="726"/>
      <c r="N1950" s="726"/>
      <c r="O1950" s="726"/>
      <c r="P1950" s="726"/>
      <c r="Q1950" s="726"/>
      <c r="R1950" s="726"/>
      <c r="S1950" s="726"/>
      <c r="T1950" s="726"/>
      <c r="U1950" s="726"/>
      <c r="V1950" s="726"/>
      <c r="W1950" s="726"/>
      <c r="X1950" s="726"/>
      <c r="Y1950" s="726"/>
      <c r="Z1950" s="726"/>
      <c r="AA1950" s="732"/>
      <c r="AB1950" s="732"/>
      <c r="AC1950" s="732"/>
      <c r="AD1950" s="732"/>
      <c r="AE1950" s="733"/>
      <c r="AF1950" s="734" t="str">
        <f t="shared" si="92"/>
        <v/>
      </c>
      <c r="AG1950" s="773"/>
    </row>
    <row r="1951" spans="1:33" ht="18.75" x14ac:dyDescent="0.25">
      <c r="A1951" s="758"/>
      <c r="B1951" s="737"/>
      <c r="C1951" s="730"/>
      <c r="D1951" s="739"/>
      <c r="E1951" s="765"/>
      <c r="F1951" s="765"/>
      <c r="G1951" s="765"/>
      <c r="H1951" s="765"/>
      <c r="I1951" s="746" t="str">
        <f t="shared" si="91"/>
        <v/>
      </c>
      <c r="J1951" s="731"/>
      <c r="K1951" s="731" t="str">
        <f t="shared" si="90"/>
        <v/>
      </c>
      <c r="L1951" s="726"/>
      <c r="M1951" s="726"/>
      <c r="N1951" s="726"/>
      <c r="O1951" s="726"/>
      <c r="P1951" s="726"/>
      <c r="Q1951" s="726"/>
      <c r="R1951" s="726"/>
      <c r="S1951" s="726"/>
      <c r="T1951" s="726"/>
      <c r="U1951" s="726"/>
      <c r="V1951" s="726"/>
      <c r="W1951" s="726"/>
      <c r="X1951" s="726"/>
      <c r="Y1951" s="726"/>
      <c r="Z1951" s="726"/>
      <c r="AA1951" s="732"/>
      <c r="AB1951" s="732"/>
      <c r="AC1951" s="732"/>
      <c r="AD1951" s="732"/>
      <c r="AE1951" s="733"/>
      <c r="AF1951" s="734" t="str">
        <f t="shared" si="92"/>
        <v/>
      </c>
      <c r="AG1951" s="773"/>
    </row>
    <row r="1952" spans="1:33" ht="18.75" x14ac:dyDescent="0.25">
      <c r="A1952" s="758"/>
      <c r="B1952" s="737"/>
      <c r="C1952" s="730"/>
      <c r="D1952" s="739"/>
      <c r="E1952" s="765"/>
      <c r="F1952" s="765"/>
      <c r="G1952" s="765"/>
      <c r="H1952" s="765"/>
      <c r="I1952" s="746" t="str">
        <f t="shared" si="91"/>
        <v/>
      </c>
      <c r="J1952" s="731"/>
      <c r="K1952" s="731" t="str">
        <f t="shared" si="90"/>
        <v/>
      </c>
      <c r="L1952" s="726"/>
      <c r="M1952" s="726"/>
      <c r="N1952" s="726"/>
      <c r="O1952" s="726"/>
      <c r="P1952" s="726"/>
      <c r="Q1952" s="726"/>
      <c r="R1952" s="726"/>
      <c r="S1952" s="726"/>
      <c r="T1952" s="726"/>
      <c r="U1952" s="726"/>
      <c r="V1952" s="726"/>
      <c r="W1952" s="726"/>
      <c r="X1952" s="726"/>
      <c r="Y1952" s="726"/>
      <c r="Z1952" s="726"/>
      <c r="AA1952" s="732"/>
      <c r="AB1952" s="732"/>
      <c r="AC1952" s="732"/>
      <c r="AD1952" s="732"/>
      <c r="AE1952" s="733"/>
      <c r="AF1952" s="734" t="str">
        <f t="shared" si="92"/>
        <v/>
      </c>
      <c r="AG1952" s="773"/>
    </row>
    <row r="1953" spans="1:33" ht="18.75" x14ac:dyDescent="0.25">
      <c r="A1953" s="758"/>
      <c r="B1953" s="737"/>
      <c r="C1953" s="730"/>
      <c r="D1953" s="739"/>
      <c r="E1953" s="765"/>
      <c r="F1953" s="765"/>
      <c r="G1953" s="765"/>
      <c r="H1953" s="765"/>
      <c r="I1953" s="746" t="str">
        <f t="shared" si="91"/>
        <v/>
      </c>
      <c r="J1953" s="731"/>
      <c r="K1953" s="731" t="str">
        <f t="shared" si="90"/>
        <v/>
      </c>
      <c r="L1953" s="726"/>
      <c r="M1953" s="726"/>
      <c r="N1953" s="726"/>
      <c r="O1953" s="726"/>
      <c r="P1953" s="726"/>
      <c r="Q1953" s="726"/>
      <c r="R1953" s="726"/>
      <c r="S1953" s="726"/>
      <c r="T1953" s="726"/>
      <c r="U1953" s="726"/>
      <c r="V1953" s="726"/>
      <c r="W1953" s="726"/>
      <c r="X1953" s="726"/>
      <c r="Y1953" s="726"/>
      <c r="Z1953" s="726"/>
      <c r="AA1953" s="732"/>
      <c r="AB1953" s="732"/>
      <c r="AC1953" s="732"/>
      <c r="AD1953" s="732"/>
      <c r="AE1953" s="733"/>
      <c r="AF1953" s="734" t="str">
        <f t="shared" si="92"/>
        <v/>
      </c>
      <c r="AG1953" s="773"/>
    </row>
    <row r="1954" spans="1:33" ht="18.75" x14ac:dyDescent="0.25">
      <c r="A1954" s="758"/>
      <c r="B1954" s="737"/>
      <c r="C1954" s="730"/>
      <c r="D1954" s="739"/>
      <c r="E1954" s="765"/>
      <c r="F1954" s="765"/>
      <c r="G1954" s="765"/>
      <c r="H1954" s="765"/>
      <c r="I1954" s="746" t="str">
        <f t="shared" si="91"/>
        <v/>
      </c>
      <c r="J1954" s="731"/>
      <c r="K1954" s="731" t="str">
        <f t="shared" si="90"/>
        <v/>
      </c>
      <c r="L1954" s="726"/>
      <c r="M1954" s="726"/>
      <c r="N1954" s="726"/>
      <c r="O1954" s="726"/>
      <c r="P1954" s="726"/>
      <c r="Q1954" s="726"/>
      <c r="R1954" s="726"/>
      <c r="S1954" s="726"/>
      <c r="T1954" s="726"/>
      <c r="U1954" s="726"/>
      <c r="V1954" s="726"/>
      <c r="W1954" s="726"/>
      <c r="X1954" s="726"/>
      <c r="Y1954" s="726"/>
      <c r="Z1954" s="726"/>
      <c r="AA1954" s="732"/>
      <c r="AB1954" s="732"/>
      <c r="AC1954" s="732"/>
      <c r="AD1954" s="732"/>
      <c r="AE1954" s="733"/>
      <c r="AF1954" s="734" t="str">
        <f t="shared" si="92"/>
        <v/>
      </c>
      <c r="AG1954" s="773"/>
    </row>
    <row r="1955" spans="1:33" ht="18.75" x14ac:dyDescent="0.25">
      <c r="A1955" s="758"/>
      <c r="B1955" s="737"/>
      <c r="C1955" s="730"/>
      <c r="D1955" s="739"/>
      <c r="E1955" s="765"/>
      <c r="F1955" s="765"/>
      <c r="G1955" s="765"/>
      <c r="H1955" s="765"/>
      <c r="I1955" s="746" t="str">
        <f t="shared" si="91"/>
        <v/>
      </c>
      <c r="J1955" s="731"/>
      <c r="K1955" s="731" t="str">
        <f t="shared" si="90"/>
        <v/>
      </c>
      <c r="L1955" s="726"/>
      <c r="M1955" s="726"/>
      <c r="N1955" s="726"/>
      <c r="O1955" s="726"/>
      <c r="P1955" s="726"/>
      <c r="Q1955" s="726"/>
      <c r="R1955" s="726"/>
      <c r="S1955" s="726"/>
      <c r="T1955" s="726"/>
      <c r="U1955" s="726"/>
      <c r="V1955" s="726"/>
      <c r="W1955" s="726"/>
      <c r="X1955" s="726"/>
      <c r="Y1955" s="726"/>
      <c r="Z1955" s="726"/>
      <c r="AA1955" s="732"/>
      <c r="AB1955" s="732"/>
      <c r="AC1955" s="732"/>
      <c r="AD1955" s="732"/>
      <c r="AE1955" s="733"/>
      <c r="AF1955" s="734" t="str">
        <f t="shared" si="92"/>
        <v/>
      </c>
      <c r="AG1955" s="773"/>
    </row>
    <row r="1956" spans="1:33" ht="18.75" x14ac:dyDescent="0.25">
      <c r="A1956" s="758"/>
      <c r="B1956" s="737"/>
      <c r="C1956" s="730"/>
      <c r="D1956" s="739"/>
      <c r="E1956" s="765"/>
      <c r="F1956" s="765"/>
      <c r="G1956" s="765"/>
      <c r="H1956" s="765"/>
      <c r="I1956" s="746" t="str">
        <f t="shared" si="91"/>
        <v/>
      </c>
      <c r="J1956" s="731"/>
      <c r="K1956" s="731" t="str">
        <f t="shared" si="90"/>
        <v/>
      </c>
      <c r="L1956" s="726"/>
      <c r="M1956" s="726"/>
      <c r="N1956" s="726"/>
      <c r="O1956" s="726"/>
      <c r="P1956" s="726"/>
      <c r="Q1956" s="726"/>
      <c r="R1956" s="726"/>
      <c r="S1956" s="726"/>
      <c r="T1956" s="726"/>
      <c r="U1956" s="726"/>
      <c r="V1956" s="726"/>
      <c r="W1956" s="726"/>
      <c r="X1956" s="726"/>
      <c r="Y1956" s="726"/>
      <c r="Z1956" s="726"/>
      <c r="AA1956" s="732"/>
      <c r="AB1956" s="732"/>
      <c r="AC1956" s="732"/>
      <c r="AD1956" s="732"/>
      <c r="AE1956" s="733"/>
      <c r="AF1956" s="734" t="str">
        <f t="shared" si="92"/>
        <v/>
      </c>
      <c r="AG1956" s="773"/>
    </row>
    <row r="1957" spans="1:33" ht="18.75" x14ac:dyDescent="0.25">
      <c r="A1957" s="758"/>
      <c r="B1957" s="737"/>
      <c r="C1957" s="730"/>
      <c r="D1957" s="739"/>
      <c r="E1957" s="765"/>
      <c r="F1957" s="765"/>
      <c r="G1957" s="765"/>
      <c r="H1957" s="765"/>
      <c r="I1957" s="746" t="str">
        <f t="shared" si="91"/>
        <v/>
      </c>
      <c r="J1957" s="731"/>
      <c r="K1957" s="731" t="str">
        <f t="shared" si="90"/>
        <v/>
      </c>
      <c r="L1957" s="726"/>
      <c r="M1957" s="726"/>
      <c r="N1957" s="726"/>
      <c r="O1957" s="726"/>
      <c r="P1957" s="726"/>
      <c r="Q1957" s="726"/>
      <c r="R1957" s="726"/>
      <c r="S1957" s="726"/>
      <c r="T1957" s="726"/>
      <c r="U1957" s="726"/>
      <c r="V1957" s="726"/>
      <c r="W1957" s="726"/>
      <c r="X1957" s="726"/>
      <c r="Y1957" s="726"/>
      <c r="Z1957" s="726"/>
      <c r="AA1957" s="732"/>
      <c r="AB1957" s="732"/>
      <c r="AC1957" s="732"/>
      <c r="AD1957" s="732"/>
      <c r="AE1957" s="733"/>
      <c r="AF1957" s="734" t="str">
        <f t="shared" si="92"/>
        <v/>
      </c>
      <c r="AG1957" s="773"/>
    </row>
    <row r="1958" spans="1:33" ht="18.75" x14ac:dyDescent="0.25">
      <c r="A1958" s="758"/>
      <c r="B1958" s="737"/>
      <c r="C1958" s="730"/>
      <c r="D1958" s="739"/>
      <c r="E1958" s="765"/>
      <c r="F1958" s="765"/>
      <c r="G1958" s="765"/>
      <c r="H1958" s="765"/>
      <c r="I1958" s="746" t="str">
        <f t="shared" si="91"/>
        <v/>
      </c>
      <c r="J1958" s="731"/>
      <c r="K1958" s="731" t="str">
        <f t="shared" si="90"/>
        <v/>
      </c>
      <c r="L1958" s="726"/>
      <c r="M1958" s="726"/>
      <c r="N1958" s="726"/>
      <c r="O1958" s="726"/>
      <c r="P1958" s="726"/>
      <c r="Q1958" s="726"/>
      <c r="R1958" s="726"/>
      <c r="S1958" s="726"/>
      <c r="T1958" s="726"/>
      <c r="U1958" s="726"/>
      <c r="V1958" s="726"/>
      <c r="W1958" s="726"/>
      <c r="X1958" s="726"/>
      <c r="Y1958" s="726"/>
      <c r="Z1958" s="726"/>
      <c r="AA1958" s="732"/>
      <c r="AB1958" s="732"/>
      <c r="AC1958" s="732"/>
      <c r="AD1958" s="732"/>
      <c r="AE1958" s="733"/>
      <c r="AF1958" s="734" t="str">
        <f t="shared" si="92"/>
        <v/>
      </c>
      <c r="AG1958" s="773"/>
    </row>
    <row r="1959" spans="1:33" ht="18.75" x14ac:dyDescent="0.25">
      <c r="A1959" s="758"/>
      <c r="B1959" s="737"/>
      <c r="C1959" s="730"/>
      <c r="D1959" s="739"/>
      <c r="E1959" s="765"/>
      <c r="F1959" s="765"/>
      <c r="G1959" s="765"/>
      <c r="H1959" s="765"/>
      <c r="I1959" s="746" t="str">
        <f t="shared" si="91"/>
        <v/>
      </c>
      <c r="J1959" s="731"/>
      <c r="K1959" s="731" t="str">
        <f t="shared" si="90"/>
        <v/>
      </c>
      <c r="L1959" s="726"/>
      <c r="M1959" s="726"/>
      <c r="N1959" s="726"/>
      <c r="O1959" s="726"/>
      <c r="P1959" s="726"/>
      <c r="Q1959" s="726"/>
      <c r="R1959" s="726"/>
      <c r="S1959" s="726"/>
      <c r="T1959" s="726"/>
      <c r="U1959" s="726"/>
      <c r="V1959" s="726"/>
      <c r="W1959" s="726"/>
      <c r="X1959" s="726"/>
      <c r="Y1959" s="726"/>
      <c r="Z1959" s="726"/>
      <c r="AA1959" s="732"/>
      <c r="AB1959" s="732"/>
      <c r="AC1959" s="732"/>
      <c r="AD1959" s="732"/>
      <c r="AE1959" s="733"/>
      <c r="AF1959" s="734" t="str">
        <f t="shared" si="92"/>
        <v/>
      </c>
      <c r="AG1959" s="773"/>
    </row>
    <row r="1960" spans="1:33" ht="18.75" x14ac:dyDescent="0.25">
      <c r="A1960" s="758"/>
      <c r="B1960" s="737"/>
      <c r="C1960" s="730"/>
      <c r="D1960" s="739"/>
      <c r="E1960" s="765"/>
      <c r="F1960" s="765"/>
      <c r="G1960" s="765"/>
      <c r="H1960" s="765"/>
      <c r="I1960" s="746" t="str">
        <f t="shared" si="91"/>
        <v/>
      </c>
      <c r="J1960" s="731"/>
      <c r="K1960" s="731" t="str">
        <f t="shared" si="90"/>
        <v/>
      </c>
      <c r="L1960" s="726"/>
      <c r="M1960" s="726"/>
      <c r="N1960" s="726"/>
      <c r="O1960" s="726"/>
      <c r="P1960" s="726"/>
      <c r="Q1960" s="726"/>
      <c r="R1960" s="726"/>
      <c r="S1960" s="726"/>
      <c r="T1960" s="726"/>
      <c r="U1960" s="726"/>
      <c r="V1960" s="726"/>
      <c r="W1960" s="726"/>
      <c r="X1960" s="726"/>
      <c r="Y1960" s="726"/>
      <c r="Z1960" s="726"/>
      <c r="AA1960" s="732"/>
      <c r="AB1960" s="732"/>
      <c r="AC1960" s="732"/>
      <c r="AD1960" s="732"/>
      <c r="AE1960" s="733"/>
      <c r="AF1960" s="734" t="str">
        <f t="shared" si="92"/>
        <v/>
      </c>
      <c r="AG1960" s="773"/>
    </row>
    <row r="1961" spans="1:33" ht="18.75" x14ac:dyDescent="0.25">
      <c r="A1961" s="758"/>
      <c r="B1961" s="737"/>
      <c r="C1961" s="730"/>
      <c r="D1961" s="739"/>
      <c r="E1961" s="765"/>
      <c r="F1961" s="765"/>
      <c r="G1961" s="765"/>
      <c r="H1961" s="765"/>
      <c r="I1961" s="746" t="str">
        <f t="shared" si="91"/>
        <v/>
      </c>
      <c r="J1961" s="731"/>
      <c r="K1961" s="731" t="str">
        <f t="shared" si="90"/>
        <v/>
      </c>
      <c r="L1961" s="726"/>
      <c r="M1961" s="726"/>
      <c r="N1961" s="726"/>
      <c r="O1961" s="726"/>
      <c r="P1961" s="726"/>
      <c r="Q1961" s="726"/>
      <c r="R1961" s="726"/>
      <c r="S1961" s="726"/>
      <c r="T1961" s="726"/>
      <c r="U1961" s="726"/>
      <c r="V1961" s="726"/>
      <c r="W1961" s="726"/>
      <c r="X1961" s="726"/>
      <c r="Y1961" s="726"/>
      <c r="Z1961" s="726"/>
      <c r="AA1961" s="732"/>
      <c r="AB1961" s="732"/>
      <c r="AC1961" s="732"/>
      <c r="AD1961" s="732"/>
      <c r="AE1961" s="733"/>
      <c r="AF1961" s="734" t="str">
        <f t="shared" si="92"/>
        <v/>
      </c>
      <c r="AG1961" s="773"/>
    </row>
    <row r="1962" spans="1:33" ht="18.75" x14ac:dyDescent="0.25">
      <c r="A1962" s="758"/>
      <c r="B1962" s="737"/>
      <c r="C1962" s="730"/>
      <c r="D1962" s="739"/>
      <c r="E1962" s="765"/>
      <c r="F1962" s="765"/>
      <c r="G1962" s="765"/>
      <c r="H1962" s="765"/>
      <c r="I1962" s="746" t="str">
        <f t="shared" si="91"/>
        <v/>
      </c>
      <c r="J1962" s="731"/>
      <c r="K1962" s="731" t="str">
        <f t="shared" si="90"/>
        <v/>
      </c>
      <c r="L1962" s="726"/>
      <c r="M1962" s="726"/>
      <c r="N1962" s="726"/>
      <c r="O1962" s="726"/>
      <c r="P1962" s="726"/>
      <c r="Q1962" s="726"/>
      <c r="R1962" s="726"/>
      <c r="S1962" s="726"/>
      <c r="T1962" s="726"/>
      <c r="U1962" s="726"/>
      <c r="V1962" s="726"/>
      <c r="W1962" s="726"/>
      <c r="X1962" s="726"/>
      <c r="Y1962" s="726"/>
      <c r="Z1962" s="726"/>
      <c r="AA1962" s="732"/>
      <c r="AB1962" s="732"/>
      <c r="AC1962" s="732"/>
      <c r="AD1962" s="732"/>
      <c r="AE1962" s="733"/>
      <c r="AF1962" s="734" t="str">
        <f t="shared" si="92"/>
        <v/>
      </c>
      <c r="AG1962" s="773"/>
    </row>
    <row r="1963" spans="1:33" ht="18.75" x14ac:dyDescent="0.25">
      <c r="A1963" s="758"/>
      <c r="B1963" s="737"/>
      <c r="C1963" s="730"/>
      <c r="D1963" s="739"/>
      <c r="E1963" s="765"/>
      <c r="F1963" s="765"/>
      <c r="G1963" s="765"/>
      <c r="H1963" s="765"/>
      <c r="I1963" s="746" t="str">
        <f t="shared" si="91"/>
        <v/>
      </c>
      <c r="J1963" s="731"/>
      <c r="K1963" s="731" t="str">
        <f t="shared" si="90"/>
        <v/>
      </c>
      <c r="L1963" s="726"/>
      <c r="M1963" s="726"/>
      <c r="N1963" s="726"/>
      <c r="O1963" s="726"/>
      <c r="P1963" s="726"/>
      <c r="Q1963" s="726"/>
      <c r="R1963" s="726"/>
      <c r="S1963" s="726"/>
      <c r="T1963" s="726"/>
      <c r="U1963" s="726"/>
      <c r="V1963" s="726"/>
      <c r="W1963" s="726"/>
      <c r="X1963" s="726"/>
      <c r="Y1963" s="726"/>
      <c r="Z1963" s="726"/>
      <c r="AA1963" s="732"/>
      <c r="AB1963" s="732"/>
      <c r="AC1963" s="732"/>
      <c r="AD1963" s="732"/>
      <c r="AE1963" s="733"/>
      <c r="AF1963" s="734" t="str">
        <f t="shared" si="92"/>
        <v/>
      </c>
      <c r="AG1963" s="773"/>
    </row>
    <row r="1964" spans="1:33" ht="18.75" x14ac:dyDescent="0.25">
      <c r="A1964" s="758"/>
      <c r="B1964" s="737"/>
      <c r="C1964" s="730"/>
      <c r="D1964" s="739"/>
      <c r="E1964" s="765"/>
      <c r="F1964" s="765"/>
      <c r="G1964" s="765"/>
      <c r="H1964" s="765"/>
      <c r="I1964" s="746" t="str">
        <f t="shared" si="91"/>
        <v/>
      </c>
      <c r="J1964" s="731"/>
      <c r="K1964" s="731" t="str">
        <f t="shared" si="90"/>
        <v/>
      </c>
      <c r="L1964" s="726"/>
      <c r="M1964" s="726"/>
      <c r="N1964" s="726"/>
      <c r="O1964" s="726"/>
      <c r="P1964" s="726"/>
      <c r="Q1964" s="726"/>
      <c r="R1964" s="726"/>
      <c r="S1964" s="726"/>
      <c r="T1964" s="726"/>
      <c r="U1964" s="726"/>
      <c r="V1964" s="726"/>
      <c r="W1964" s="726"/>
      <c r="X1964" s="726"/>
      <c r="Y1964" s="726"/>
      <c r="Z1964" s="726"/>
      <c r="AA1964" s="732"/>
      <c r="AB1964" s="732"/>
      <c r="AC1964" s="732"/>
      <c r="AD1964" s="732"/>
      <c r="AE1964" s="733"/>
      <c r="AF1964" s="734" t="str">
        <f t="shared" si="92"/>
        <v/>
      </c>
      <c r="AG1964" s="773"/>
    </row>
    <row r="1965" spans="1:33" ht="18.75" x14ac:dyDescent="0.25">
      <c r="A1965" s="758"/>
      <c r="B1965" s="737"/>
      <c r="C1965" s="730"/>
      <c r="D1965" s="739"/>
      <c r="E1965" s="765"/>
      <c r="F1965" s="765"/>
      <c r="G1965" s="765"/>
      <c r="H1965" s="765"/>
      <c r="I1965" s="746" t="str">
        <f t="shared" si="91"/>
        <v/>
      </c>
      <c r="J1965" s="731"/>
      <c r="K1965" s="731" t="str">
        <f t="shared" si="90"/>
        <v/>
      </c>
      <c r="L1965" s="726"/>
      <c r="M1965" s="726"/>
      <c r="N1965" s="726"/>
      <c r="O1965" s="726"/>
      <c r="P1965" s="726"/>
      <c r="Q1965" s="726"/>
      <c r="R1965" s="726"/>
      <c r="S1965" s="726"/>
      <c r="T1965" s="726"/>
      <c r="U1965" s="726"/>
      <c r="V1965" s="726"/>
      <c r="W1965" s="726"/>
      <c r="X1965" s="726"/>
      <c r="Y1965" s="726"/>
      <c r="Z1965" s="726"/>
      <c r="AA1965" s="732"/>
      <c r="AB1965" s="732"/>
      <c r="AC1965" s="732"/>
      <c r="AD1965" s="732"/>
      <c r="AE1965" s="733"/>
      <c r="AF1965" s="734" t="str">
        <f t="shared" si="92"/>
        <v/>
      </c>
      <c r="AG1965" s="773"/>
    </row>
    <row r="1966" spans="1:33" ht="18.75" x14ac:dyDescent="0.25">
      <c r="A1966" s="758"/>
      <c r="B1966" s="737"/>
      <c r="C1966" s="730"/>
      <c r="D1966" s="739"/>
      <c r="E1966" s="765"/>
      <c r="F1966" s="765"/>
      <c r="G1966" s="765"/>
      <c r="H1966" s="765"/>
      <c r="I1966" s="746" t="str">
        <f t="shared" si="91"/>
        <v/>
      </c>
      <c r="J1966" s="731"/>
      <c r="K1966" s="731" t="str">
        <f t="shared" si="90"/>
        <v/>
      </c>
      <c r="L1966" s="726"/>
      <c r="M1966" s="726"/>
      <c r="N1966" s="726"/>
      <c r="O1966" s="726"/>
      <c r="P1966" s="726"/>
      <c r="Q1966" s="726"/>
      <c r="R1966" s="726"/>
      <c r="S1966" s="726"/>
      <c r="T1966" s="726"/>
      <c r="U1966" s="726"/>
      <c r="V1966" s="726"/>
      <c r="W1966" s="726"/>
      <c r="X1966" s="726"/>
      <c r="Y1966" s="726"/>
      <c r="Z1966" s="726"/>
      <c r="AA1966" s="732"/>
      <c r="AB1966" s="732"/>
      <c r="AC1966" s="732"/>
      <c r="AD1966" s="732"/>
      <c r="AE1966" s="733"/>
      <c r="AF1966" s="734" t="str">
        <f t="shared" si="92"/>
        <v/>
      </c>
      <c r="AG1966" s="773"/>
    </row>
    <row r="1967" spans="1:33" ht="18.75" x14ac:dyDescent="0.25">
      <c r="A1967" s="758"/>
      <c r="B1967" s="737"/>
      <c r="C1967" s="730"/>
      <c r="D1967" s="739"/>
      <c r="E1967" s="765"/>
      <c r="F1967" s="765"/>
      <c r="G1967" s="765"/>
      <c r="H1967" s="765"/>
      <c r="I1967" s="746" t="str">
        <f t="shared" si="91"/>
        <v/>
      </c>
      <c r="J1967" s="731"/>
      <c r="K1967" s="731" t="str">
        <f t="shared" si="90"/>
        <v/>
      </c>
      <c r="L1967" s="726"/>
      <c r="M1967" s="726"/>
      <c r="N1967" s="726"/>
      <c r="O1967" s="726"/>
      <c r="P1967" s="726"/>
      <c r="Q1967" s="726"/>
      <c r="R1967" s="726"/>
      <c r="S1967" s="726"/>
      <c r="T1967" s="726"/>
      <c r="U1967" s="726"/>
      <c r="V1967" s="726"/>
      <c r="W1967" s="726"/>
      <c r="X1967" s="726"/>
      <c r="Y1967" s="726"/>
      <c r="Z1967" s="726"/>
      <c r="AA1967" s="732"/>
      <c r="AB1967" s="732"/>
      <c r="AC1967" s="732"/>
      <c r="AD1967" s="732"/>
      <c r="AE1967" s="733"/>
      <c r="AF1967" s="734" t="str">
        <f t="shared" si="92"/>
        <v/>
      </c>
      <c r="AG1967" s="773"/>
    </row>
    <row r="1968" spans="1:33" ht="18.75" x14ac:dyDescent="0.25">
      <c r="A1968" s="758"/>
      <c r="B1968" s="737"/>
      <c r="C1968" s="730"/>
      <c r="D1968" s="739"/>
      <c r="E1968" s="765"/>
      <c r="F1968" s="765"/>
      <c r="G1968" s="765"/>
      <c r="H1968" s="765"/>
      <c r="I1968" s="746" t="str">
        <f t="shared" si="91"/>
        <v/>
      </c>
      <c r="J1968" s="731"/>
      <c r="K1968" s="731" t="str">
        <f t="shared" si="90"/>
        <v/>
      </c>
      <c r="L1968" s="726"/>
      <c r="M1968" s="726"/>
      <c r="N1968" s="726"/>
      <c r="O1968" s="726"/>
      <c r="P1968" s="726"/>
      <c r="Q1968" s="726"/>
      <c r="R1968" s="726"/>
      <c r="S1968" s="726"/>
      <c r="T1968" s="726"/>
      <c r="U1968" s="726"/>
      <c r="V1968" s="726"/>
      <c r="W1968" s="726"/>
      <c r="X1968" s="726"/>
      <c r="Y1968" s="726"/>
      <c r="Z1968" s="726"/>
      <c r="AA1968" s="732"/>
      <c r="AB1968" s="732"/>
      <c r="AC1968" s="732"/>
      <c r="AD1968" s="732"/>
      <c r="AE1968" s="733"/>
      <c r="AF1968" s="734" t="str">
        <f t="shared" si="92"/>
        <v/>
      </c>
      <c r="AG1968" s="773"/>
    </row>
    <row r="1969" spans="1:33" ht="18.75" x14ac:dyDescent="0.25">
      <c r="A1969" s="758"/>
      <c r="B1969" s="737"/>
      <c r="C1969" s="730"/>
      <c r="D1969" s="739"/>
      <c r="E1969" s="765"/>
      <c r="F1969" s="765"/>
      <c r="G1969" s="765"/>
      <c r="H1969" s="765"/>
      <c r="I1969" s="746" t="str">
        <f t="shared" si="91"/>
        <v/>
      </c>
      <c r="J1969" s="731"/>
      <c r="K1969" s="731" t="str">
        <f t="shared" si="90"/>
        <v/>
      </c>
      <c r="L1969" s="726"/>
      <c r="M1969" s="726"/>
      <c r="N1969" s="726"/>
      <c r="O1969" s="726"/>
      <c r="P1969" s="726"/>
      <c r="Q1969" s="726"/>
      <c r="R1969" s="726"/>
      <c r="S1969" s="726"/>
      <c r="T1969" s="726"/>
      <c r="U1969" s="726"/>
      <c r="V1969" s="726"/>
      <c r="W1969" s="726"/>
      <c r="X1969" s="726"/>
      <c r="Y1969" s="726"/>
      <c r="Z1969" s="726"/>
      <c r="AA1969" s="732"/>
      <c r="AB1969" s="732"/>
      <c r="AC1969" s="732"/>
      <c r="AD1969" s="732"/>
      <c r="AE1969" s="733"/>
      <c r="AF1969" s="734" t="str">
        <f t="shared" si="92"/>
        <v/>
      </c>
      <c r="AG1969" s="773"/>
    </row>
    <row r="1970" spans="1:33" ht="18.75" x14ac:dyDescent="0.25">
      <c r="A1970" s="758"/>
      <c r="B1970" s="737"/>
      <c r="C1970" s="730"/>
      <c r="D1970" s="739"/>
      <c r="E1970" s="765"/>
      <c r="F1970" s="765"/>
      <c r="G1970" s="765"/>
      <c r="H1970" s="765"/>
      <c r="I1970" s="746" t="str">
        <f t="shared" si="91"/>
        <v/>
      </c>
      <c r="J1970" s="731"/>
      <c r="K1970" s="731" t="str">
        <f t="shared" si="90"/>
        <v/>
      </c>
      <c r="L1970" s="726"/>
      <c r="M1970" s="726"/>
      <c r="N1970" s="726"/>
      <c r="O1970" s="726"/>
      <c r="P1970" s="726"/>
      <c r="Q1970" s="726"/>
      <c r="R1970" s="726"/>
      <c r="S1970" s="726"/>
      <c r="T1970" s="726"/>
      <c r="U1970" s="726"/>
      <c r="V1970" s="726"/>
      <c r="W1970" s="726"/>
      <c r="X1970" s="726"/>
      <c r="Y1970" s="726"/>
      <c r="Z1970" s="726"/>
      <c r="AA1970" s="732"/>
      <c r="AB1970" s="732"/>
      <c r="AC1970" s="732"/>
      <c r="AD1970" s="732"/>
      <c r="AE1970" s="733"/>
      <c r="AF1970" s="734" t="str">
        <f t="shared" si="92"/>
        <v/>
      </c>
      <c r="AG1970" s="773"/>
    </row>
    <row r="1971" spans="1:33" ht="18.75" x14ac:dyDescent="0.25">
      <c r="A1971" s="758"/>
      <c r="B1971" s="737"/>
      <c r="C1971" s="730"/>
      <c r="D1971" s="739"/>
      <c r="E1971" s="765"/>
      <c r="F1971" s="765"/>
      <c r="G1971" s="765"/>
      <c r="H1971" s="765"/>
      <c r="I1971" s="746" t="str">
        <f t="shared" si="91"/>
        <v/>
      </c>
      <c r="J1971" s="731"/>
      <c r="K1971" s="731" t="str">
        <f t="shared" si="90"/>
        <v/>
      </c>
      <c r="L1971" s="726"/>
      <c r="M1971" s="726"/>
      <c r="N1971" s="726"/>
      <c r="O1971" s="726"/>
      <c r="P1971" s="726"/>
      <c r="Q1971" s="726"/>
      <c r="R1971" s="726"/>
      <c r="S1971" s="726"/>
      <c r="T1971" s="726"/>
      <c r="U1971" s="726"/>
      <c r="V1971" s="726"/>
      <c r="W1971" s="726"/>
      <c r="X1971" s="726"/>
      <c r="Y1971" s="726"/>
      <c r="Z1971" s="726"/>
      <c r="AA1971" s="732"/>
      <c r="AB1971" s="732"/>
      <c r="AC1971" s="732"/>
      <c r="AD1971" s="732"/>
      <c r="AE1971" s="733"/>
      <c r="AF1971" s="734" t="str">
        <f t="shared" si="92"/>
        <v/>
      </c>
      <c r="AG1971" s="773"/>
    </row>
    <row r="1972" spans="1:33" ht="18.75" x14ac:dyDescent="0.25">
      <c r="A1972" s="758"/>
      <c r="B1972" s="737"/>
      <c r="C1972" s="730"/>
      <c r="D1972" s="739"/>
      <c r="E1972" s="765"/>
      <c r="F1972" s="765"/>
      <c r="G1972" s="765"/>
      <c r="H1972" s="765"/>
      <c r="I1972" s="746" t="str">
        <f t="shared" si="91"/>
        <v/>
      </c>
      <c r="J1972" s="731"/>
      <c r="K1972" s="731" t="str">
        <f t="shared" si="90"/>
        <v/>
      </c>
      <c r="L1972" s="726"/>
      <c r="M1972" s="726"/>
      <c r="N1972" s="726"/>
      <c r="O1972" s="726"/>
      <c r="P1972" s="726"/>
      <c r="Q1972" s="726"/>
      <c r="R1972" s="726"/>
      <c r="S1972" s="726"/>
      <c r="T1972" s="726"/>
      <c r="U1972" s="726"/>
      <c r="V1972" s="726"/>
      <c r="W1972" s="726"/>
      <c r="X1972" s="726"/>
      <c r="Y1972" s="726"/>
      <c r="Z1972" s="726"/>
      <c r="AA1972" s="732"/>
      <c r="AB1972" s="732"/>
      <c r="AC1972" s="732"/>
      <c r="AD1972" s="732"/>
      <c r="AE1972" s="733"/>
      <c r="AF1972" s="734" t="str">
        <f t="shared" si="92"/>
        <v/>
      </c>
      <c r="AG1972" s="773"/>
    </row>
    <row r="1973" spans="1:33" ht="18.75" x14ac:dyDescent="0.25">
      <c r="A1973" s="758"/>
      <c r="B1973" s="737"/>
      <c r="C1973" s="730"/>
      <c r="D1973" s="739"/>
      <c r="E1973" s="765"/>
      <c r="F1973" s="765"/>
      <c r="G1973" s="765"/>
      <c r="H1973" s="765"/>
      <c r="I1973" s="746" t="str">
        <f t="shared" si="91"/>
        <v/>
      </c>
      <c r="J1973" s="731"/>
      <c r="K1973" s="731" t="str">
        <f t="shared" si="90"/>
        <v/>
      </c>
      <c r="L1973" s="726"/>
      <c r="M1973" s="726"/>
      <c r="N1973" s="726"/>
      <c r="O1973" s="726"/>
      <c r="P1973" s="726"/>
      <c r="Q1973" s="726"/>
      <c r="R1973" s="726"/>
      <c r="S1973" s="726"/>
      <c r="T1973" s="726"/>
      <c r="U1973" s="726"/>
      <c r="V1973" s="726"/>
      <c r="W1973" s="726"/>
      <c r="X1973" s="726"/>
      <c r="Y1973" s="726"/>
      <c r="Z1973" s="726"/>
      <c r="AA1973" s="732"/>
      <c r="AB1973" s="732"/>
      <c r="AC1973" s="732"/>
      <c r="AD1973" s="732"/>
      <c r="AE1973" s="733"/>
      <c r="AF1973" s="734" t="str">
        <f t="shared" si="92"/>
        <v/>
      </c>
      <c r="AG1973" s="773"/>
    </row>
    <row r="1974" spans="1:33" ht="18.75" x14ac:dyDescent="0.25">
      <c r="A1974" s="758"/>
      <c r="B1974" s="737"/>
      <c r="C1974" s="730"/>
      <c r="D1974" s="739"/>
      <c r="E1974" s="765"/>
      <c r="F1974" s="765"/>
      <c r="G1974" s="765"/>
      <c r="H1974" s="765"/>
      <c r="I1974" s="746" t="str">
        <f t="shared" si="91"/>
        <v/>
      </c>
      <c r="J1974" s="731"/>
      <c r="K1974" s="731" t="str">
        <f t="shared" si="90"/>
        <v/>
      </c>
      <c r="L1974" s="726"/>
      <c r="M1974" s="726"/>
      <c r="N1974" s="726"/>
      <c r="O1974" s="726"/>
      <c r="P1974" s="726"/>
      <c r="Q1974" s="726"/>
      <c r="R1974" s="726"/>
      <c r="S1974" s="726"/>
      <c r="T1974" s="726"/>
      <c r="U1974" s="726"/>
      <c r="V1974" s="726"/>
      <c r="W1974" s="726"/>
      <c r="X1974" s="726"/>
      <c r="Y1974" s="726"/>
      <c r="Z1974" s="726"/>
      <c r="AA1974" s="732"/>
      <c r="AB1974" s="732"/>
      <c r="AC1974" s="732"/>
      <c r="AD1974" s="732"/>
      <c r="AE1974" s="733"/>
      <c r="AF1974" s="734" t="str">
        <f t="shared" si="92"/>
        <v/>
      </c>
      <c r="AG1974" s="773"/>
    </row>
    <row r="1975" spans="1:33" ht="18.75" x14ac:dyDescent="0.25">
      <c r="A1975" s="758"/>
      <c r="B1975" s="737"/>
      <c r="C1975" s="730"/>
      <c r="D1975" s="739"/>
      <c r="E1975" s="765"/>
      <c r="F1975" s="765"/>
      <c r="G1975" s="765"/>
      <c r="H1975" s="765"/>
      <c r="I1975" s="746" t="str">
        <f t="shared" si="91"/>
        <v/>
      </c>
      <c r="J1975" s="731"/>
      <c r="K1975" s="731" t="str">
        <f t="shared" si="90"/>
        <v/>
      </c>
      <c r="L1975" s="726"/>
      <c r="M1975" s="726"/>
      <c r="N1975" s="726"/>
      <c r="O1975" s="726"/>
      <c r="P1975" s="726"/>
      <c r="Q1975" s="726"/>
      <c r="R1975" s="726"/>
      <c r="S1975" s="726"/>
      <c r="T1975" s="726"/>
      <c r="U1975" s="726"/>
      <c r="V1975" s="726"/>
      <c r="W1975" s="726"/>
      <c r="X1975" s="726"/>
      <c r="Y1975" s="726"/>
      <c r="Z1975" s="726"/>
      <c r="AA1975" s="732"/>
      <c r="AB1975" s="732"/>
      <c r="AC1975" s="732"/>
      <c r="AD1975" s="732"/>
      <c r="AE1975" s="733"/>
      <c r="AF1975" s="734" t="str">
        <f t="shared" si="92"/>
        <v/>
      </c>
      <c r="AG1975" s="773"/>
    </row>
    <row r="1976" spans="1:33" ht="18.75" x14ac:dyDescent="0.25">
      <c r="A1976" s="758"/>
      <c r="B1976" s="737"/>
      <c r="C1976" s="730"/>
      <c r="D1976" s="739"/>
      <c r="E1976" s="765"/>
      <c r="F1976" s="765"/>
      <c r="G1976" s="765"/>
      <c r="H1976" s="765"/>
      <c r="I1976" s="746" t="str">
        <f t="shared" si="91"/>
        <v/>
      </c>
      <c r="J1976" s="731"/>
      <c r="K1976" s="731" t="str">
        <f t="shared" si="90"/>
        <v/>
      </c>
      <c r="L1976" s="726"/>
      <c r="M1976" s="726"/>
      <c r="N1976" s="726"/>
      <c r="O1976" s="726"/>
      <c r="P1976" s="726"/>
      <c r="Q1976" s="726"/>
      <c r="R1976" s="726"/>
      <c r="S1976" s="726"/>
      <c r="T1976" s="726"/>
      <c r="U1976" s="726"/>
      <c r="V1976" s="726"/>
      <c r="W1976" s="726"/>
      <c r="X1976" s="726"/>
      <c r="Y1976" s="726"/>
      <c r="Z1976" s="726"/>
      <c r="AA1976" s="732"/>
      <c r="AB1976" s="732"/>
      <c r="AC1976" s="732"/>
      <c r="AD1976" s="732"/>
      <c r="AE1976" s="733"/>
      <c r="AF1976" s="734" t="str">
        <f t="shared" si="92"/>
        <v/>
      </c>
      <c r="AG1976" s="773"/>
    </row>
    <row r="1977" spans="1:33" ht="18.75" x14ac:dyDescent="0.25">
      <c r="A1977" s="758"/>
      <c r="B1977" s="737"/>
      <c r="C1977" s="730"/>
      <c r="D1977" s="739"/>
      <c r="E1977" s="765"/>
      <c r="F1977" s="765"/>
      <c r="G1977" s="765"/>
      <c r="H1977" s="765"/>
      <c r="I1977" s="746" t="str">
        <f t="shared" si="91"/>
        <v/>
      </c>
      <c r="J1977" s="731"/>
      <c r="K1977" s="731" t="str">
        <f t="shared" si="90"/>
        <v/>
      </c>
      <c r="L1977" s="726"/>
      <c r="M1977" s="726"/>
      <c r="N1977" s="726"/>
      <c r="O1977" s="726"/>
      <c r="P1977" s="726"/>
      <c r="Q1977" s="726"/>
      <c r="R1977" s="726"/>
      <c r="S1977" s="726"/>
      <c r="T1977" s="726"/>
      <c r="U1977" s="726"/>
      <c r="V1977" s="726"/>
      <c r="W1977" s="726"/>
      <c r="X1977" s="726"/>
      <c r="Y1977" s="726"/>
      <c r="Z1977" s="726"/>
      <c r="AA1977" s="732"/>
      <c r="AB1977" s="732"/>
      <c r="AC1977" s="732"/>
      <c r="AD1977" s="732"/>
      <c r="AE1977" s="733"/>
      <c r="AF1977" s="734" t="str">
        <f t="shared" si="92"/>
        <v/>
      </c>
      <c r="AG1977" s="773"/>
    </row>
    <row r="1978" spans="1:33" ht="18.75" x14ac:dyDescent="0.25">
      <c r="A1978" s="758"/>
      <c r="B1978" s="737"/>
      <c r="C1978" s="730"/>
      <c r="D1978" s="739"/>
      <c r="E1978" s="765"/>
      <c r="F1978" s="765"/>
      <c r="G1978" s="765"/>
      <c r="H1978" s="765"/>
      <c r="I1978" s="746" t="str">
        <f t="shared" si="91"/>
        <v/>
      </c>
      <c r="J1978" s="731"/>
      <c r="K1978" s="731" t="str">
        <f t="shared" si="90"/>
        <v/>
      </c>
      <c r="L1978" s="726"/>
      <c r="M1978" s="726"/>
      <c r="N1978" s="726"/>
      <c r="O1978" s="726"/>
      <c r="P1978" s="726"/>
      <c r="Q1978" s="726"/>
      <c r="R1978" s="726"/>
      <c r="S1978" s="726"/>
      <c r="T1978" s="726"/>
      <c r="U1978" s="726"/>
      <c r="V1978" s="726"/>
      <c r="W1978" s="726"/>
      <c r="X1978" s="726"/>
      <c r="Y1978" s="726"/>
      <c r="Z1978" s="726"/>
      <c r="AA1978" s="732"/>
      <c r="AB1978" s="732"/>
      <c r="AC1978" s="732"/>
      <c r="AD1978" s="732"/>
      <c r="AE1978" s="733"/>
      <c r="AF1978" s="734" t="str">
        <f t="shared" si="92"/>
        <v/>
      </c>
      <c r="AG1978" s="773"/>
    </row>
    <row r="1979" spans="1:33" ht="18.75" x14ac:dyDescent="0.25">
      <c r="A1979" s="758"/>
      <c r="B1979" s="737"/>
      <c r="C1979" s="730"/>
      <c r="D1979" s="739"/>
      <c r="E1979" s="765"/>
      <c r="F1979" s="765"/>
      <c r="G1979" s="765"/>
      <c r="H1979" s="765"/>
      <c r="I1979" s="746" t="str">
        <f t="shared" si="91"/>
        <v/>
      </c>
      <c r="J1979" s="731"/>
      <c r="K1979" s="731" t="str">
        <f t="shared" si="90"/>
        <v/>
      </c>
      <c r="L1979" s="726"/>
      <c r="M1979" s="726"/>
      <c r="N1979" s="726"/>
      <c r="O1979" s="726"/>
      <c r="P1979" s="726"/>
      <c r="Q1979" s="726"/>
      <c r="R1979" s="726"/>
      <c r="S1979" s="726"/>
      <c r="T1979" s="726"/>
      <c r="U1979" s="726"/>
      <c r="V1979" s="726"/>
      <c r="W1979" s="726"/>
      <c r="X1979" s="726"/>
      <c r="Y1979" s="726"/>
      <c r="Z1979" s="726"/>
      <c r="AA1979" s="732"/>
      <c r="AB1979" s="732"/>
      <c r="AC1979" s="732"/>
      <c r="AD1979" s="732"/>
      <c r="AE1979" s="733"/>
      <c r="AF1979" s="734" t="str">
        <f t="shared" si="92"/>
        <v/>
      </c>
      <c r="AG1979" s="773"/>
    </row>
    <row r="1980" spans="1:33" ht="18.75" x14ac:dyDescent="0.25">
      <c r="A1980" s="758"/>
      <c r="B1980" s="737"/>
      <c r="C1980" s="730"/>
      <c r="D1980" s="739"/>
      <c r="E1980" s="765"/>
      <c r="F1980" s="765"/>
      <c r="G1980" s="765"/>
      <c r="H1980" s="765"/>
      <c r="I1980" s="746" t="str">
        <f t="shared" si="91"/>
        <v/>
      </c>
      <c r="J1980" s="731"/>
      <c r="K1980" s="731" t="str">
        <f t="shared" si="90"/>
        <v/>
      </c>
      <c r="L1980" s="726"/>
      <c r="M1980" s="726"/>
      <c r="N1980" s="726"/>
      <c r="O1980" s="726"/>
      <c r="P1980" s="726"/>
      <c r="Q1980" s="726"/>
      <c r="R1980" s="726"/>
      <c r="S1980" s="726"/>
      <c r="T1980" s="726"/>
      <c r="U1980" s="726"/>
      <c r="V1980" s="726"/>
      <c r="W1980" s="726"/>
      <c r="X1980" s="726"/>
      <c r="Y1980" s="726"/>
      <c r="Z1980" s="726"/>
      <c r="AA1980" s="732"/>
      <c r="AB1980" s="732"/>
      <c r="AC1980" s="732"/>
      <c r="AD1980" s="732"/>
      <c r="AE1980" s="733"/>
      <c r="AF1980" s="734" t="str">
        <f t="shared" si="92"/>
        <v/>
      </c>
      <c r="AG1980" s="773"/>
    </row>
    <row r="1981" spans="1:33" ht="18.75" x14ac:dyDescent="0.25">
      <c r="A1981" s="758"/>
      <c r="B1981" s="737"/>
      <c r="C1981" s="730"/>
      <c r="D1981" s="739"/>
      <c r="E1981" s="765"/>
      <c r="F1981" s="765"/>
      <c r="G1981" s="765"/>
      <c r="H1981" s="765"/>
      <c r="I1981" s="746" t="str">
        <f t="shared" si="91"/>
        <v/>
      </c>
      <c r="J1981" s="731"/>
      <c r="K1981" s="731" t="str">
        <f t="shared" si="90"/>
        <v/>
      </c>
      <c r="L1981" s="726"/>
      <c r="M1981" s="726"/>
      <c r="N1981" s="726"/>
      <c r="O1981" s="726"/>
      <c r="P1981" s="726"/>
      <c r="Q1981" s="726"/>
      <c r="R1981" s="726"/>
      <c r="S1981" s="726"/>
      <c r="T1981" s="726"/>
      <c r="U1981" s="726"/>
      <c r="V1981" s="726"/>
      <c r="W1981" s="726"/>
      <c r="X1981" s="726"/>
      <c r="Y1981" s="726"/>
      <c r="Z1981" s="726"/>
      <c r="AA1981" s="732"/>
      <c r="AB1981" s="732"/>
      <c r="AC1981" s="732"/>
      <c r="AD1981" s="732"/>
      <c r="AE1981" s="733"/>
      <c r="AF1981" s="734" t="str">
        <f t="shared" si="92"/>
        <v/>
      </c>
      <c r="AG1981" s="773"/>
    </row>
    <row r="1982" spans="1:33" ht="18.75" x14ac:dyDescent="0.25">
      <c r="A1982" s="758"/>
      <c r="B1982" s="737"/>
      <c r="C1982" s="730"/>
      <c r="D1982" s="739"/>
      <c r="E1982" s="765"/>
      <c r="F1982" s="765"/>
      <c r="G1982" s="765"/>
      <c r="H1982" s="765"/>
      <c r="I1982" s="746" t="str">
        <f t="shared" si="91"/>
        <v/>
      </c>
      <c r="J1982" s="731"/>
      <c r="K1982" s="731" t="str">
        <f t="shared" si="90"/>
        <v/>
      </c>
      <c r="L1982" s="726"/>
      <c r="M1982" s="726"/>
      <c r="N1982" s="726"/>
      <c r="O1982" s="726"/>
      <c r="P1982" s="726"/>
      <c r="Q1982" s="726"/>
      <c r="R1982" s="726"/>
      <c r="S1982" s="726"/>
      <c r="T1982" s="726"/>
      <c r="U1982" s="726"/>
      <c r="V1982" s="726"/>
      <c r="W1982" s="726"/>
      <c r="X1982" s="726"/>
      <c r="Y1982" s="726"/>
      <c r="Z1982" s="726"/>
      <c r="AA1982" s="732"/>
      <c r="AB1982" s="732"/>
      <c r="AC1982" s="732"/>
      <c r="AD1982" s="732"/>
      <c r="AE1982" s="733"/>
      <c r="AF1982" s="734" t="str">
        <f t="shared" si="92"/>
        <v/>
      </c>
      <c r="AG1982" s="773"/>
    </row>
    <row r="1983" spans="1:33" ht="18.75" x14ac:dyDescent="0.25">
      <c r="A1983" s="758"/>
      <c r="B1983" s="737"/>
      <c r="C1983" s="730"/>
      <c r="D1983" s="739"/>
      <c r="E1983" s="765"/>
      <c r="F1983" s="765"/>
      <c r="G1983" s="765"/>
      <c r="H1983" s="765"/>
      <c r="I1983" s="746" t="str">
        <f t="shared" si="91"/>
        <v/>
      </c>
      <c r="J1983" s="731"/>
      <c r="K1983" s="731" t="str">
        <f t="shared" si="90"/>
        <v/>
      </c>
      <c r="L1983" s="726"/>
      <c r="M1983" s="726"/>
      <c r="N1983" s="726"/>
      <c r="O1983" s="726"/>
      <c r="P1983" s="726"/>
      <c r="Q1983" s="726"/>
      <c r="R1983" s="726"/>
      <c r="S1983" s="726"/>
      <c r="T1983" s="726"/>
      <c r="U1983" s="726"/>
      <c r="V1983" s="726"/>
      <c r="W1983" s="726"/>
      <c r="X1983" s="726"/>
      <c r="Y1983" s="726"/>
      <c r="Z1983" s="726"/>
      <c r="AA1983" s="732"/>
      <c r="AB1983" s="732"/>
      <c r="AC1983" s="732"/>
      <c r="AD1983" s="732"/>
      <c r="AE1983" s="733"/>
      <c r="AF1983" s="734" t="str">
        <f t="shared" si="92"/>
        <v/>
      </c>
      <c r="AG1983" s="773"/>
    </row>
    <row r="1984" spans="1:33" ht="18.75" x14ac:dyDescent="0.25">
      <c r="A1984" s="758"/>
      <c r="B1984" s="737"/>
      <c r="C1984" s="730"/>
      <c r="D1984" s="739"/>
      <c r="E1984" s="765"/>
      <c r="F1984" s="765"/>
      <c r="G1984" s="765"/>
      <c r="H1984" s="765"/>
      <c r="I1984" s="746" t="str">
        <f t="shared" si="91"/>
        <v/>
      </c>
      <c r="J1984" s="731"/>
      <c r="K1984" s="731" t="str">
        <f t="shared" si="90"/>
        <v/>
      </c>
      <c r="L1984" s="726"/>
      <c r="M1984" s="726"/>
      <c r="N1984" s="726"/>
      <c r="O1984" s="726"/>
      <c r="P1984" s="726"/>
      <c r="Q1984" s="726"/>
      <c r="R1984" s="726"/>
      <c r="S1984" s="726"/>
      <c r="T1984" s="726"/>
      <c r="U1984" s="726"/>
      <c r="V1984" s="726"/>
      <c r="W1984" s="726"/>
      <c r="X1984" s="726"/>
      <c r="Y1984" s="726"/>
      <c r="Z1984" s="726"/>
      <c r="AA1984" s="732"/>
      <c r="AB1984" s="732"/>
      <c r="AC1984" s="732"/>
      <c r="AD1984" s="732"/>
      <c r="AE1984" s="733"/>
      <c r="AF1984" s="734" t="str">
        <f t="shared" si="92"/>
        <v/>
      </c>
      <c r="AG1984" s="773"/>
    </row>
    <row r="1985" spans="1:33" ht="18.75" x14ac:dyDescent="0.25">
      <c r="A1985" s="758"/>
      <c r="B1985" s="737"/>
      <c r="C1985" s="730"/>
      <c r="D1985" s="739"/>
      <c r="E1985" s="765"/>
      <c r="F1985" s="765"/>
      <c r="G1985" s="765"/>
      <c r="H1985" s="765"/>
      <c r="I1985" s="746" t="str">
        <f t="shared" si="91"/>
        <v/>
      </c>
      <c r="J1985" s="731"/>
      <c r="K1985" s="731" t="str">
        <f t="shared" si="90"/>
        <v/>
      </c>
      <c r="L1985" s="726"/>
      <c r="M1985" s="726"/>
      <c r="N1985" s="726"/>
      <c r="O1985" s="726"/>
      <c r="P1985" s="726"/>
      <c r="Q1985" s="726"/>
      <c r="R1985" s="726"/>
      <c r="S1985" s="726"/>
      <c r="T1985" s="726"/>
      <c r="U1985" s="726"/>
      <c r="V1985" s="726"/>
      <c r="W1985" s="726"/>
      <c r="X1985" s="726"/>
      <c r="Y1985" s="726"/>
      <c r="Z1985" s="726"/>
      <c r="AA1985" s="732"/>
      <c r="AB1985" s="732"/>
      <c r="AC1985" s="732"/>
      <c r="AD1985" s="732"/>
      <c r="AE1985" s="733"/>
      <c r="AF1985" s="734" t="str">
        <f t="shared" si="92"/>
        <v/>
      </c>
      <c r="AG1985" s="773"/>
    </row>
    <row r="1986" spans="1:33" ht="18.75" x14ac:dyDescent="0.25">
      <c r="A1986" s="758"/>
      <c r="B1986" s="737"/>
      <c r="C1986" s="730"/>
      <c r="D1986" s="739"/>
      <c r="E1986" s="765"/>
      <c r="F1986" s="765"/>
      <c r="G1986" s="765"/>
      <c r="H1986" s="765"/>
      <c r="I1986" s="746" t="str">
        <f t="shared" si="91"/>
        <v/>
      </c>
      <c r="J1986" s="731"/>
      <c r="K1986" s="731" t="str">
        <f t="shared" si="90"/>
        <v/>
      </c>
      <c r="L1986" s="726"/>
      <c r="M1986" s="726"/>
      <c r="N1986" s="726"/>
      <c r="O1986" s="726"/>
      <c r="P1986" s="726"/>
      <c r="Q1986" s="726"/>
      <c r="R1986" s="726"/>
      <c r="S1986" s="726"/>
      <c r="T1986" s="726"/>
      <c r="U1986" s="726"/>
      <c r="V1986" s="726"/>
      <c r="W1986" s="726"/>
      <c r="X1986" s="726"/>
      <c r="Y1986" s="726"/>
      <c r="Z1986" s="726"/>
      <c r="AA1986" s="732"/>
      <c r="AB1986" s="732"/>
      <c r="AC1986" s="732"/>
      <c r="AD1986" s="732"/>
      <c r="AE1986" s="733"/>
      <c r="AF1986" s="734" t="str">
        <f t="shared" si="92"/>
        <v/>
      </c>
      <c r="AG1986" s="773"/>
    </row>
    <row r="1987" spans="1:33" ht="18.75" x14ac:dyDescent="0.25">
      <c r="A1987" s="758"/>
      <c r="B1987" s="737"/>
      <c r="C1987" s="730"/>
      <c r="D1987" s="739"/>
      <c r="E1987" s="765"/>
      <c r="F1987" s="765"/>
      <c r="G1987" s="765"/>
      <c r="H1987" s="765"/>
      <c r="I1987" s="746" t="str">
        <f t="shared" si="91"/>
        <v/>
      </c>
      <c r="J1987" s="731"/>
      <c r="K1987" s="731" t="str">
        <f t="shared" si="90"/>
        <v/>
      </c>
      <c r="L1987" s="726"/>
      <c r="M1987" s="726"/>
      <c r="N1987" s="726"/>
      <c r="O1987" s="726"/>
      <c r="P1987" s="726"/>
      <c r="Q1987" s="726"/>
      <c r="R1987" s="726"/>
      <c r="S1987" s="726"/>
      <c r="T1987" s="726"/>
      <c r="U1987" s="726"/>
      <c r="V1987" s="726"/>
      <c r="W1987" s="726"/>
      <c r="X1987" s="726"/>
      <c r="Y1987" s="726"/>
      <c r="Z1987" s="726"/>
      <c r="AA1987" s="732"/>
      <c r="AB1987" s="732"/>
      <c r="AC1987" s="732"/>
      <c r="AD1987" s="732"/>
      <c r="AE1987" s="733"/>
      <c r="AF1987" s="734" t="str">
        <f t="shared" si="92"/>
        <v/>
      </c>
      <c r="AG1987" s="773"/>
    </row>
    <row r="1988" spans="1:33" ht="18.75" x14ac:dyDescent="0.25">
      <c r="A1988" s="758"/>
      <c r="B1988" s="737"/>
      <c r="C1988" s="730"/>
      <c r="D1988" s="739"/>
      <c r="E1988" s="765"/>
      <c r="F1988" s="765"/>
      <c r="G1988" s="765"/>
      <c r="H1988" s="765"/>
      <c r="I1988" s="746" t="str">
        <f t="shared" si="91"/>
        <v/>
      </c>
      <c r="J1988" s="731"/>
      <c r="K1988" s="731" t="str">
        <f t="shared" ref="K1988:K2023" si="93">IF(AA1988-AE1988 = 0,"",AA1988-AE1988)</f>
        <v/>
      </c>
      <c r="L1988" s="726"/>
      <c r="M1988" s="726"/>
      <c r="N1988" s="726"/>
      <c r="O1988" s="726"/>
      <c r="P1988" s="726"/>
      <c r="Q1988" s="726"/>
      <c r="R1988" s="726"/>
      <c r="S1988" s="726"/>
      <c r="T1988" s="726"/>
      <c r="U1988" s="726"/>
      <c r="V1988" s="726"/>
      <c r="W1988" s="726"/>
      <c r="X1988" s="726"/>
      <c r="Y1988" s="726"/>
      <c r="Z1988" s="726"/>
      <c r="AA1988" s="732"/>
      <c r="AB1988" s="732"/>
      <c r="AC1988" s="732"/>
      <c r="AD1988" s="732"/>
      <c r="AE1988" s="733"/>
      <c r="AF1988" s="734" t="str">
        <f t="shared" si="92"/>
        <v/>
      </c>
      <c r="AG1988" s="773"/>
    </row>
    <row r="1989" spans="1:33" ht="18.75" x14ac:dyDescent="0.25">
      <c r="A1989" s="758"/>
      <c r="B1989" s="737"/>
      <c r="C1989" s="730"/>
      <c r="D1989" s="739"/>
      <c r="E1989" s="765"/>
      <c r="F1989" s="765"/>
      <c r="G1989" s="765"/>
      <c r="H1989" s="765"/>
      <c r="I1989" s="746" t="str">
        <f t="shared" ref="I1989:I2023" si="94">AF1989</f>
        <v/>
      </c>
      <c r="J1989" s="731"/>
      <c r="K1989" s="731" t="str">
        <f t="shared" si="93"/>
        <v/>
      </c>
      <c r="L1989" s="726"/>
      <c r="M1989" s="726"/>
      <c r="N1989" s="726"/>
      <c r="O1989" s="726"/>
      <c r="P1989" s="726"/>
      <c r="Q1989" s="726"/>
      <c r="R1989" s="726"/>
      <c r="S1989" s="726"/>
      <c r="T1989" s="726"/>
      <c r="U1989" s="726"/>
      <c r="V1989" s="726"/>
      <c r="W1989" s="726"/>
      <c r="X1989" s="726"/>
      <c r="Y1989" s="726"/>
      <c r="Z1989" s="726"/>
      <c r="AA1989" s="732"/>
      <c r="AB1989" s="732"/>
      <c r="AC1989" s="732"/>
      <c r="AD1989" s="732"/>
      <c r="AE1989" s="733"/>
      <c r="AF1989" s="734" t="str">
        <f t="shared" ref="AF1989:AF2023" si="95">IF(AE1989 &lt;&gt;"", AE1989/AA1989,"")</f>
        <v/>
      </c>
      <c r="AG1989" s="773"/>
    </row>
    <row r="1990" spans="1:33" ht="18.75" x14ac:dyDescent="0.25">
      <c r="A1990" s="758"/>
      <c r="B1990" s="737"/>
      <c r="C1990" s="730"/>
      <c r="D1990" s="739"/>
      <c r="E1990" s="765"/>
      <c r="F1990" s="765"/>
      <c r="G1990" s="765"/>
      <c r="H1990" s="765"/>
      <c r="I1990" s="746" t="str">
        <f t="shared" si="94"/>
        <v/>
      </c>
      <c r="J1990" s="731"/>
      <c r="K1990" s="731" t="str">
        <f t="shared" si="93"/>
        <v/>
      </c>
      <c r="L1990" s="726"/>
      <c r="M1990" s="726"/>
      <c r="N1990" s="726"/>
      <c r="O1990" s="726"/>
      <c r="P1990" s="726"/>
      <c r="Q1990" s="726"/>
      <c r="R1990" s="726"/>
      <c r="S1990" s="726"/>
      <c r="T1990" s="726"/>
      <c r="U1990" s="726"/>
      <c r="V1990" s="726"/>
      <c r="W1990" s="726"/>
      <c r="X1990" s="726"/>
      <c r="Y1990" s="726"/>
      <c r="Z1990" s="726"/>
      <c r="AA1990" s="732"/>
      <c r="AB1990" s="732"/>
      <c r="AC1990" s="732"/>
      <c r="AD1990" s="732"/>
      <c r="AE1990" s="733"/>
      <c r="AF1990" s="734" t="str">
        <f t="shared" si="95"/>
        <v/>
      </c>
      <c r="AG1990" s="773"/>
    </row>
    <row r="1991" spans="1:33" ht="18.75" x14ac:dyDescent="0.25">
      <c r="A1991" s="758"/>
      <c r="B1991" s="737"/>
      <c r="C1991" s="730"/>
      <c r="D1991" s="739"/>
      <c r="E1991" s="765"/>
      <c r="F1991" s="765"/>
      <c r="G1991" s="765"/>
      <c r="H1991" s="765"/>
      <c r="I1991" s="746" t="str">
        <f t="shared" si="94"/>
        <v/>
      </c>
      <c r="J1991" s="731"/>
      <c r="K1991" s="731" t="str">
        <f t="shared" si="93"/>
        <v/>
      </c>
      <c r="L1991" s="726"/>
      <c r="M1991" s="726"/>
      <c r="N1991" s="726"/>
      <c r="O1991" s="726"/>
      <c r="P1991" s="726"/>
      <c r="Q1991" s="726"/>
      <c r="R1991" s="726"/>
      <c r="S1991" s="726"/>
      <c r="T1991" s="726"/>
      <c r="U1991" s="726"/>
      <c r="V1991" s="726"/>
      <c r="W1991" s="726"/>
      <c r="X1991" s="726"/>
      <c r="Y1991" s="726"/>
      <c r="Z1991" s="726"/>
      <c r="AA1991" s="732"/>
      <c r="AB1991" s="732"/>
      <c r="AC1991" s="732"/>
      <c r="AD1991" s="732"/>
      <c r="AE1991" s="733"/>
      <c r="AF1991" s="734" t="str">
        <f t="shared" si="95"/>
        <v/>
      </c>
      <c r="AG1991" s="773"/>
    </row>
    <row r="1992" spans="1:33" ht="18.75" x14ac:dyDescent="0.25">
      <c r="A1992" s="758"/>
      <c r="B1992" s="737"/>
      <c r="C1992" s="730"/>
      <c r="D1992" s="739"/>
      <c r="E1992" s="765"/>
      <c r="F1992" s="765"/>
      <c r="G1992" s="765"/>
      <c r="H1992" s="765"/>
      <c r="I1992" s="746" t="str">
        <f t="shared" si="94"/>
        <v/>
      </c>
      <c r="J1992" s="731"/>
      <c r="K1992" s="731" t="str">
        <f t="shared" si="93"/>
        <v/>
      </c>
      <c r="L1992" s="726"/>
      <c r="M1992" s="726"/>
      <c r="N1992" s="726"/>
      <c r="O1992" s="726"/>
      <c r="P1992" s="726"/>
      <c r="Q1992" s="726"/>
      <c r="R1992" s="726"/>
      <c r="S1992" s="726"/>
      <c r="T1992" s="726"/>
      <c r="U1992" s="726"/>
      <c r="V1992" s="726"/>
      <c r="W1992" s="726"/>
      <c r="X1992" s="726"/>
      <c r="Y1992" s="726"/>
      <c r="Z1992" s="726"/>
      <c r="AA1992" s="732"/>
      <c r="AB1992" s="732"/>
      <c r="AC1992" s="732"/>
      <c r="AD1992" s="732"/>
      <c r="AE1992" s="733"/>
      <c r="AF1992" s="734" t="str">
        <f t="shared" si="95"/>
        <v/>
      </c>
      <c r="AG1992" s="773"/>
    </row>
    <row r="1993" spans="1:33" ht="18.75" x14ac:dyDescent="0.25">
      <c r="A1993" s="758"/>
      <c r="B1993" s="737"/>
      <c r="C1993" s="730"/>
      <c r="D1993" s="739"/>
      <c r="E1993" s="765"/>
      <c r="F1993" s="765"/>
      <c r="G1993" s="765"/>
      <c r="H1993" s="765"/>
      <c r="I1993" s="746" t="str">
        <f t="shared" si="94"/>
        <v/>
      </c>
      <c r="J1993" s="731"/>
      <c r="K1993" s="731" t="str">
        <f t="shared" si="93"/>
        <v/>
      </c>
      <c r="L1993" s="726"/>
      <c r="M1993" s="726"/>
      <c r="N1993" s="726"/>
      <c r="O1993" s="726"/>
      <c r="P1993" s="726"/>
      <c r="Q1993" s="726"/>
      <c r="R1993" s="726"/>
      <c r="S1993" s="726"/>
      <c r="T1993" s="726"/>
      <c r="U1993" s="726"/>
      <c r="V1993" s="726"/>
      <c r="W1993" s="726"/>
      <c r="X1993" s="726"/>
      <c r="Y1993" s="726"/>
      <c r="Z1993" s="726"/>
      <c r="AA1993" s="732"/>
      <c r="AB1993" s="732"/>
      <c r="AC1993" s="732"/>
      <c r="AD1993" s="732"/>
      <c r="AE1993" s="733"/>
      <c r="AF1993" s="734" t="str">
        <f t="shared" si="95"/>
        <v/>
      </c>
      <c r="AG1993" s="773"/>
    </row>
    <row r="1994" spans="1:33" ht="18.75" x14ac:dyDescent="0.25">
      <c r="A1994" s="758"/>
      <c r="B1994" s="737"/>
      <c r="C1994" s="730"/>
      <c r="D1994" s="739"/>
      <c r="E1994" s="765"/>
      <c r="F1994" s="765"/>
      <c r="G1994" s="765"/>
      <c r="H1994" s="765"/>
      <c r="I1994" s="746" t="str">
        <f t="shared" si="94"/>
        <v/>
      </c>
      <c r="J1994" s="731"/>
      <c r="K1994" s="731" t="str">
        <f t="shared" si="93"/>
        <v/>
      </c>
      <c r="L1994" s="726"/>
      <c r="M1994" s="726"/>
      <c r="N1994" s="726"/>
      <c r="O1994" s="726"/>
      <c r="P1994" s="726"/>
      <c r="Q1994" s="726"/>
      <c r="R1994" s="726"/>
      <c r="S1994" s="726"/>
      <c r="T1994" s="726"/>
      <c r="U1994" s="726"/>
      <c r="V1994" s="726"/>
      <c r="W1994" s="726"/>
      <c r="X1994" s="726"/>
      <c r="Y1994" s="726"/>
      <c r="Z1994" s="726"/>
      <c r="AA1994" s="732"/>
      <c r="AB1994" s="732"/>
      <c r="AC1994" s="732"/>
      <c r="AD1994" s="732"/>
      <c r="AE1994" s="733"/>
      <c r="AF1994" s="734" t="str">
        <f t="shared" si="95"/>
        <v/>
      </c>
      <c r="AG1994" s="773"/>
    </row>
    <row r="1995" spans="1:33" ht="18.75" x14ac:dyDescent="0.25">
      <c r="A1995" s="758"/>
      <c r="B1995" s="737"/>
      <c r="C1995" s="730"/>
      <c r="D1995" s="739"/>
      <c r="E1995" s="765"/>
      <c r="F1995" s="765"/>
      <c r="G1995" s="765"/>
      <c r="H1995" s="765"/>
      <c r="I1995" s="746" t="str">
        <f t="shared" si="94"/>
        <v/>
      </c>
      <c r="J1995" s="731"/>
      <c r="K1995" s="731" t="str">
        <f t="shared" si="93"/>
        <v/>
      </c>
      <c r="L1995" s="726"/>
      <c r="M1995" s="726"/>
      <c r="N1995" s="726"/>
      <c r="O1995" s="726"/>
      <c r="P1995" s="726"/>
      <c r="Q1995" s="726"/>
      <c r="R1995" s="726"/>
      <c r="S1995" s="726"/>
      <c r="T1995" s="726"/>
      <c r="U1995" s="726"/>
      <c r="V1995" s="726"/>
      <c r="W1995" s="726"/>
      <c r="X1995" s="726"/>
      <c r="Y1995" s="726"/>
      <c r="Z1995" s="726"/>
      <c r="AA1995" s="732"/>
      <c r="AB1995" s="732"/>
      <c r="AC1995" s="732"/>
      <c r="AD1995" s="732"/>
      <c r="AE1995" s="733"/>
      <c r="AF1995" s="734" t="str">
        <f t="shared" si="95"/>
        <v/>
      </c>
      <c r="AG1995" s="773"/>
    </row>
    <row r="1996" spans="1:33" ht="18.75" x14ac:dyDescent="0.25">
      <c r="A1996" s="758"/>
      <c r="B1996" s="737"/>
      <c r="C1996" s="730"/>
      <c r="D1996" s="739"/>
      <c r="E1996" s="765"/>
      <c r="F1996" s="765"/>
      <c r="G1996" s="765"/>
      <c r="H1996" s="765"/>
      <c r="I1996" s="746" t="str">
        <f t="shared" si="94"/>
        <v/>
      </c>
      <c r="J1996" s="731"/>
      <c r="K1996" s="731" t="str">
        <f t="shared" si="93"/>
        <v/>
      </c>
      <c r="L1996" s="726"/>
      <c r="M1996" s="726"/>
      <c r="N1996" s="726"/>
      <c r="O1996" s="726"/>
      <c r="P1996" s="726"/>
      <c r="Q1996" s="726"/>
      <c r="R1996" s="726"/>
      <c r="S1996" s="726"/>
      <c r="T1996" s="726"/>
      <c r="U1996" s="726"/>
      <c r="V1996" s="726"/>
      <c r="W1996" s="726"/>
      <c r="X1996" s="726"/>
      <c r="Y1996" s="726"/>
      <c r="Z1996" s="726"/>
      <c r="AA1996" s="732"/>
      <c r="AB1996" s="732"/>
      <c r="AC1996" s="732"/>
      <c r="AD1996" s="732"/>
      <c r="AE1996" s="733"/>
      <c r="AF1996" s="734" t="str">
        <f t="shared" si="95"/>
        <v/>
      </c>
      <c r="AG1996" s="773"/>
    </row>
    <row r="1997" spans="1:33" ht="18.75" x14ac:dyDescent="0.25">
      <c r="A1997" s="758"/>
      <c r="B1997" s="737"/>
      <c r="C1997" s="730"/>
      <c r="D1997" s="739"/>
      <c r="E1997" s="765"/>
      <c r="F1997" s="765"/>
      <c r="G1997" s="765"/>
      <c r="H1997" s="765"/>
      <c r="I1997" s="746" t="str">
        <f t="shared" si="94"/>
        <v/>
      </c>
      <c r="J1997" s="731"/>
      <c r="K1997" s="731" t="str">
        <f t="shared" si="93"/>
        <v/>
      </c>
      <c r="L1997" s="726"/>
      <c r="M1997" s="726"/>
      <c r="N1997" s="726"/>
      <c r="O1997" s="726"/>
      <c r="P1997" s="726"/>
      <c r="Q1997" s="726"/>
      <c r="R1997" s="726"/>
      <c r="S1997" s="726"/>
      <c r="T1997" s="726"/>
      <c r="U1997" s="726"/>
      <c r="V1997" s="726"/>
      <c r="W1997" s="726"/>
      <c r="X1997" s="726"/>
      <c r="Y1997" s="726"/>
      <c r="Z1997" s="726"/>
      <c r="AA1997" s="732"/>
      <c r="AB1997" s="732"/>
      <c r="AC1997" s="732"/>
      <c r="AD1997" s="732"/>
      <c r="AE1997" s="733"/>
      <c r="AF1997" s="734" t="str">
        <f t="shared" si="95"/>
        <v/>
      </c>
      <c r="AG1997" s="773"/>
    </row>
    <row r="1998" spans="1:33" ht="18.75" x14ac:dyDescent="0.25">
      <c r="A1998" s="758"/>
      <c r="B1998" s="737"/>
      <c r="C1998" s="730"/>
      <c r="D1998" s="739"/>
      <c r="E1998" s="765"/>
      <c r="F1998" s="765"/>
      <c r="G1998" s="765"/>
      <c r="H1998" s="765"/>
      <c r="I1998" s="746" t="str">
        <f t="shared" si="94"/>
        <v/>
      </c>
      <c r="J1998" s="731"/>
      <c r="K1998" s="731" t="str">
        <f t="shared" si="93"/>
        <v/>
      </c>
      <c r="L1998" s="726"/>
      <c r="M1998" s="726"/>
      <c r="N1998" s="726"/>
      <c r="O1998" s="726"/>
      <c r="P1998" s="726"/>
      <c r="Q1998" s="726"/>
      <c r="R1998" s="726"/>
      <c r="S1998" s="726"/>
      <c r="T1998" s="726"/>
      <c r="U1998" s="726"/>
      <c r="V1998" s="726"/>
      <c r="W1998" s="726"/>
      <c r="X1998" s="726"/>
      <c r="Y1998" s="726"/>
      <c r="Z1998" s="726"/>
      <c r="AA1998" s="732"/>
      <c r="AB1998" s="732"/>
      <c r="AC1998" s="732"/>
      <c r="AD1998" s="732"/>
      <c r="AE1998" s="733"/>
      <c r="AF1998" s="734" t="str">
        <f t="shared" si="95"/>
        <v/>
      </c>
      <c r="AG1998" s="773"/>
    </row>
    <row r="1999" spans="1:33" ht="18.75" x14ac:dyDescent="0.25">
      <c r="A1999" s="758"/>
      <c r="B1999" s="737"/>
      <c r="C1999" s="730"/>
      <c r="D1999" s="739"/>
      <c r="E1999" s="765"/>
      <c r="F1999" s="765"/>
      <c r="G1999" s="765"/>
      <c r="H1999" s="765"/>
      <c r="I1999" s="746" t="str">
        <f t="shared" si="94"/>
        <v/>
      </c>
      <c r="J1999" s="731"/>
      <c r="K1999" s="731" t="str">
        <f t="shared" si="93"/>
        <v/>
      </c>
      <c r="L1999" s="726"/>
      <c r="M1999" s="726"/>
      <c r="N1999" s="726"/>
      <c r="O1999" s="726"/>
      <c r="P1999" s="726"/>
      <c r="Q1999" s="726"/>
      <c r="R1999" s="726"/>
      <c r="S1999" s="726"/>
      <c r="T1999" s="726"/>
      <c r="U1999" s="726"/>
      <c r="V1999" s="726"/>
      <c r="W1999" s="726"/>
      <c r="X1999" s="726"/>
      <c r="Y1999" s="726"/>
      <c r="Z1999" s="726"/>
      <c r="AA1999" s="732"/>
      <c r="AB1999" s="732"/>
      <c r="AC1999" s="732"/>
      <c r="AD1999" s="732"/>
      <c r="AE1999" s="733"/>
      <c r="AF1999" s="734" t="str">
        <f t="shared" si="95"/>
        <v/>
      </c>
      <c r="AG1999" s="773"/>
    </row>
    <row r="2000" spans="1:33" ht="18.75" x14ac:dyDescent="0.25">
      <c r="A2000" s="758"/>
      <c r="B2000" s="737"/>
      <c r="C2000" s="730"/>
      <c r="D2000" s="739"/>
      <c r="E2000" s="765"/>
      <c r="F2000" s="765"/>
      <c r="G2000" s="765"/>
      <c r="H2000" s="765"/>
      <c r="I2000" s="746" t="str">
        <f t="shared" si="94"/>
        <v/>
      </c>
      <c r="J2000" s="731"/>
      <c r="K2000" s="731" t="str">
        <f t="shared" si="93"/>
        <v/>
      </c>
      <c r="L2000" s="726"/>
      <c r="M2000" s="726"/>
      <c r="N2000" s="726"/>
      <c r="O2000" s="726"/>
      <c r="P2000" s="726"/>
      <c r="Q2000" s="726"/>
      <c r="R2000" s="726"/>
      <c r="S2000" s="726"/>
      <c r="T2000" s="726"/>
      <c r="U2000" s="726"/>
      <c r="V2000" s="726"/>
      <c r="W2000" s="726"/>
      <c r="X2000" s="726"/>
      <c r="Y2000" s="726"/>
      <c r="Z2000" s="726"/>
      <c r="AA2000" s="732"/>
      <c r="AB2000" s="732"/>
      <c r="AC2000" s="732"/>
      <c r="AD2000" s="732"/>
      <c r="AE2000" s="733"/>
      <c r="AF2000" s="734" t="str">
        <f t="shared" si="95"/>
        <v/>
      </c>
      <c r="AG2000" s="773"/>
    </row>
    <row r="2001" spans="1:33" ht="18.75" x14ac:dyDescent="0.25">
      <c r="A2001" s="758"/>
      <c r="B2001" s="737"/>
      <c r="C2001" s="730"/>
      <c r="D2001" s="739"/>
      <c r="E2001" s="765"/>
      <c r="F2001" s="765"/>
      <c r="G2001" s="765"/>
      <c r="H2001" s="765"/>
      <c r="I2001" s="746" t="str">
        <f t="shared" si="94"/>
        <v/>
      </c>
      <c r="J2001" s="731"/>
      <c r="K2001" s="731" t="str">
        <f t="shared" si="93"/>
        <v/>
      </c>
      <c r="L2001" s="726"/>
      <c r="M2001" s="726"/>
      <c r="N2001" s="726"/>
      <c r="O2001" s="726"/>
      <c r="P2001" s="726"/>
      <c r="Q2001" s="726"/>
      <c r="R2001" s="726"/>
      <c r="S2001" s="726"/>
      <c r="T2001" s="726"/>
      <c r="U2001" s="726"/>
      <c r="V2001" s="726"/>
      <c r="W2001" s="726"/>
      <c r="X2001" s="726"/>
      <c r="Y2001" s="726"/>
      <c r="Z2001" s="726"/>
      <c r="AA2001" s="732"/>
      <c r="AB2001" s="732"/>
      <c r="AC2001" s="732"/>
      <c r="AD2001" s="732"/>
      <c r="AE2001" s="733"/>
      <c r="AF2001" s="734" t="str">
        <f t="shared" si="95"/>
        <v/>
      </c>
      <c r="AG2001" s="773"/>
    </row>
    <row r="2002" spans="1:33" ht="18.75" x14ac:dyDescent="0.25">
      <c r="A2002" s="758"/>
      <c r="B2002" s="737"/>
      <c r="C2002" s="730"/>
      <c r="D2002" s="739"/>
      <c r="E2002" s="765"/>
      <c r="F2002" s="765"/>
      <c r="G2002" s="765"/>
      <c r="H2002" s="765"/>
      <c r="I2002" s="746" t="str">
        <f t="shared" si="94"/>
        <v/>
      </c>
      <c r="J2002" s="731"/>
      <c r="K2002" s="731" t="str">
        <f t="shared" si="93"/>
        <v/>
      </c>
      <c r="L2002" s="726"/>
      <c r="M2002" s="726"/>
      <c r="N2002" s="726"/>
      <c r="O2002" s="726"/>
      <c r="P2002" s="726"/>
      <c r="Q2002" s="726"/>
      <c r="R2002" s="726"/>
      <c r="S2002" s="726"/>
      <c r="T2002" s="726"/>
      <c r="U2002" s="726"/>
      <c r="V2002" s="726"/>
      <c r="W2002" s="726"/>
      <c r="X2002" s="726"/>
      <c r="Y2002" s="726"/>
      <c r="Z2002" s="726"/>
      <c r="AA2002" s="732"/>
      <c r="AB2002" s="732"/>
      <c r="AC2002" s="732"/>
      <c r="AD2002" s="732"/>
      <c r="AE2002" s="733"/>
      <c r="AF2002" s="734" t="str">
        <f t="shared" si="95"/>
        <v/>
      </c>
      <c r="AG2002" s="773"/>
    </row>
    <row r="2003" spans="1:33" ht="18.75" x14ac:dyDescent="0.25">
      <c r="A2003" s="758"/>
      <c r="B2003" s="737"/>
      <c r="C2003" s="730"/>
      <c r="D2003" s="739"/>
      <c r="E2003" s="765"/>
      <c r="F2003" s="765"/>
      <c r="G2003" s="765"/>
      <c r="H2003" s="765"/>
      <c r="I2003" s="746" t="str">
        <f t="shared" si="94"/>
        <v/>
      </c>
      <c r="J2003" s="731"/>
      <c r="K2003" s="731" t="str">
        <f t="shared" si="93"/>
        <v/>
      </c>
      <c r="L2003" s="726"/>
      <c r="M2003" s="726"/>
      <c r="N2003" s="726"/>
      <c r="O2003" s="726"/>
      <c r="P2003" s="726"/>
      <c r="Q2003" s="726"/>
      <c r="R2003" s="726"/>
      <c r="S2003" s="726"/>
      <c r="T2003" s="726"/>
      <c r="U2003" s="726"/>
      <c r="V2003" s="726"/>
      <c r="W2003" s="726"/>
      <c r="X2003" s="726"/>
      <c r="Y2003" s="726"/>
      <c r="Z2003" s="726"/>
      <c r="AA2003" s="732"/>
      <c r="AB2003" s="732"/>
      <c r="AC2003" s="732"/>
      <c r="AD2003" s="732"/>
      <c r="AE2003" s="733"/>
      <c r="AF2003" s="734" t="str">
        <f t="shared" si="95"/>
        <v/>
      </c>
      <c r="AG2003" s="773"/>
    </row>
    <row r="2004" spans="1:33" ht="18.75" x14ac:dyDescent="0.25">
      <c r="A2004" s="758"/>
      <c r="B2004" s="737"/>
      <c r="C2004" s="730"/>
      <c r="D2004" s="739"/>
      <c r="E2004" s="765"/>
      <c r="F2004" s="765"/>
      <c r="G2004" s="765"/>
      <c r="H2004" s="765"/>
      <c r="I2004" s="746" t="str">
        <f t="shared" si="94"/>
        <v/>
      </c>
      <c r="J2004" s="731"/>
      <c r="K2004" s="731" t="str">
        <f t="shared" si="93"/>
        <v/>
      </c>
      <c r="L2004" s="726"/>
      <c r="M2004" s="726"/>
      <c r="N2004" s="726"/>
      <c r="O2004" s="726"/>
      <c r="P2004" s="726"/>
      <c r="Q2004" s="726"/>
      <c r="R2004" s="726"/>
      <c r="S2004" s="726"/>
      <c r="T2004" s="726"/>
      <c r="U2004" s="726"/>
      <c r="V2004" s="726"/>
      <c r="W2004" s="726"/>
      <c r="X2004" s="726"/>
      <c r="Y2004" s="726"/>
      <c r="Z2004" s="726"/>
      <c r="AA2004" s="732"/>
      <c r="AB2004" s="732"/>
      <c r="AC2004" s="732"/>
      <c r="AD2004" s="732"/>
      <c r="AE2004" s="733"/>
      <c r="AF2004" s="734" t="str">
        <f t="shared" si="95"/>
        <v/>
      </c>
      <c r="AG2004" s="773"/>
    </row>
    <row r="2005" spans="1:33" ht="18.75" x14ac:dyDescent="0.25">
      <c r="A2005" s="758"/>
      <c r="B2005" s="737"/>
      <c r="C2005" s="730"/>
      <c r="D2005" s="739"/>
      <c r="E2005" s="765"/>
      <c r="F2005" s="765"/>
      <c r="G2005" s="765"/>
      <c r="H2005" s="765"/>
      <c r="I2005" s="746" t="str">
        <f t="shared" si="94"/>
        <v/>
      </c>
      <c r="J2005" s="731"/>
      <c r="K2005" s="731" t="str">
        <f t="shared" si="93"/>
        <v/>
      </c>
      <c r="L2005" s="726"/>
      <c r="M2005" s="726"/>
      <c r="N2005" s="726"/>
      <c r="O2005" s="726"/>
      <c r="P2005" s="726"/>
      <c r="Q2005" s="726"/>
      <c r="R2005" s="726"/>
      <c r="S2005" s="726"/>
      <c r="T2005" s="726"/>
      <c r="U2005" s="726"/>
      <c r="V2005" s="726"/>
      <c r="W2005" s="726"/>
      <c r="X2005" s="726"/>
      <c r="Y2005" s="726"/>
      <c r="Z2005" s="726"/>
      <c r="AA2005" s="732"/>
      <c r="AB2005" s="732"/>
      <c r="AC2005" s="732"/>
      <c r="AD2005" s="732"/>
      <c r="AE2005" s="733"/>
      <c r="AF2005" s="734" t="str">
        <f t="shared" si="95"/>
        <v/>
      </c>
      <c r="AG2005" s="773"/>
    </row>
    <row r="2006" spans="1:33" ht="18.75" x14ac:dyDescent="0.25">
      <c r="A2006" s="758"/>
      <c r="B2006" s="737"/>
      <c r="C2006" s="730"/>
      <c r="D2006" s="739"/>
      <c r="E2006" s="765"/>
      <c r="F2006" s="765"/>
      <c r="G2006" s="765"/>
      <c r="H2006" s="765"/>
      <c r="I2006" s="746" t="str">
        <f t="shared" si="94"/>
        <v/>
      </c>
      <c r="J2006" s="731"/>
      <c r="K2006" s="731" t="str">
        <f t="shared" si="93"/>
        <v/>
      </c>
      <c r="L2006" s="726"/>
      <c r="M2006" s="726"/>
      <c r="N2006" s="726"/>
      <c r="O2006" s="726"/>
      <c r="P2006" s="726"/>
      <c r="Q2006" s="726"/>
      <c r="R2006" s="726"/>
      <c r="S2006" s="726"/>
      <c r="T2006" s="726"/>
      <c r="U2006" s="726"/>
      <c r="V2006" s="726"/>
      <c r="W2006" s="726"/>
      <c r="X2006" s="726"/>
      <c r="Y2006" s="726"/>
      <c r="Z2006" s="726"/>
      <c r="AA2006" s="732"/>
      <c r="AB2006" s="732"/>
      <c r="AC2006" s="732"/>
      <c r="AD2006" s="732"/>
      <c r="AE2006" s="733"/>
      <c r="AF2006" s="734" t="str">
        <f t="shared" si="95"/>
        <v/>
      </c>
      <c r="AG2006" s="773"/>
    </row>
    <row r="2007" spans="1:33" ht="18.75" x14ac:dyDescent="0.25">
      <c r="A2007" s="758"/>
      <c r="B2007" s="737"/>
      <c r="C2007" s="730"/>
      <c r="D2007" s="739"/>
      <c r="E2007" s="765"/>
      <c r="F2007" s="765"/>
      <c r="G2007" s="765"/>
      <c r="H2007" s="765"/>
      <c r="I2007" s="746" t="str">
        <f t="shared" si="94"/>
        <v/>
      </c>
      <c r="J2007" s="731"/>
      <c r="K2007" s="731" t="str">
        <f t="shared" si="93"/>
        <v/>
      </c>
      <c r="L2007" s="726"/>
      <c r="M2007" s="726"/>
      <c r="N2007" s="726"/>
      <c r="O2007" s="726"/>
      <c r="P2007" s="726"/>
      <c r="Q2007" s="726"/>
      <c r="R2007" s="726"/>
      <c r="S2007" s="726"/>
      <c r="T2007" s="726"/>
      <c r="U2007" s="726"/>
      <c r="V2007" s="726"/>
      <c r="W2007" s="726"/>
      <c r="X2007" s="726"/>
      <c r="Y2007" s="726"/>
      <c r="Z2007" s="726"/>
      <c r="AA2007" s="732"/>
      <c r="AB2007" s="732"/>
      <c r="AC2007" s="732"/>
      <c r="AD2007" s="732"/>
      <c r="AE2007" s="733"/>
      <c r="AF2007" s="734" t="str">
        <f t="shared" si="95"/>
        <v/>
      </c>
      <c r="AG2007" s="773"/>
    </row>
    <row r="2008" spans="1:33" ht="18.75" x14ac:dyDescent="0.25">
      <c r="A2008" s="758"/>
      <c r="B2008" s="737"/>
      <c r="C2008" s="730"/>
      <c r="D2008" s="739"/>
      <c r="E2008" s="765"/>
      <c r="F2008" s="765"/>
      <c r="G2008" s="765"/>
      <c r="H2008" s="765"/>
      <c r="I2008" s="746" t="str">
        <f t="shared" si="94"/>
        <v/>
      </c>
      <c r="J2008" s="731"/>
      <c r="K2008" s="731" t="str">
        <f t="shared" si="93"/>
        <v/>
      </c>
      <c r="L2008" s="726"/>
      <c r="M2008" s="726"/>
      <c r="N2008" s="726"/>
      <c r="O2008" s="726"/>
      <c r="P2008" s="726"/>
      <c r="Q2008" s="726"/>
      <c r="R2008" s="726"/>
      <c r="S2008" s="726"/>
      <c r="T2008" s="726"/>
      <c r="U2008" s="726"/>
      <c r="V2008" s="726"/>
      <c r="W2008" s="726"/>
      <c r="X2008" s="726"/>
      <c r="Y2008" s="726"/>
      <c r="Z2008" s="726"/>
      <c r="AA2008" s="732"/>
      <c r="AB2008" s="732"/>
      <c r="AC2008" s="732"/>
      <c r="AD2008" s="732"/>
      <c r="AE2008" s="733"/>
      <c r="AF2008" s="734" t="str">
        <f t="shared" si="95"/>
        <v/>
      </c>
      <c r="AG2008" s="773"/>
    </row>
    <row r="2009" spans="1:33" ht="18.75" x14ac:dyDescent="0.25">
      <c r="A2009" s="758"/>
      <c r="B2009" s="737"/>
      <c r="C2009" s="730"/>
      <c r="D2009" s="739"/>
      <c r="E2009" s="765"/>
      <c r="F2009" s="765"/>
      <c r="G2009" s="765"/>
      <c r="H2009" s="765"/>
      <c r="I2009" s="746" t="str">
        <f t="shared" si="94"/>
        <v/>
      </c>
      <c r="J2009" s="731"/>
      <c r="K2009" s="731" t="str">
        <f t="shared" si="93"/>
        <v/>
      </c>
      <c r="L2009" s="726"/>
      <c r="M2009" s="726"/>
      <c r="N2009" s="726"/>
      <c r="O2009" s="726"/>
      <c r="P2009" s="726"/>
      <c r="Q2009" s="726"/>
      <c r="R2009" s="726"/>
      <c r="S2009" s="726"/>
      <c r="T2009" s="726"/>
      <c r="U2009" s="726"/>
      <c r="V2009" s="726"/>
      <c r="W2009" s="726"/>
      <c r="X2009" s="726"/>
      <c r="Y2009" s="726"/>
      <c r="Z2009" s="726"/>
      <c r="AA2009" s="732"/>
      <c r="AB2009" s="732"/>
      <c r="AC2009" s="732"/>
      <c r="AD2009" s="732"/>
      <c r="AE2009" s="733"/>
      <c r="AF2009" s="734" t="str">
        <f t="shared" si="95"/>
        <v/>
      </c>
      <c r="AG2009" s="773"/>
    </row>
    <row r="2010" spans="1:33" ht="18.75" x14ac:dyDescent="0.25">
      <c r="A2010" s="758"/>
      <c r="B2010" s="737"/>
      <c r="C2010" s="730"/>
      <c r="D2010" s="739"/>
      <c r="E2010" s="765"/>
      <c r="F2010" s="765"/>
      <c r="G2010" s="765"/>
      <c r="H2010" s="765"/>
      <c r="I2010" s="746" t="str">
        <f t="shared" si="94"/>
        <v/>
      </c>
      <c r="J2010" s="731"/>
      <c r="K2010" s="731" t="str">
        <f t="shared" si="93"/>
        <v/>
      </c>
      <c r="L2010" s="726"/>
      <c r="M2010" s="726"/>
      <c r="N2010" s="726"/>
      <c r="O2010" s="726"/>
      <c r="P2010" s="726"/>
      <c r="Q2010" s="726"/>
      <c r="R2010" s="726"/>
      <c r="S2010" s="726"/>
      <c r="T2010" s="726"/>
      <c r="U2010" s="726"/>
      <c r="V2010" s="726"/>
      <c r="W2010" s="726"/>
      <c r="X2010" s="726"/>
      <c r="Y2010" s="726"/>
      <c r="Z2010" s="726"/>
      <c r="AA2010" s="732"/>
      <c r="AB2010" s="732"/>
      <c r="AC2010" s="732"/>
      <c r="AD2010" s="732"/>
      <c r="AE2010" s="733"/>
      <c r="AF2010" s="734" t="str">
        <f t="shared" si="95"/>
        <v/>
      </c>
      <c r="AG2010" s="773"/>
    </row>
    <row r="2011" spans="1:33" ht="18.75" x14ac:dyDescent="0.25">
      <c r="A2011" s="758"/>
      <c r="B2011" s="737"/>
      <c r="C2011" s="730"/>
      <c r="D2011" s="739"/>
      <c r="E2011" s="765"/>
      <c r="F2011" s="765"/>
      <c r="G2011" s="765"/>
      <c r="H2011" s="765"/>
      <c r="I2011" s="746" t="str">
        <f t="shared" si="94"/>
        <v/>
      </c>
      <c r="J2011" s="731"/>
      <c r="K2011" s="731" t="str">
        <f t="shared" si="93"/>
        <v/>
      </c>
      <c r="L2011" s="726"/>
      <c r="M2011" s="726"/>
      <c r="N2011" s="726"/>
      <c r="O2011" s="726"/>
      <c r="P2011" s="726"/>
      <c r="Q2011" s="726"/>
      <c r="R2011" s="726"/>
      <c r="S2011" s="726"/>
      <c r="T2011" s="726"/>
      <c r="U2011" s="726"/>
      <c r="V2011" s="726"/>
      <c r="W2011" s="726"/>
      <c r="X2011" s="726"/>
      <c r="Y2011" s="726"/>
      <c r="Z2011" s="726"/>
      <c r="AA2011" s="732"/>
      <c r="AB2011" s="732"/>
      <c r="AC2011" s="732"/>
      <c r="AD2011" s="732"/>
      <c r="AE2011" s="733"/>
      <c r="AF2011" s="734" t="str">
        <f t="shared" si="95"/>
        <v/>
      </c>
      <c r="AG2011" s="773"/>
    </row>
    <row r="2012" spans="1:33" ht="18.75" x14ac:dyDescent="0.25">
      <c r="A2012" s="758"/>
      <c r="B2012" s="737"/>
      <c r="C2012" s="730"/>
      <c r="D2012" s="739"/>
      <c r="E2012" s="765"/>
      <c r="F2012" s="765"/>
      <c r="G2012" s="765"/>
      <c r="H2012" s="765"/>
      <c r="I2012" s="746" t="str">
        <f t="shared" si="94"/>
        <v/>
      </c>
      <c r="J2012" s="731"/>
      <c r="K2012" s="731" t="str">
        <f t="shared" si="93"/>
        <v/>
      </c>
      <c r="L2012" s="726"/>
      <c r="M2012" s="726"/>
      <c r="N2012" s="726"/>
      <c r="O2012" s="726"/>
      <c r="P2012" s="726"/>
      <c r="Q2012" s="726"/>
      <c r="R2012" s="726"/>
      <c r="S2012" s="726"/>
      <c r="T2012" s="726"/>
      <c r="U2012" s="726"/>
      <c r="V2012" s="726"/>
      <c r="W2012" s="726"/>
      <c r="X2012" s="726"/>
      <c r="Y2012" s="726"/>
      <c r="Z2012" s="726"/>
      <c r="AA2012" s="732"/>
      <c r="AB2012" s="732"/>
      <c r="AC2012" s="732"/>
      <c r="AD2012" s="732"/>
      <c r="AE2012" s="733"/>
      <c r="AF2012" s="734" t="str">
        <f t="shared" si="95"/>
        <v/>
      </c>
      <c r="AG2012" s="773"/>
    </row>
    <row r="2013" spans="1:33" ht="18.75" x14ac:dyDescent="0.25">
      <c r="A2013" s="758"/>
      <c r="B2013" s="737"/>
      <c r="C2013" s="730"/>
      <c r="D2013" s="739"/>
      <c r="E2013" s="765"/>
      <c r="F2013" s="765"/>
      <c r="G2013" s="765"/>
      <c r="H2013" s="765"/>
      <c r="I2013" s="746" t="str">
        <f t="shared" si="94"/>
        <v/>
      </c>
      <c r="J2013" s="731"/>
      <c r="K2013" s="731" t="str">
        <f t="shared" si="93"/>
        <v/>
      </c>
      <c r="L2013" s="726"/>
      <c r="M2013" s="726"/>
      <c r="N2013" s="726"/>
      <c r="O2013" s="726"/>
      <c r="P2013" s="726"/>
      <c r="Q2013" s="726"/>
      <c r="R2013" s="726"/>
      <c r="S2013" s="726"/>
      <c r="T2013" s="726"/>
      <c r="U2013" s="726"/>
      <c r="V2013" s="726"/>
      <c r="W2013" s="726"/>
      <c r="X2013" s="726"/>
      <c r="Y2013" s="726"/>
      <c r="Z2013" s="726"/>
      <c r="AA2013" s="732"/>
      <c r="AB2013" s="732"/>
      <c r="AC2013" s="732"/>
      <c r="AD2013" s="732"/>
      <c r="AE2013" s="733"/>
      <c r="AF2013" s="734" t="str">
        <f t="shared" si="95"/>
        <v/>
      </c>
      <c r="AG2013" s="773"/>
    </row>
    <row r="2014" spans="1:33" ht="18.75" x14ac:dyDescent="0.25">
      <c r="A2014" s="758"/>
      <c r="B2014" s="737"/>
      <c r="C2014" s="730"/>
      <c r="D2014" s="739"/>
      <c r="E2014" s="765"/>
      <c r="F2014" s="765"/>
      <c r="G2014" s="765"/>
      <c r="H2014" s="765"/>
      <c r="I2014" s="746" t="str">
        <f t="shared" si="94"/>
        <v/>
      </c>
      <c r="J2014" s="731"/>
      <c r="K2014" s="731" t="str">
        <f t="shared" si="93"/>
        <v/>
      </c>
      <c r="L2014" s="726"/>
      <c r="M2014" s="726"/>
      <c r="N2014" s="726"/>
      <c r="O2014" s="726"/>
      <c r="P2014" s="726"/>
      <c r="Q2014" s="726"/>
      <c r="R2014" s="726"/>
      <c r="S2014" s="726"/>
      <c r="T2014" s="726"/>
      <c r="U2014" s="726"/>
      <c r="V2014" s="726"/>
      <c r="W2014" s="726"/>
      <c r="X2014" s="726"/>
      <c r="Y2014" s="726"/>
      <c r="Z2014" s="726"/>
      <c r="AA2014" s="732"/>
      <c r="AB2014" s="732"/>
      <c r="AC2014" s="732"/>
      <c r="AD2014" s="732"/>
      <c r="AE2014" s="733"/>
      <c r="AF2014" s="734" t="str">
        <f t="shared" si="95"/>
        <v/>
      </c>
      <c r="AG2014" s="773"/>
    </row>
    <row r="2015" spans="1:33" ht="18.75" x14ac:dyDescent="0.25">
      <c r="A2015" s="758"/>
      <c r="B2015" s="737"/>
      <c r="C2015" s="730"/>
      <c r="D2015" s="739"/>
      <c r="E2015" s="765"/>
      <c r="F2015" s="765"/>
      <c r="G2015" s="765"/>
      <c r="H2015" s="765"/>
      <c r="I2015" s="746" t="str">
        <f t="shared" si="94"/>
        <v/>
      </c>
      <c r="J2015" s="731"/>
      <c r="K2015" s="731" t="str">
        <f t="shared" si="93"/>
        <v/>
      </c>
      <c r="L2015" s="726"/>
      <c r="M2015" s="726"/>
      <c r="N2015" s="726"/>
      <c r="O2015" s="726"/>
      <c r="P2015" s="726"/>
      <c r="Q2015" s="726"/>
      <c r="R2015" s="726"/>
      <c r="S2015" s="726"/>
      <c r="T2015" s="726"/>
      <c r="U2015" s="726"/>
      <c r="V2015" s="726"/>
      <c r="W2015" s="726"/>
      <c r="X2015" s="726"/>
      <c r="Y2015" s="726"/>
      <c r="Z2015" s="726"/>
      <c r="AA2015" s="732"/>
      <c r="AB2015" s="732"/>
      <c r="AC2015" s="732"/>
      <c r="AD2015" s="732"/>
      <c r="AE2015" s="733"/>
      <c r="AF2015" s="734" t="str">
        <f t="shared" si="95"/>
        <v/>
      </c>
      <c r="AG2015" s="773"/>
    </row>
    <row r="2016" spans="1:33" ht="18.75" x14ac:dyDescent="0.25">
      <c r="A2016" s="758"/>
      <c r="B2016" s="737"/>
      <c r="C2016" s="730"/>
      <c r="D2016" s="739"/>
      <c r="E2016" s="765"/>
      <c r="F2016" s="765"/>
      <c r="G2016" s="765"/>
      <c r="H2016" s="765"/>
      <c r="I2016" s="746" t="str">
        <f t="shared" si="94"/>
        <v/>
      </c>
      <c r="J2016" s="731"/>
      <c r="K2016" s="731" t="str">
        <f t="shared" si="93"/>
        <v/>
      </c>
      <c r="L2016" s="726"/>
      <c r="M2016" s="726"/>
      <c r="N2016" s="726"/>
      <c r="O2016" s="726"/>
      <c r="P2016" s="726"/>
      <c r="Q2016" s="726"/>
      <c r="R2016" s="726"/>
      <c r="S2016" s="726"/>
      <c r="T2016" s="726"/>
      <c r="U2016" s="726"/>
      <c r="V2016" s="726"/>
      <c r="W2016" s="726"/>
      <c r="X2016" s="726"/>
      <c r="Y2016" s="726"/>
      <c r="Z2016" s="726"/>
      <c r="AA2016" s="732"/>
      <c r="AB2016" s="732"/>
      <c r="AC2016" s="732"/>
      <c r="AD2016" s="732"/>
      <c r="AE2016" s="733"/>
      <c r="AF2016" s="734" t="str">
        <f t="shared" si="95"/>
        <v/>
      </c>
      <c r="AG2016" s="773"/>
    </row>
    <row r="2017" spans="1:33" ht="18.75" x14ac:dyDescent="0.25">
      <c r="A2017" s="758"/>
      <c r="B2017" s="737"/>
      <c r="C2017" s="730"/>
      <c r="D2017" s="739"/>
      <c r="E2017" s="765"/>
      <c r="F2017" s="765"/>
      <c r="G2017" s="765"/>
      <c r="H2017" s="765"/>
      <c r="I2017" s="746" t="str">
        <f t="shared" si="94"/>
        <v/>
      </c>
      <c r="J2017" s="731"/>
      <c r="K2017" s="731" t="str">
        <f t="shared" si="93"/>
        <v/>
      </c>
      <c r="L2017" s="726"/>
      <c r="M2017" s="726"/>
      <c r="N2017" s="726"/>
      <c r="O2017" s="726"/>
      <c r="P2017" s="726"/>
      <c r="Q2017" s="726"/>
      <c r="R2017" s="726"/>
      <c r="S2017" s="726"/>
      <c r="T2017" s="726"/>
      <c r="U2017" s="726"/>
      <c r="V2017" s="726"/>
      <c r="W2017" s="726"/>
      <c r="X2017" s="726"/>
      <c r="Y2017" s="726"/>
      <c r="Z2017" s="726"/>
      <c r="AA2017" s="732"/>
      <c r="AB2017" s="732"/>
      <c r="AC2017" s="732"/>
      <c r="AD2017" s="732"/>
      <c r="AE2017" s="733"/>
      <c r="AF2017" s="734" t="str">
        <f t="shared" si="95"/>
        <v/>
      </c>
      <c r="AG2017" s="773"/>
    </row>
    <row r="2018" spans="1:33" ht="18.75" x14ac:dyDescent="0.25">
      <c r="A2018" s="758"/>
      <c r="B2018" s="737"/>
      <c r="C2018" s="730"/>
      <c r="D2018" s="739"/>
      <c r="E2018" s="765"/>
      <c r="F2018" s="765"/>
      <c r="G2018" s="765"/>
      <c r="H2018" s="765"/>
      <c r="I2018" s="746" t="str">
        <f t="shared" si="94"/>
        <v/>
      </c>
      <c r="J2018" s="731"/>
      <c r="K2018" s="731" t="str">
        <f t="shared" si="93"/>
        <v/>
      </c>
      <c r="L2018" s="726"/>
      <c r="M2018" s="726"/>
      <c r="N2018" s="726"/>
      <c r="O2018" s="726"/>
      <c r="P2018" s="726"/>
      <c r="Q2018" s="726"/>
      <c r="R2018" s="726"/>
      <c r="S2018" s="726"/>
      <c r="T2018" s="726"/>
      <c r="U2018" s="726"/>
      <c r="V2018" s="726"/>
      <c r="W2018" s="726"/>
      <c r="X2018" s="726"/>
      <c r="Y2018" s="726"/>
      <c r="Z2018" s="726"/>
      <c r="AA2018" s="732"/>
      <c r="AB2018" s="732"/>
      <c r="AC2018" s="732"/>
      <c r="AD2018" s="732"/>
      <c r="AE2018" s="733"/>
      <c r="AF2018" s="734" t="str">
        <f t="shared" si="95"/>
        <v/>
      </c>
      <c r="AG2018" s="773"/>
    </row>
    <row r="2019" spans="1:33" ht="18.75" x14ac:dyDescent="0.25">
      <c r="A2019" s="758"/>
      <c r="B2019" s="737"/>
      <c r="C2019" s="730"/>
      <c r="D2019" s="739"/>
      <c r="E2019" s="765"/>
      <c r="F2019" s="765"/>
      <c r="G2019" s="765"/>
      <c r="H2019" s="765"/>
      <c r="I2019" s="746" t="str">
        <f t="shared" si="94"/>
        <v/>
      </c>
      <c r="J2019" s="731"/>
      <c r="K2019" s="731" t="str">
        <f t="shared" si="93"/>
        <v/>
      </c>
      <c r="L2019" s="726"/>
      <c r="M2019" s="726"/>
      <c r="N2019" s="726"/>
      <c r="O2019" s="726"/>
      <c r="P2019" s="726"/>
      <c r="Q2019" s="726"/>
      <c r="R2019" s="726"/>
      <c r="S2019" s="726"/>
      <c r="T2019" s="726"/>
      <c r="U2019" s="726"/>
      <c r="V2019" s="726"/>
      <c r="W2019" s="726"/>
      <c r="X2019" s="726"/>
      <c r="Y2019" s="726"/>
      <c r="Z2019" s="726"/>
      <c r="AA2019" s="732"/>
      <c r="AB2019" s="732"/>
      <c r="AC2019" s="732"/>
      <c r="AD2019" s="732"/>
      <c r="AE2019" s="733"/>
      <c r="AF2019" s="734" t="str">
        <f t="shared" si="95"/>
        <v/>
      </c>
      <c r="AG2019" s="773"/>
    </row>
    <row r="2020" spans="1:33" ht="18.75" x14ac:dyDescent="0.25">
      <c r="A2020" s="758"/>
      <c r="B2020" s="737"/>
      <c r="C2020" s="730"/>
      <c r="D2020" s="739"/>
      <c r="E2020" s="765"/>
      <c r="F2020" s="765"/>
      <c r="G2020" s="765"/>
      <c r="H2020" s="765"/>
      <c r="I2020" s="746" t="str">
        <f t="shared" si="94"/>
        <v/>
      </c>
      <c r="J2020" s="731"/>
      <c r="K2020" s="731" t="str">
        <f t="shared" si="93"/>
        <v/>
      </c>
      <c r="L2020" s="726"/>
      <c r="M2020" s="726"/>
      <c r="N2020" s="726"/>
      <c r="O2020" s="726"/>
      <c r="P2020" s="726"/>
      <c r="Q2020" s="726"/>
      <c r="R2020" s="726"/>
      <c r="S2020" s="726"/>
      <c r="T2020" s="726"/>
      <c r="U2020" s="726"/>
      <c r="V2020" s="726"/>
      <c r="W2020" s="726"/>
      <c r="X2020" s="726"/>
      <c r="Y2020" s="726"/>
      <c r="Z2020" s="726"/>
      <c r="AA2020" s="732"/>
      <c r="AB2020" s="732"/>
      <c r="AC2020" s="732"/>
      <c r="AD2020" s="732"/>
      <c r="AE2020" s="733"/>
      <c r="AF2020" s="734" t="str">
        <f t="shared" si="95"/>
        <v/>
      </c>
      <c r="AG2020" s="773"/>
    </row>
    <row r="2021" spans="1:33" ht="18.75" x14ac:dyDescent="0.25">
      <c r="A2021" s="758"/>
      <c r="B2021" s="737"/>
      <c r="C2021" s="730"/>
      <c r="D2021" s="739"/>
      <c r="E2021" s="765"/>
      <c r="F2021" s="765"/>
      <c r="G2021" s="765"/>
      <c r="H2021" s="765"/>
      <c r="I2021" s="746" t="str">
        <f t="shared" si="94"/>
        <v/>
      </c>
      <c r="J2021" s="731"/>
      <c r="K2021" s="731" t="str">
        <f t="shared" si="93"/>
        <v/>
      </c>
      <c r="L2021" s="726"/>
      <c r="M2021" s="726"/>
      <c r="N2021" s="726"/>
      <c r="O2021" s="726"/>
      <c r="P2021" s="726"/>
      <c r="Q2021" s="726"/>
      <c r="R2021" s="726"/>
      <c r="S2021" s="726"/>
      <c r="T2021" s="726"/>
      <c r="U2021" s="726"/>
      <c r="V2021" s="726"/>
      <c r="W2021" s="726"/>
      <c r="X2021" s="726"/>
      <c r="Y2021" s="726"/>
      <c r="Z2021" s="726"/>
      <c r="AA2021" s="732"/>
      <c r="AB2021" s="732"/>
      <c r="AC2021" s="732"/>
      <c r="AD2021" s="732"/>
      <c r="AE2021" s="733"/>
      <c r="AF2021" s="734" t="str">
        <f t="shared" si="95"/>
        <v/>
      </c>
      <c r="AG2021" s="773"/>
    </row>
    <row r="2022" spans="1:33" ht="18.75" x14ac:dyDescent="0.25">
      <c r="A2022" s="758"/>
      <c r="B2022" s="737"/>
      <c r="C2022" s="730"/>
      <c r="D2022" s="739"/>
      <c r="E2022" s="765"/>
      <c r="F2022" s="765"/>
      <c r="G2022" s="765"/>
      <c r="H2022" s="765"/>
      <c r="I2022" s="746" t="str">
        <f t="shared" si="94"/>
        <v/>
      </c>
      <c r="J2022" s="731"/>
      <c r="K2022" s="731" t="str">
        <f t="shared" si="93"/>
        <v/>
      </c>
      <c r="L2022" s="726"/>
      <c r="M2022" s="726"/>
      <c r="N2022" s="726"/>
      <c r="O2022" s="726"/>
      <c r="P2022" s="726"/>
      <c r="Q2022" s="726"/>
      <c r="R2022" s="726"/>
      <c r="S2022" s="726"/>
      <c r="T2022" s="726"/>
      <c r="U2022" s="726"/>
      <c r="V2022" s="726"/>
      <c r="W2022" s="726"/>
      <c r="X2022" s="726"/>
      <c r="Y2022" s="726"/>
      <c r="Z2022" s="726"/>
      <c r="AA2022" s="732"/>
      <c r="AB2022" s="732"/>
      <c r="AC2022" s="732"/>
      <c r="AD2022" s="732"/>
      <c r="AE2022" s="733"/>
      <c r="AF2022" s="734" t="str">
        <f t="shared" si="95"/>
        <v/>
      </c>
      <c r="AG2022" s="773"/>
    </row>
    <row r="2023" spans="1:33" ht="19.5" thickBot="1" x14ac:dyDescent="0.3">
      <c r="A2023" s="759"/>
      <c r="B2023" s="760"/>
      <c r="C2023" s="761"/>
      <c r="D2023" s="762"/>
      <c r="E2023" s="766"/>
      <c r="F2023" s="766"/>
      <c r="G2023" s="766"/>
      <c r="H2023" s="766"/>
      <c r="I2023" s="747" t="str">
        <f t="shared" si="94"/>
        <v/>
      </c>
      <c r="J2023" s="748"/>
      <c r="K2023" s="731" t="str">
        <f t="shared" si="93"/>
        <v/>
      </c>
      <c r="L2023" s="749"/>
      <c r="M2023" s="749"/>
      <c r="N2023" s="749"/>
      <c r="O2023" s="749"/>
      <c r="P2023" s="749"/>
      <c r="Q2023" s="749"/>
      <c r="R2023" s="749"/>
      <c r="S2023" s="749"/>
      <c r="T2023" s="749"/>
      <c r="U2023" s="749"/>
      <c r="V2023" s="749"/>
      <c r="W2023" s="749"/>
      <c r="X2023" s="749"/>
      <c r="Y2023" s="749"/>
      <c r="Z2023" s="749"/>
      <c r="AA2023" s="750"/>
      <c r="AB2023" s="750"/>
      <c r="AC2023" s="750"/>
      <c r="AD2023" s="750"/>
      <c r="AE2023" s="751"/>
      <c r="AF2023" s="752" t="str">
        <f t="shared" si="95"/>
        <v/>
      </c>
      <c r="AG2023" s="776"/>
    </row>
  </sheetData>
  <autoFilter ref="A2:AG2"/>
  <dataConsolidate/>
  <phoneticPr fontId="25" type="noConversion"/>
  <conditionalFormatting sqref="B1:B2">
    <cfRule type="duplicateValues" dxfId="9" priority="3325"/>
  </conditionalFormatting>
  <conditionalFormatting sqref="B3:AF2023">
    <cfRule type="expression" dxfId="8" priority="191">
      <formula>$J3="Finished"</formula>
    </cfRule>
  </conditionalFormatting>
  <conditionalFormatting sqref="B3:B2023">
    <cfRule type="duplicateValues" dxfId="7" priority="126"/>
  </conditionalFormatting>
  <conditionalFormatting sqref="I3:I2023">
    <cfRule type="cellIs" dxfId="6" priority="123" operator="lessThan">
      <formula>#REF!</formula>
    </cfRule>
  </conditionalFormatting>
  <conditionalFormatting sqref="L3:Z2023">
    <cfRule type="cellIs" dxfId="5" priority="115" operator="equal">
      <formula>0</formula>
    </cfRule>
  </conditionalFormatting>
  <conditionalFormatting sqref="AF3:AF2023">
    <cfRule type="cellIs" dxfId="4" priority="120" operator="greaterThan">
      <formula>0.9999</formula>
    </cfRule>
  </conditionalFormatting>
  <conditionalFormatting sqref="L3:Z2023">
    <cfRule type="expression" dxfId="3" priority="205">
      <formula>IF(AND($J3=L$2,L3&lt;&gt;""),1,0)</formula>
    </cfRule>
    <cfRule type="expression" dxfId="2" priority="206">
      <formula>IF($AF3-SUM($L3:L3)&gt;=0,1,0)</formula>
    </cfRule>
  </conditionalFormatting>
  <conditionalFormatting sqref="L3:Z2023">
    <cfRule type="expression" dxfId="1" priority="3349">
      <formula>IF(MATCH($J3,$2:$2,0)&gt;MATCH(L$2,$2:$2,0),1,0)</formula>
    </cfRule>
  </conditionalFormatting>
  <conditionalFormatting sqref="L3:Z2023">
    <cfRule type="expression" dxfId="0" priority="3356">
      <formula>IF(AND(MATCH($J3,$2:$2,0)&lt;=MATCH(L$2,$2:$2,0),SUM($L3:L3)&lt;=$AF3),1,0)</formula>
    </cfRule>
  </conditionalFormatting>
  <dataValidations count="1">
    <dataValidation type="list" allowBlank="1" showInputMessage="1" showErrorMessage="1" sqref="J1:J2023">
      <formula1>$L$2:$Z$2</formula1>
    </dataValidation>
  </dataValidations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Project Team</vt:lpstr>
      <vt:lpstr>JoB Backlog2013-2017</vt:lpstr>
      <vt:lpstr>JobBacklog2013-2016</vt:lpstr>
      <vt:lpstr>Job In Hand</vt:lpstr>
      <vt:lpstr>'JoB Backlog2013-2017'!Print_Area</vt:lpstr>
      <vt:lpstr>'Job In Hand'!Print_Area</vt:lpstr>
      <vt:lpstr>'JobBacklog2013-2016'!Print_Area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kriangkrai rattanawan</cp:lastModifiedBy>
  <cp:lastPrinted>2020-06-16T09:21:26Z</cp:lastPrinted>
  <dcterms:created xsi:type="dcterms:W3CDTF">2012-04-15T13:59:19Z</dcterms:created>
  <dcterms:modified xsi:type="dcterms:W3CDTF">2026-03-06T06:19:22Z</dcterms:modified>
</cp:coreProperties>
</file>