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HOME\WEB\WebENG\WebENG\wwwroot\files\"/>
    </mc:Choice>
  </mc:AlternateContent>
  <bookViews>
    <workbookView xWindow="-28920" yWindow="-1965" windowWidth="29040" windowHeight="17520" tabRatio="783" firstSheet="3" activeTab="3"/>
  </bookViews>
  <sheets>
    <sheet name="Project Team" sheetId="29" state="hidden" r:id="rId1"/>
    <sheet name="JoB Backlog2013-2017" sheetId="24" state="hidden" r:id="rId2"/>
    <sheet name="JobBacklog2013-2016" sheetId="25" state="hidden" r:id="rId3"/>
    <sheet name="Sheet1" sheetId="64" r:id="rId4"/>
  </sheets>
  <definedNames>
    <definedName name="_xlnm._FilterDatabase" localSheetId="1" hidden="1">'JoB Backlog2013-2017'!$A$2:$AL$39</definedName>
    <definedName name="_xlnm._FilterDatabase" localSheetId="2" hidden="1">'JobBacklog2013-2016'!$A$1:$AR$44</definedName>
    <definedName name="_xlnm._FilterDatabase" localSheetId="3" hidden="1">Sheet1!$A$1:$N$1</definedName>
    <definedName name="B">#N/A</definedName>
    <definedName name="PeriodInPlan">#REF!=MEDIAN(#REF!,#REF!,#REF!+#REF!-1)</definedName>
    <definedName name="_xlnm.Print_Area" localSheetId="1">'JoB Backlog2013-2017'!$A$1:$AD$31</definedName>
    <definedName name="_xlnm.Print_Area" localSheetId="2">'JobBacklog2013-2016'!$A$1:$AD$44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4" l="1"/>
  <c r="AC42" i="24"/>
  <c r="U2" i="24" l="1"/>
  <c r="Z4" i="24" l="1"/>
  <c r="Z5" i="24"/>
  <c r="Z6" i="24"/>
  <c r="Z7" i="24"/>
  <c r="Z8" i="24"/>
  <c r="Z3" i="24"/>
  <c r="W4" i="24"/>
  <c r="W5" i="24"/>
  <c r="W6" i="24"/>
  <c r="W7" i="24"/>
  <c r="W8" i="24"/>
  <c r="W3" i="24"/>
  <c r="AC4" i="24"/>
  <c r="AC5" i="24"/>
  <c r="AC6" i="24"/>
  <c r="AC7" i="24"/>
  <c r="AC8" i="24"/>
  <c r="AC3" i="24"/>
  <c r="Y32" i="24" l="1"/>
  <c r="V32" i="24"/>
  <c r="Y31" i="24"/>
  <c r="V31" i="24"/>
  <c r="Y22" i="24" l="1"/>
  <c r="Y13" i="24"/>
  <c r="V13" i="24"/>
  <c r="Y17" i="24" l="1"/>
  <c r="V17" i="24"/>
  <c r="V22" i="24"/>
  <c r="Y34" i="24"/>
  <c r="V34" i="24"/>
  <c r="Y35" i="24"/>
  <c r="V35" i="24"/>
  <c r="Y30" i="24" l="1"/>
  <c r="Y33" i="24"/>
  <c r="Y26" i="24"/>
  <c r="Y15" i="24"/>
  <c r="V26" i="24"/>
  <c r="V15" i="24"/>
  <c r="V30" i="24"/>
  <c r="W30" i="24" s="1"/>
  <c r="V33" i="24"/>
  <c r="R2" i="25" l="1"/>
  <c r="Y25" i="24" l="1"/>
  <c r="V25" i="24"/>
  <c r="Z21" i="24"/>
  <c r="AB21" i="24"/>
  <c r="AC21" i="24"/>
  <c r="W21" i="24"/>
  <c r="Z40" i="24"/>
  <c r="W40" i="24"/>
  <c r="Y16" i="24" l="1"/>
  <c r="V16" i="24"/>
  <c r="Y38" i="25"/>
  <c r="V38" i="25"/>
  <c r="AC41" i="24" l="1"/>
  <c r="AC40" i="24"/>
  <c r="Z38" i="24"/>
  <c r="AB38" i="24"/>
  <c r="AC38" i="24"/>
  <c r="W38" i="24"/>
  <c r="Z37" i="24" l="1"/>
  <c r="AB37" i="24"/>
  <c r="AC37" i="24"/>
  <c r="W37" i="24"/>
  <c r="Z39" i="24"/>
  <c r="AB39" i="24"/>
  <c r="AC39" i="24"/>
  <c r="Z27" i="24"/>
  <c r="AB27" i="24"/>
  <c r="AC27" i="24"/>
  <c r="W27" i="24"/>
  <c r="W39" i="24"/>
  <c r="Y27" i="25" l="1"/>
  <c r="V27" i="25"/>
  <c r="Y14" i="24" l="1"/>
  <c r="Y2" i="24" s="1"/>
  <c r="V14" i="24"/>
  <c r="W15" i="24"/>
  <c r="Y3" i="25"/>
  <c r="Y6" i="25"/>
  <c r="AC6" i="25" s="1"/>
  <c r="Y13" i="25"/>
  <c r="AB13" i="25" s="1"/>
  <c r="Y14" i="25"/>
  <c r="Z14" i="25" s="1"/>
  <c r="Y16" i="25"/>
  <c r="Z16" i="25" s="1"/>
  <c r="Y18" i="25"/>
  <c r="Z18" i="25" s="1"/>
  <c r="Y35" i="25"/>
  <c r="Y42" i="25"/>
  <c r="Z42" i="25" s="1"/>
  <c r="V3" i="25"/>
  <c r="V6" i="25"/>
  <c r="V14" i="25"/>
  <c r="W14" i="25" s="1"/>
  <c r="V16" i="25"/>
  <c r="W16" i="25" s="1"/>
  <c r="V18" i="25"/>
  <c r="U33" i="25" s="1"/>
  <c r="V35" i="25"/>
  <c r="W38" i="25"/>
  <c r="V42" i="25"/>
  <c r="W42" i="25" s="1"/>
  <c r="AC34" i="25"/>
  <c r="AC36" i="25"/>
  <c r="AC37" i="25"/>
  <c r="AC39" i="25"/>
  <c r="AC40" i="25"/>
  <c r="AC41" i="25"/>
  <c r="AC19" i="25"/>
  <c r="AC20" i="25"/>
  <c r="AC21" i="25"/>
  <c r="AC22" i="25"/>
  <c r="AC23" i="25"/>
  <c r="AC24" i="25"/>
  <c r="AC25" i="25"/>
  <c r="AC26" i="25"/>
  <c r="AC27" i="25"/>
  <c r="AC28" i="25"/>
  <c r="AC29" i="25"/>
  <c r="AC30" i="25"/>
  <c r="AC31" i="25"/>
  <c r="AC32" i="25"/>
  <c r="AC4" i="25"/>
  <c r="AC5" i="25"/>
  <c r="AC7" i="25"/>
  <c r="AC8" i="25"/>
  <c r="AC9" i="25"/>
  <c r="AC10" i="25"/>
  <c r="AC11" i="25"/>
  <c r="AC12" i="25"/>
  <c r="AC15" i="25"/>
  <c r="AC9" i="24"/>
  <c r="AC10" i="24"/>
  <c r="AC11" i="24"/>
  <c r="AC12" i="24"/>
  <c r="AC16" i="24"/>
  <c r="AC17" i="24"/>
  <c r="AC18" i="24"/>
  <c r="AC19" i="24"/>
  <c r="AC20" i="24"/>
  <c r="AC22" i="24"/>
  <c r="AC23" i="24"/>
  <c r="AC24" i="24"/>
  <c r="AC25" i="24"/>
  <c r="AC26" i="24"/>
  <c r="AC28" i="24"/>
  <c r="AC29" i="24"/>
  <c r="AC30" i="24"/>
  <c r="AC31" i="24"/>
  <c r="AC32" i="24"/>
  <c r="AC33" i="24"/>
  <c r="AC34" i="24"/>
  <c r="AC35" i="24"/>
  <c r="AC36" i="24"/>
  <c r="AB20" i="24"/>
  <c r="AB22" i="24"/>
  <c r="AB23" i="24"/>
  <c r="AB24" i="24"/>
  <c r="AB25" i="24"/>
  <c r="AB26" i="24"/>
  <c r="AB28" i="24"/>
  <c r="AB29" i="24"/>
  <c r="AB30" i="24"/>
  <c r="AB31" i="24"/>
  <c r="AB32" i="24"/>
  <c r="AB33" i="24"/>
  <c r="AB34" i="24"/>
  <c r="AB35" i="24"/>
  <c r="AB36" i="24"/>
  <c r="W22" i="24"/>
  <c r="W23" i="24"/>
  <c r="W24" i="24"/>
  <c r="W25" i="24"/>
  <c r="W26" i="24"/>
  <c r="W28" i="24"/>
  <c r="W29" i="24"/>
  <c r="W31" i="24"/>
  <c r="W32" i="24"/>
  <c r="W33" i="24"/>
  <c r="W34" i="24"/>
  <c r="W35" i="24"/>
  <c r="W36" i="24"/>
  <c r="Z23" i="24"/>
  <c r="Z24" i="24"/>
  <c r="Z25" i="24"/>
  <c r="Z26" i="24"/>
  <c r="Z28" i="24"/>
  <c r="Z29" i="24"/>
  <c r="Z30" i="24"/>
  <c r="Z31" i="24"/>
  <c r="Z32" i="24"/>
  <c r="Z33" i="24"/>
  <c r="Z34" i="24"/>
  <c r="Z35" i="24"/>
  <c r="Z36" i="24"/>
  <c r="W16" i="24"/>
  <c r="W17" i="24"/>
  <c r="Z16" i="24"/>
  <c r="Z17" i="24"/>
  <c r="Q31" i="24"/>
  <c r="AB17" i="24"/>
  <c r="AB18" i="24"/>
  <c r="AB19" i="24"/>
  <c r="AB16" i="24"/>
  <c r="W18" i="24"/>
  <c r="W19" i="24"/>
  <c r="W20" i="24"/>
  <c r="Z18" i="24"/>
  <c r="Z19" i="24"/>
  <c r="Z20" i="24"/>
  <c r="Z22" i="24"/>
  <c r="C2" i="24"/>
  <c r="AB25" i="25"/>
  <c r="W29" i="25"/>
  <c r="W27" i="25"/>
  <c r="W26" i="25"/>
  <c r="W25" i="25"/>
  <c r="W11" i="25"/>
  <c r="W7" i="25"/>
  <c r="Z11" i="24"/>
  <c r="Z9" i="24"/>
  <c r="Z12" i="24"/>
  <c r="Z10" i="24"/>
  <c r="W12" i="24"/>
  <c r="W11" i="24"/>
  <c r="W10" i="24"/>
  <c r="W9" i="24"/>
  <c r="Z36" i="25"/>
  <c r="Z27" i="25"/>
  <c r="Z26" i="25"/>
  <c r="Z25" i="25"/>
  <c r="Z11" i="25"/>
  <c r="Z7" i="25"/>
  <c r="Z5" i="25"/>
  <c r="W5" i="25"/>
  <c r="AB9" i="24"/>
  <c r="AB11" i="24"/>
  <c r="AB12" i="24"/>
  <c r="W32" i="25"/>
  <c r="Z32" i="25"/>
  <c r="AB32" i="25"/>
  <c r="Q44" i="25"/>
  <c r="Z34" i="25"/>
  <c r="W34" i="25"/>
  <c r="Z30" i="25"/>
  <c r="W30" i="25"/>
  <c r="Z24" i="25"/>
  <c r="W24" i="25"/>
  <c r="Z4" i="25"/>
  <c r="W8" i="25"/>
  <c r="W9" i="25"/>
  <c r="W10" i="25"/>
  <c r="W12" i="25"/>
  <c r="W13" i="25"/>
  <c r="W15" i="25"/>
  <c r="W4" i="25"/>
  <c r="Q33" i="25"/>
  <c r="Q17" i="25"/>
  <c r="AB30" i="25"/>
  <c r="AB24" i="25"/>
  <c r="AB8" i="25"/>
  <c r="Z8" i="25"/>
  <c r="Z41" i="25"/>
  <c r="AB40" i="25"/>
  <c r="Z40" i="25"/>
  <c r="W40" i="25"/>
  <c r="AB39" i="25"/>
  <c r="Z39" i="25"/>
  <c r="W39" i="25"/>
  <c r="AB37" i="25"/>
  <c r="Z37" i="25"/>
  <c r="W37" i="25"/>
  <c r="AB36" i="25"/>
  <c r="W36" i="25"/>
  <c r="AB34" i="25"/>
  <c r="AB31" i="25"/>
  <c r="Z31" i="25"/>
  <c r="W31" i="25"/>
  <c r="AB29" i="25"/>
  <c r="Z29" i="25"/>
  <c r="AB28" i="25"/>
  <c r="Z28" i="25"/>
  <c r="W28" i="25"/>
  <c r="AB27" i="25"/>
  <c r="AB26" i="25"/>
  <c r="Z23" i="25"/>
  <c r="AB21" i="25"/>
  <c r="Z21" i="25"/>
  <c r="W21" i="25"/>
  <c r="AB20" i="25"/>
  <c r="Z20" i="25"/>
  <c r="W20" i="25"/>
  <c r="AB19" i="25"/>
  <c r="Z19" i="25"/>
  <c r="W19" i="25"/>
  <c r="AB15" i="25"/>
  <c r="Z15" i="25"/>
  <c r="AB12" i="25"/>
  <c r="Z12" i="25"/>
  <c r="AB10" i="25"/>
  <c r="Z10" i="25"/>
  <c r="AB9" i="25"/>
  <c r="Z9" i="25"/>
  <c r="AL7" i="25"/>
  <c r="AM7" i="25" s="1"/>
  <c r="AB7" i="25"/>
  <c r="AL6" i="25"/>
  <c r="AM6" i="25" s="1"/>
  <c r="AB5" i="25"/>
  <c r="C2" i="25"/>
  <c r="AB41" i="25"/>
  <c r="AB23" i="25"/>
  <c r="Z22" i="25"/>
  <c r="AB22" i="25"/>
  <c r="W41" i="25"/>
  <c r="W23" i="25"/>
  <c r="AB11" i="25"/>
  <c r="W22" i="25"/>
  <c r="Q2" i="24"/>
  <c r="AB10" i="24"/>
  <c r="AG13" i="24"/>
  <c r="AH13" i="24" s="1"/>
  <c r="AG12" i="24"/>
  <c r="AH12" i="24" s="1"/>
  <c r="V2" i="24" l="1"/>
  <c r="AB2" i="24" s="1"/>
  <c r="AC14" i="24"/>
  <c r="AC3" i="25"/>
  <c r="X17" i="25"/>
  <c r="Y2" i="25"/>
  <c r="AC2" i="25" s="1"/>
  <c r="AC35" i="25"/>
  <c r="X44" i="25"/>
  <c r="W3" i="25"/>
  <c r="V2" i="25"/>
  <c r="Z14" i="24"/>
  <c r="W35" i="25"/>
  <c r="U44" i="25"/>
  <c r="AC18" i="25"/>
  <c r="AA33" i="25" s="1"/>
  <c r="X33" i="25"/>
  <c r="AB14" i="24"/>
  <c r="Q2" i="25"/>
  <c r="W18" i="25"/>
  <c r="Z13" i="25"/>
  <c r="AC13" i="25"/>
  <c r="Z35" i="25"/>
  <c r="AB13" i="24"/>
  <c r="AB42" i="25"/>
  <c r="AC14" i="25"/>
  <c r="W13" i="24"/>
  <c r="AC13" i="24"/>
  <c r="AB35" i="25"/>
  <c r="AB3" i="25"/>
  <c r="W6" i="25"/>
  <c r="AC16" i="25"/>
  <c r="AC42" i="25"/>
  <c r="Z3" i="25"/>
  <c r="U17" i="25"/>
  <c r="AB38" i="25"/>
  <c r="W14" i="24"/>
  <c r="AC38" i="25"/>
  <c r="AB16" i="25"/>
  <c r="Z38" i="25"/>
  <c r="AB6" i="25"/>
  <c r="AB14" i="25"/>
  <c r="AB18" i="25"/>
  <c r="AB15" i="24"/>
  <c r="Z6" i="25"/>
  <c r="Z13" i="24"/>
  <c r="Z15" i="24"/>
  <c r="AC15" i="24"/>
  <c r="U2" i="25" l="1"/>
  <c r="AC2" i="24"/>
  <c r="X2" i="25"/>
  <c r="AB2" i="25" s="1"/>
  <c r="AA17" i="25"/>
  <c r="AA44" i="25"/>
</calcChain>
</file>

<file path=xl/sharedStrings.xml><?xml version="1.0" encoding="utf-8"?>
<sst xmlns="http://schemas.openxmlformats.org/spreadsheetml/2006/main" count="693" uniqueCount="265">
  <si>
    <t>No.</t>
  </si>
  <si>
    <t>Remark</t>
  </si>
  <si>
    <t>Job In Hand</t>
  </si>
  <si>
    <t>Invoice</t>
  </si>
  <si>
    <t>Total Invoice</t>
  </si>
  <si>
    <t>Cons Invoice</t>
  </si>
  <si>
    <t>SI Invoice</t>
  </si>
  <si>
    <t>Job No.</t>
  </si>
  <si>
    <t>Description 1</t>
  </si>
  <si>
    <t>Description 2</t>
  </si>
  <si>
    <t xml:space="preserve">Open Job </t>
  </si>
  <si>
    <t>Date</t>
  </si>
  <si>
    <t>%</t>
  </si>
  <si>
    <t>Progress Payment Issued</t>
  </si>
  <si>
    <t>Q1</t>
  </si>
  <si>
    <t>Q2</t>
  </si>
  <si>
    <t>Q3</t>
  </si>
  <si>
    <t>Q4</t>
  </si>
  <si>
    <t>แบ่ง Q</t>
  </si>
  <si>
    <t>Diff JIH Vs Inv</t>
  </si>
  <si>
    <t>Diff PP Vs Inv</t>
  </si>
  <si>
    <t>J13-0331</t>
  </si>
  <si>
    <t>Distributed Control System for B Boiler</t>
  </si>
  <si>
    <t xml:space="preserve">บจ.ไทย เทอร์โป เจนเนอร์เรเตอร์  </t>
  </si>
  <si>
    <t>J15-0409</t>
  </si>
  <si>
    <t>RBS Project (DCS&amp;FI Work)</t>
  </si>
  <si>
    <t>บริษัท สยาม ทาคูม่า จำกัด</t>
  </si>
  <si>
    <t>บริษัท ไทยรุ่งเรืองอุตสาหกรรม จำกัด</t>
  </si>
  <si>
    <t>J15-0626</t>
  </si>
  <si>
    <t>DCS Engineering for Power Plants</t>
  </si>
  <si>
    <t>บริษัท น้ำตาลครบุรี จำกัด (มหาชน)</t>
  </si>
  <si>
    <t>บริษัท อุตสาหกรรมน้ำตาลบ้านไร่ จำกัด</t>
  </si>
  <si>
    <t>J15-1015</t>
  </si>
  <si>
    <t xml:space="preserve">บริษัท ไทยรุ่งเรืองอุตสาหกรรม จำกัด </t>
  </si>
  <si>
    <t>Add. Speed Check Belt Conveyer for TRR</t>
  </si>
  <si>
    <t>J15-1217</t>
  </si>
  <si>
    <t xml:space="preserve">บริษัท ไทยรุ่งเรืองอุตสาหกรรม จำกัด  </t>
  </si>
  <si>
    <t>Scada Control System for Silo Plant</t>
  </si>
  <si>
    <t>Progress</t>
  </si>
  <si>
    <t>CVP-A &amp; C-Curing</t>
  </si>
  <si>
    <t>Wellman</t>
  </si>
  <si>
    <t>DCS for Vacuum pan Batch C15</t>
  </si>
  <si>
    <t>A-CVP 280M3 (KKS)</t>
  </si>
  <si>
    <t>เชื่อมต่อ Boiler Takuma เข้า Honeywell</t>
  </si>
  <si>
    <t>อุตสาหกรรมบ้านไร่</t>
  </si>
  <si>
    <t>น้ำตาลท่ามะกา</t>
  </si>
  <si>
    <t>น้ำตาลราชบุรี</t>
  </si>
  <si>
    <t>DISTRIBUTED CONTROL SYSTEM</t>
  </si>
  <si>
    <t>TANDAM B 16,000TCD MILLING CAPACITY</t>
  </si>
  <si>
    <t>AUTO CANE TANDUM A &amp; B</t>
  </si>
  <si>
    <t xml:space="preserve"> น้ำตาลบ้านโป่ง จำกัด</t>
  </si>
  <si>
    <t xml:space="preserve"> โรงงานน้ำตาลนิวกรุงไทย จำกัด</t>
  </si>
  <si>
    <t xml:space="preserve"> น้ำตาลและอ้อยตะวันออก จำกัด (มหาชน)</t>
  </si>
  <si>
    <t xml:space="preserve">CONTROL SYSTEM AND INSTRUMENT </t>
  </si>
  <si>
    <t>อุตสาหกรรมน้ำตาลสุพรรณบุรี</t>
  </si>
  <si>
    <t>J16-0775</t>
  </si>
  <si>
    <t>ADDITIONAL DCS SYSTEM FOR REFINE PLANT</t>
  </si>
  <si>
    <t>J16-0330</t>
  </si>
  <si>
    <t>J16-0533</t>
  </si>
  <si>
    <t xml:space="preserve">DISTRIBUTED CONTROL SYSTEM FOR BOILER, </t>
  </si>
  <si>
    <t>J16-0699</t>
  </si>
  <si>
    <t>J16-0710</t>
  </si>
  <si>
    <t>J16-0753</t>
  </si>
  <si>
    <t>J16-0782</t>
  </si>
  <si>
    <t>J16-0784</t>
  </si>
  <si>
    <t>J16-0866</t>
  </si>
  <si>
    <t>J16-0878</t>
  </si>
  <si>
    <t>THIP SUGAR KAMPHAENPHET</t>
  </si>
  <si>
    <t>J16-0950</t>
  </si>
  <si>
    <t>บริษัท รวมเกษตรกรอุตสาหกรรม จำกัด (มิตรภูหลวง)</t>
  </si>
  <si>
    <t>UPGRADE RFID READER FOR CCS</t>
  </si>
  <si>
    <t>J16-0973</t>
  </si>
  <si>
    <t>บริษัท น้ำตาลทิพย์กำแพงเพชร จำกัด</t>
  </si>
  <si>
    <t xml:space="preserve">DCS  LINK SYSTEM FOR SUGAR PROCESS </t>
  </si>
  <si>
    <t>บริษัท น้ำตาลบ้านโป่ง จำกัด</t>
  </si>
  <si>
    <t>J16-1017</t>
  </si>
  <si>
    <t>DILUTE FOR VACUUM PAN 4 BATCH PAN</t>
  </si>
  <si>
    <t>J16-0563</t>
  </si>
  <si>
    <t>J16-0566</t>
  </si>
  <si>
    <t>J16-0577</t>
  </si>
  <si>
    <t>FIELD INSTRUMENT - งานถัง Dilute น้ำเหลือง A1</t>
  </si>
  <si>
    <t>FIELD INSTRUMENT งานถัง Dilute น้ำเหลือง A ใช้งานหม้อปั่น C2</t>
  </si>
  <si>
    <t>FIELD INSTRUMENTงานถัง Dilute น้ำเหลือง A2</t>
  </si>
  <si>
    <t>บริษัท รวมเกษตรกรอุตสาหกรรม จำกัด(ภูเขียว)</t>
  </si>
  <si>
    <t>J16-1132</t>
  </si>
  <si>
    <t>INSTALLATION AUTO LOCK DUMP NO.1-5</t>
  </si>
  <si>
    <t>J15-1193</t>
  </si>
  <si>
    <t>J15-1336</t>
  </si>
  <si>
    <t>บ้านโป่งเอ็นจิเนียริ่ง</t>
  </si>
  <si>
    <t>J16-1122</t>
  </si>
  <si>
    <t>บริษัท ธนารักษ์ จำกัด</t>
  </si>
  <si>
    <t>Sale     Department</t>
  </si>
  <si>
    <t>ยอดแบ่งกับ PPC 4.5:50%,1.4:100%</t>
  </si>
  <si>
    <t>ยอดแบ่งกับ PPC , SED=45%</t>
  </si>
  <si>
    <t>ยอดแบ่งกับ PPC    ,SED=49.1%</t>
  </si>
  <si>
    <t>ยอดแบ่งกับ PPC , SED=50.17</t>
  </si>
  <si>
    <t>J16-0882</t>
  </si>
  <si>
    <t>ISD</t>
  </si>
  <si>
    <t>CONTROL SYSTEM FOR BOILER ( ES ENERGY )</t>
  </si>
  <si>
    <t>PHULUANG BLOCK 2</t>
  </si>
  <si>
    <t>BPE2  ADDITIONAL  SCREW MOTOR 23Units</t>
  </si>
  <si>
    <t>J16-1291</t>
  </si>
  <si>
    <t>บริษัท บ้านโป่งเอ็นจิเนียริ่ง จำกัด</t>
  </si>
  <si>
    <t>J16-0429</t>
  </si>
  <si>
    <t>บริษัท น้ำตาลขอนแก่น จำกัด (มหาชน)</t>
  </si>
  <si>
    <t>J16-1016</t>
  </si>
  <si>
    <t>บริษัท รวมเกษตรกรอุตสาหกรรม จำกัด</t>
  </si>
  <si>
    <t>ยอดแบ่งกับ PPC    ,SED=65%</t>
  </si>
  <si>
    <t>J16-1135</t>
  </si>
  <si>
    <t>J16-1272</t>
  </si>
  <si>
    <t>J16-1281</t>
  </si>
  <si>
    <t>(A)New HMI and Card Reader System</t>
  </si>
  <si>
    <t>FIBER OPTIC INSTALLATION</t>
  </si>
  <si>
    <t>Sumbox For Weighing Terminals</t>
  </si>
  <si>
    <t>PSD</t>
  </si>
  <si>
    <t>INSTALLATIONS SYSTEM CONTROL CLATIFIER FOR EVAPORATOR</t>
  </si>
  <si>
    <t xml:space="preserve">Program DCS ของลูกหีบราง 2 </t>
  </si>
  <si>
    <t>ADDITIONAL  FOR CONDITIONING SILO</t>
  </si>
  <si>
    <t>J16-1423</t>
  </si>
  <si>
    <t>Automation &amp; Monitoring Electrical System</t>
  </si>
  <si>
    <t>J17-0062</t>
  </si>
  <si>
    <t>J17-0065</t>
  </si>
  <si>
    <t xml:space="preserve"> Distributed Control System and Touch Screen for R-Vacuum pan 2 batch</t>
  </si>
  <si>
    <t>ENGINEERING FEE Revamp Program To Ls Plant</t>
  </si>
  <si>
    <t>บริษัท เกษตรไทย อินเตอร์เนชั่นแนล ชูการ์</t>
  </si>
  <si>
    <t>J16-1150</t>
  </si>
  <si>
    <t>บริษัท ซีอาร์ เอเซีย (ประเทศไทย) จำกัด</t>
  </si>
  <si>
    <t>J16-1134</t>
  </si>
  <si>
    <t>GC8 Truck  loading HMI &amp; Card reader Project</t>
  </si>
  <si>
    <t>บริษัท พีทีที โกลบอล เคมิคอล จำกัด (มหาชน)</t>
  </si>
  <si>
    <t>NEW LDPE FEEDER (W803)</t>
  </si>
  <si>
    <t>Control System &amp; Field Instrument for Conditioning Silo</t>
  </si>
  <si>
    <t>J15-0305</t>
  </si>
  <si>
    <t>บริษัท เวลแมน จำกัด</t>
  </si>
  <si>
    <t>CONTROL SYSTEM AND FIELD INSTRUMENT FOR  CONDITIONING SILO</t>
  </si>
  <si>
    <t>J16-0814</t>
  </si>
  <si>
    <t>โครงการที่ 6 SERVER TO WALLROOM</t>
  </si>
  <si>
    <t xml:space="preserve"> น้ำตาลราชบุรี จำกัด</t>
  </si>
  <si>
    <t>J16-1013</t>
  </si>
  <si>
    <t>INSTALLATION PH FOR CONDENSER</t>
  </si>
  <si>
    <t>บริษัท น้ำตาลท่ามะกา จำกัด</t>
  </si>
  <si>
    <t>PJD</t>
  </si>
  <si>
    <t>บริษัท โรงงานน้ำตาลนิวกรุงไทย จำกัด</t>
  </si>
  <si>
    <t>Down Payment</t>
  </si>
  <si>
    <t>FAT</t>
  </si>
  <si>
    <t>Site Work</t>
  </si>
  <si>
    <t>Finish</t>
  </si>
  <si>
    <t>After</t>
  </si>
  <si>
    <t>Commissioning</t>
  </si>
  <si>
    <t>หีบ</t>
  </si>
  <si>
    <t>Document Submit</t>
  </si>
  <si>
    <t>Delivery Instrument</t>
  </si>
  <si>
    <t>Delivery System</t>
  </si>
  <si>
    <t>Project Team</t>
  </si>
  <si>
    <t>Chakrit</t>
  </si>
  <si>
    <t>Nipon</t>
  </si>
  <si>
    <t>Nithinan</t>
  </si>
  <si>
    <t>Suriyon</t>
  </si>
  <si>
    <t>บริษัท ไทย เทอร์โบ เจนเนอร์เรเตอร์ จำกัด</t>
  </si>
  <si>
    <t>J17-0223</t>
  </si>
  <si>
    <t>บริษัท อิชิตะ จำกัด</t>
  </si>
  <si>
    <t>J17-0208</t>
  </si>
  <si>
    <t>ENGINEERING FEE Check Interlock for Milling no.2</t>
  </si>
  <si>
    <t>J17-0297</t>
  </si>
  <si>
    <t>UAPC EXTENSION PROCESS CAPACITY  UAC ADVANCE POLYMER &amp; CHEMICALS</t>
  </si>
  <si>
    <t>UAC ADVANCE POLYMER &amp; CHEMICALS COMPANY LIMITED</t>
  </si>
  <si>
    <t xml:space="preserve"> </t>
  </si>
  <si>
    <t>J17-0025</t>
  </si>
  <si>
    <t>GSG DCS PROGRAMMING SYSTEM ADDITIONAL PROJECT</t>
  </si>
  <si>
    <t>Almendra</t>
  </si>
  <si>
    <t>J17-0616</t>
  </si>
  <si>
    <t xml:space="preserve">DEVELOP SCADA TO DISTRIBUTED CONTROL SYSTEM FOR 4 VACUUM PAN </t>
  </si>
  <si>
    <t>บริษัท โรงงานน้ำตาลบุรีรัมย์ จำกัด</t>
  </si>
  <si>
    <t>J17-0630</t>
  </si>
  <si>
    <t>Upgrade DCS software from CS3000 To CentumVPR6</t>
  </si>
  <si>
    <t>MITR LAO SUGAR CO.,LTD.</t>
  </si>
  <si>
    <t>Progress Work</t>
  </si>
  <si>
    <t>J17-0687</t>
  </si>
  <si>
    <t>ENGINEERING  &amp; SERVICE FEE (LINE 3 : Addition for Re-Config. Commu.)</t>
  </si>
  <si>
    <t>J17-0694</t>
  </si>
  <si>
    <t>J17-0731</t>
  </si>
  <si>
    <t>บริษัท อุตสาหกรรมน้ำตาลสุพรรณบุรี จำกัด</t>
  </si>
  <si>
    <t>งานเพิ่มระบบ CONTROL SYSTEM FOR 65 TPH EXISTING B</t>
  </si>
  <si>
    <t>J17-0737</t>
  </si>
  <si>
    <t>J17-0748</t>
  </si>
  <si>
    <t>บริษัท น้ำตาลไทยเอกลักษณ์ จำกัด</t>
  </si>
  <si>
    <t xml:space="preserve">Automatic Vacuum Pan Control </t>
  </si>
  <si>
    <t>J17-0794</t>
  </si>
  <si>
    <t>Takuma Boiler</t>
  </si>
  <si>
    <t>CCS SYSTEM PROJECT CORE SAMPLING SYSTEM PROJECT (CCS)</t>
  </si>
  <si>
    <t>J17-0798</t>
  </si>
  <si>
    <t>BOILER CONTROL SYSTEM 1 Unit</t>
  </si>
  <si>
    <t>บริษัท เอราวัณ เพาเวอร์ จำกัด</t>
  </si>
  <si>
    <t>J17-0809</t>
  </si>
  <si>
    <t>J17-0817</t>
  </si>
  <si>
    <t>CORE SAMPLING SYSTEM PROJECT (CCS)</t>
  </si>
  <si>
    <t>บริษัท น้ำตาลนครเพชร จำกัด</t>
  </si>
  <si>
    <t>โครงการ PJ17-01-KSL-LS200  (POI-6003/00005)</t>
  </si>
  <si>
    <t>โครงการ PJ17-01-KSL-LS201  (POI-6003/00006)</t>
  </si>
  <si>
    <t>SCADA CONTROL SYSTEM FOR BOILER  (PODP6006002)</t>
  </si>
  <si>
    <t>SCADA CONTROL SYSTEM FOR BOILER  (LRDP6006001)</t>
  </si>
  <si>
    <t xml:space="preserve">Distributed Control System for Vacuum Pan </t>
  </si>
  <si>
    <t>บริษัท ก้องเกียรติวิศวกลการ จำกัด (มิตรลาว)</t>
  </si>
  <si>
    <t>J17-0818</t>
  </si>
  <si>
    <t>CONTINUOUS VACUUM PAN 4 SET</t>
  </si>
  <si>
    <t>100%ปี2017</t>
  </si>
  <si>
    <t>รอคุยกับลูกค้า</t>
  </si>
  <si>
    <t>90%ปี2017</t>
  </si>
  <si>
    <t>J17-0822</t>
  </si>
  <si>
    <t>J17-0824</t>
  </si>
  <si>
    <t xml:space="preserve">DCS FOR VACUUM PAN </t>
  </si>
  <si>
    <t>Distributed Control System For  Evaporator,Heater,Clearify Process</t>
  </si>
  <si>
    <t>J17-0874</t>
  </si>
  <si>
    <t>DCS EXPANSION PLANT 34000TON/DAY</t>
  </si>
  <si>
    <t>บริษัท น้ำตาลและอ้อยตะวันออก จำกัด (มหาชน)</t>
  </si>
  <si>
    <t>J17-0900</t>
  </si>
  <si>
    <t>CS3000 SOFTWARE UPGRADE TO CENTUM VP R6</t>
  </si>
  <si>
    <t>J17-0902</t>
  </si>
  <si>
    <t>J17-0867</t>
  </si>
  <si>
    <t>TANDAM B 40,000 TCD MILLING CAPACITY Vacuum Pam #5</t>
  </si>
  <si>
    <t>TANDAM B 40,000 TCD MILLING  CAPACITY STEAM TRANFORMOR</t>
  </si>
  <si>
    <t>J17-0799</t>
  </si>
  <si>
    <t>Thai Tank Terminal Limited</t>
  </si>
  <si>
    <t>Thai Tank Terminal New HMI and Card Reader System</t>
  </si>
  <si>
    <t>J17-1016</t>
  </si>
  <si>
    <t>OVERHAUL PANEL CONTROLเครื่องกดถุง LINE3 AT COMPLEX4</t>
  </si>
  <si>
    <t>บริษัท ไออาร์พีซี จำกัด (มหาชน)</t>
  </si>
  <si>
    <t>SCADA CONTROL SYSTEM FOR BOILER  (LRDP6008009)</t>
  </si>
  <si>
    <t>J17-0988</t>
  </si>
  <si>
    <t>ADDITIONAL WORK FOR PP3 SILICA AND SILICATE FEEDING IMPROVEMENT</t>
  </si>
  <si>
    <t>บริษัท น้ำตาลสิงห์บุรี จำกัด</t>
  </si>
  <si>
    <t>J17-1002</t>
  </si>
  <si>
    <t>บริษัท ทรี มาสเตอร์ส จำกัด</t>
  </si>
  <si>
    <t>J17-1150</t>
  </si>
  <si>
    <t>J17-1169</t>
  </si>
  <si>
    <t>ADDITIONAL DISTRIBUTED CONTROL SYSTEM FOR  POWER PLANT</t>
  </si>
  <si>
    <t>Ratchaburi Sugar (Ash Conveyor Modification)</t>
  </si>
  <si>
    <t>PCS FOR RETAIL PACKING</t>
  </si>
  <si>
    <t>ยอดแบ่งกับ PPC  ,CES=13003928</t>
  </si>
  <si>
    <t>ยอดแบ่งกับ PPC CES= 5,297,000</t>
  </si>
  <si>
    <t>ยอดแบ่งกับ PPC CES= 2,230,000</t>
  </si>
  <si>
    <t>ยอดแบ่งกับ PPC ,CES=16,697,614.04</t>
  </si>
  <si>
    <t>ยอดแบ่งกับ PPC CES= 2,102,000</t>
  </si>
  <si>
    <t>ยอดแบ่งกับ PPC CES= 1,625,000</t>
  </si>
  <si>
    <t>ยอดแบ่งกับ PPC CES= 214,500</t>
  </si>
  <si>
    <t xml:space="preserve">ยอดแบ่งกับ PPC CES= 70,000 </t>
  </si>
  <si>
    <t>ยอดแบ่งกับ PPC,CES=45%</t>
  </si>
  <si>
    <t>ยอดแบ่งกับ PPC,CES=65%</t>
  </si>
  <si>
    <t>บริษัท น้ำตาลกุมภวาปี จำกัด</t>
  </si>
  <si>
    <t>J17-1314</t>
  </si>
  <si>
    <t>MODIFLY PROGRAM-VACUUM PAN</t>
  </si>
  <si>
    <t>Customer</t>
  </si>
  <si>
    <t>Name</t>
  </si>
  <si>
    <t>Department</t>
  </si>
  <si>
    <t>Job ID</t>
  </si>
  <si>
    <t>Job Name</t>
  </si>
  <si>
    <t>Job Status</t>
  </si>
  <si>
    <t>Total Cost</t>
  </si>
  <si>
    <t>Factor</t>
  </si>
  <si>
    <t>Total Manhours</t>
  </si>
  <si>
    <t>Value/Day</t>
  </si>
  <si>
    <t>Manpower</t>
  </si>
  <si>
    <t>Remaining Cost</t>
  </si>
  <si>
    <t>% Participation</t>
  </si>
  <si>
    <t>Finished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</si>
</sst>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[$-409]dd\-mmm\-yy;@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rgb="FFC0000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</font>
    <font>
      <sz val="16"/>
      <color rgb="FF0000FF"/>
      <name val="Angsana New"/>
      <family val="1"/>
    </font>
    <font>
      <b/>
      <u/>
      <sz val="14"/>
      <color theme="1"/>
      <name val="Calibri"/>
      <family val="2"/>
      <scheme val="minor"/>
    </font>
    <font>
      <sz val="11"/>
      <color theme="5" tint="0.59999389629810485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Arial"/>
      <family val="2"/>
    </font>
    <font>
      <sz val="11"/>
      <color theme="1" tint="0.24994659260841701"/>
      <name val="Cambria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theme="6" tint="0.39997558519241921"/>
        <bgColor indexed="64"/>
      </patternFill>
    </fill>
  </fills>
  <borders count="8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0" fillId="0" borderId="0"/>
    <xf numFmtId="9" fontId="12" fillId="0" borderId="0" applyFont="0" applyFill="0" applyBorder="0" applyAlignment="0" applyProtection="0"/>
    <xf numFmtId="0" fontId="12" fillId="0" borderId="0"/>
    <xf numFmtId="0" fontId="21" fillId="0" borderId="0" applyNumberFormat="0" applyFill="0" applyBorder="0" applyProtection="0">
      <alignment vertical="center"/>
    </xf>
    <xf numFmtId="43" fontId="21" fillId="0" borderId="0" applyFont="0" applyFill="0" applyBorder="0" applyAlignment="0" applyProtection="0"/>
    <xf numFmtId="164" fontId="12" fillId="0" borderId="0" applyFont="0" applyFill="0" applyBorder="0" applyAlignment="0" applyProtection="0"/>
  </cellStyleXfs>
  <cellXfs count="734">
    <xf numFmtId="0" fontId="0" fillId="0" borderId="0" xfId="0"/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2" fillId="3" borderId="1" xfId="0" applyNumberFormat="1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4" fontId="0" fillId="3" borderId="3" xfId="0" applyNumberFormat="1" applyFill="1" applyBorder="1" applyAlignment="1">
      <alignment horizontal="center"/>
    </xf>
    <xf numFmtId="4" fontId="1" fillId="4" borderId="3" xfId="0" applyNumberFormat="1" applyFont="1" applyFill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4" fontId="2" fillId="4" borderId="5" xfId="0" applyNumberFormat="1" applyFont="1" applyFill="1" applyBorder="1" applyAlignment="1">
      <alignment horizontal="center"/>
    </xf>
    <xf numFmtId="4" fontId="1" fillId="4" borderId="6" xfId="0" applyNumberFormat="1" applyFont="1" applyFill="1" applyBorder="1" applyAlignment="1">
      <alignment horizontal="center"/>
    </xf>
    <xf numFmtId="4" fontId="1" fillId="3" borderId="3" xfId="0" applyNumberFormat="1" applyFont="1" applyFill="1" applyBorder="1" applyAlignment="1">
      <alignment horizontal="center"/>
    </xf>
    <xf numFmtId="4" fontId="2" fillId="3" borderId="3" xfId="0" applyNumberFormat="1" applyFont="1" applyFill="1" applyBorder="1" applyAlignment="1">
      <alignment horizontal="center"/>
    </xf>
    <xf numFmtId="4" fontId="4" fillId="5" borderId="5" xfId="0" applyNumberFormat="1" applyFont="1" applyFill="1" applyBorder="1" applyAlignment="1">
      <alignment horizontal="center"/>
    </xf>
    <xf numFmtId="4" fontId="5" fillId="5" borderId="6" xfId="0" applyNumberFormat="1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4" fontId="2" fillId="6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4" fontId="0" fillId="6" borderId="3" xfId="0" applyNumberFormat="1" applyFill="1" applyBorder="1" applyAlignment="1">
      <alignment horizontal="center"/>
    </xf>
    <xf numFmtId="4" fontId="1" fillId="6" borderId="3" xfId="0" applyNumberFormat="1" applyFont="1" applyFill="1" applyBorder="1" applyAlignment="1">
      <alignment horizontal="center"/>
    </xf>
    <xf numFmtId="165" fontId="0" fillId="6" borderId="3" xfId="0" applyNumberForma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0" fillId="6" borderId="0" xfId="0" applyFill="1"/>
    <xf numFmtId="4" fontId="0" fillId="6" borderId="0" xfId="0" applyNumberFormat="1" applyFill="1" applyAlignment="1">
      <alignment horizontal="center"/>
    </xf>
    <xf numFmtId="165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0" fontId="7" fillId="3" borderId="13" xfId="0" applyNumberFormat="1" applyFont="1" applyFill="1" applyBorder="1" applyAlignment="1">
      <alignment horizontal="center"/>
    </xf>
    <xf numFmtId="4" fontId="7" fillId="4" borderId="13" xfId="0" applyNumberFormat="1" applyFont="1" applyFill="1" applyBorder="1" applyAlignment="1">
      <alignment horizontal="center"/>
    </xf>
    <xf numFmtId="4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7" fillId="0" borderId="0" xfId="0" applyFont="1"/>
    <xf numFmtId="0" fontId="8" fillId="6" borderId="13" xfId="0" applyFont="1" applyFill="1" applyBorder="1"/>
    <xf numFmtId="0" fontId="6" fillId="6" borderId="20" xfId="0" applyFont="1" applyFill="1" applyBorder="1" applyAlignment="1">
      <alignment horizontal="center"/>
    </xf>
    <xf numFmtId="0" fontId="8" fillId="6" borderId="18" xfId="0" applyFont="1" applyFill="1" applyBorder="1"/>
    <xf numFmtId="4" fontId="8" fillId="6" borderId="18" xfId="0" applyNumberFormat="1" applyFont="1" applyFill="1" applyBorder="1" applyAlignment="1">
      <alignment horizontal="left"/>
    </xf>
    <xf numFmtId="4" fontId="7" fillId="3" borderId="18" xfId="0" applyNumberFormat="1" applyFont="1" applyFill="1" applyBorder="1" applyAlignment="1">
      <alignment horizontal="center"/>
    </xf>
    <xf numFmtId="10" fontId="7" fillId="3" borderId="18" xfId="0" applyNumberFormat="1" applyFont="1" applyFill="1" applyBorder="1" applyAlignment="1">
      <alignment horizontal="center"/>
    </xf>
    <xf numFmtId="4" fontId="7" fillId="4" borderId="18" xfId="0" applyNumberFormat="1" applyFont="1" applyFill="1" applyBorder="1" applyAlignment="1">
      <alignment horizontal="center"/>
    </xf>
    <xf numFmtId="10" fontId="7" fillId="4" borderId="19" xfId="0" applyNumberFormat="1" applyFont="1" applyFill="1" applyBorder="1" applyAlignment="1">
      <alignment horizontal="center"/>
    </xf>
    <xf numFmtId="4" fontId="7" fillId="5" borderId="19" xfId="0" applyNumberFormat="1" applyFont="1" applyFill="1" applyBorder="1" applyAlignment="1">
      <alignment horizontal="center"/>
    </xf>
    <xf numFmtId="10" fontId="7" fillId="3" borderId="21" xfId="0" applyNumberFormat="1" applyFont="1" applyFill="1" applyBorder="1" applyAlignment="1">
      <alignment horizontal="center"/>
    </xf>
    <xf numFmtId="4" fontId="7" fillId="4" borderId="21" xfId="0" applyNumberFormat="1" applyFont="1" applyFill="1" applyBorder="1" applyAlignment="1">
      <alignment horizontal="center"/>
    </xf>
    <xf numFmtId="0" fontId="8" fillId="6" borderId="21" xfId="0" applyFont="1" applyFill="1" applyBorder="1"/>
    <xf numFmtId="4" fontId="8" fillId="6" borderId="21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8" fillId="6" borderId="7" xfId="0" applyFont="1" applyFill="1" applyBorder="1"/>
    <xf numFmtId="4" fontId="8" fillId="6" borderId="7" xfId="0" applyNumberFormat="1" applyFont="1" applyFill="1" applyBorder="1" applyAlignment="1">
      <alignment horizontal="left"/>
    </xf>
    <xf numFmtId="4" fontId="8" fillId="6" borderId="7" xfId="0" applyNumberFormat="1" applyFont="1" applyFill="1" applyBorder="1" applyAlignment="1">
      <alignment horizontal="center"/>
    </xf>
    <xf numFmtId="165" fontId="8" fillId="6" borderId="7" xfId="0" applyNumberFormat="1" applyFont="1" applyFill="1" applyBorder="1" applyAlignment="1">
      <alignment horizontal="center"/>
    </xf>
    <xf numFmtId="4" fontId="7" fillId="3" borderId="7" xfId="0" applyNumberFormat="1" applyFont="1" applyFill="1" applyBorder="1" applyAlignment="1">
      <alignment horizontal="center"/>
    </xf>
    <xf numFmtId="10" fontId="7" fillId="3" borderId="7" xfId="0" applyNumberFormat="1" applyFont="1" applyFill="1" applyBorder="1" applyAlignment="1">
      <alignment horizontal="center"/>
    </xf>
    <xf numFmtId="4" fontId="7" fillId="4" borderId="7" xfId="0" applyNumberFormat="1" applyFont="1" applyFill="1" applyBorder="1" applyAlignment="1">
      <alignment horizontal="center"/>
    </xf>
    <xf numFmtId="10" fontId="7" fillId="4" borderId="7" xfId="0" applyNumberFormat="1" applyFont="1" applyFill="1" applyBorder="1" applyAlignment="1">
      <alignment horizontal="center"/>
    </xf>
    <xf numFmtId="4" fontId="0" fillId="6" borderId="7" xfId="0" applyNumberFormat="1" applyFill="1" applyBorder="1" applyAlignment="1">
      <alignment horizontal="center"/>
    </xf>
    <xf numFmtId="4" fontId="0" fillId="3" borderId="7" xfId="0" applyNumberFormat="1" applyFill="1" applyBorder="1" applyAlignment="1">
      <alignment horizontal="center"/>
    </xf>
    <xf numFmtId="4" fontId="2" fillId="3" borderId="7" xfId="0" applyNumberFormat="1" applyFont="1" applyFill="1" applyBorder="1" applyAlignment="1">
      <alignment horizontal="center"/>
    </xf>
    <xf numFmtId="4" fontId="0" fillId="4" borderId="7" xfId="0" applyNumberFormat="1" applyFill="1" applyBorder="1" applyAlignment="1">
      <alignment horizontal="center"/>
    </xf>
    <xf numFmtId="4" fontId="2" fillId="4" borderId="7" xfId="0" applyNumberFormat="1" applyFont="1" applyFill="1" applyBorder="1" applyAlignment="1">
      <alignment horizontal="center"/>
    </xf>
    <xf numFmtId="0" fontId="0" fillId="0" borderId="7" xfId="0" applyBorder="1"/>
    <xf numFmtId="4" fontId="8" fillId="6" borderId="7" xfId="0" applyNumberFormat="1" applyFont="1" applyFill="1" applyBorder="1"/>
    <xf numFmtId="4" fontId="2" fillId="4" borderId="3" xfId="0" applyNumberFormat="1" applyFon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4" fontId="7" fillId="5" borderId="7" xfId="0" applyNumberFormat="1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0" fontId="0" fillId="3" borderId="7" xfId="0" applyNumberFormat="1" applyFill="1" applyBorder="1" applyAlignment="1">
      <alignment horizontal="center"/>
    </xf>
    <xf numFmtId="4" fontId="1" fillId="4" borderId="7" xfId="0" applyNumberFormat="1" applyFont="1" applyFill="1" applyBorder="1" applyAlignment="1">
      <alignment horizontal="center"/>
    </xf>
    <xf numFmtId="10" fontId="0" fillId="4" borderId="7" xfId="0" applyNumberFormat="1" applyFill="1" applyBorder="1" applyAlignment="1">
      <alignment horizontal="center"/>
    </xf>
    <xf numFmtId="4" fontId="0" fillId="5" borderId="7" xfId="0" applyNumberFormat="1" applyFill="1" applyBorder="1" applyAlignment="1">
      <alignment horizontal="center"/>
    </xf>
    <xf numFmtId="4" fontId="7" fillId="5" borderId="27" xfId="0" applyNumberFormat="1" applyFont="1" applyFill="1" applyBorder="1" applyAlignment="1">
      <alignment horizontal="center"/>
    </xf>
    <xf numFmtId="0" fontId="6" fillId="6" borderId="27" xfId="0" applyFont="1" applyFill="1" applyBorder="1" applyAlignment="1">
      <alignment horizontal="center"/>
    </xf>
    <xf numFmtId="4" fontId="8" fillId="6" borderId="27" xfId="0" applyNumberFormat="1" applyFont="1" applyFill="1" applyBorder="1" applyAlignment="1">
      <alignment horizontal="center"/>
    </xf>
    <xf numFmtId="10" fontId="7" fillId="3" borderId="27" xfId="0" applyNumberFormat="1" applyFont="1" applyFill="1" applyBorder="1" applyAlignment="1">
      <alignment horizontal="center"/>
    </xf>
    <xf numFmtId="4" fontId="0" fillId="4" borderId="27" xfId="0" applyNumberFormat="1" applyFill="1" applyBorder="1" applyAlignment="1">
      <alignment horizontal="center"/>
    </xf>
    <xf numFmtId="10" fontId="7" fillId="4" borderId="27" xfId="0" applyNumberFormat="1" applyFont="1" applyFill="1" applyBorder="1" applyAlignment="1">
      <alignment horizontal="center"/>
    </xf>
    <xf numFmtId="0" fontId="6" fillId="6" borderId="29" xfId="0" applyFont="1" applyFill="1" applyBorder="1" applyAlignment="1">
      <alignment horizontal="center"/>
    </xf>
    <xf numFmtId="0" fontId="8" fillId="6" borderId="29" xfId="0" applyFont="1" applyFill="1" applyBorder="1"/>
    <xf numFmtId="4" fontId="8" fillId="6" borderId="29" xfId="0" applyNumberFormat="1" applyFont="1" applyFill="1" applyBorder="1" applyAlignment="1">
      <alignment horizontal="left"/>
    </xf>
    <xf numFmtId="4" fontId="8" fillId="6" borderId="29" xfId="0" applyNumberFormat="1" applyFont="1" applyFill="1" applyBorder="1" applyAlignment="1">
      <alignment horizontal="center"/>
    </xf>
    <xf numFmtId="165" fontId="8" fillId="6" borderId="29" xfId="0" applyNumberFormat="1" applyFont="1" applyFill="1" applyBorder="1" applyAlignment="1">
      <alignment horizontal="center"/>
    </xf>
    <xf numFmtId="4" fontId="0" fillId="3" borderId="29" xfId="0" applyNumberFormat="1" applyFill="1" applyBorder="1" applyAlignment="1">
      <alignment horizontal="center"/>
    </xf>
    <xf numFmtId="10" fontId="7" fillId="3" borderId="29" xfId="0" applyNumberFormat="1" applyFont="1" applyFill="1" applyBorder="1" applyAlignment="1">
      <alignment horizontal="center"/>
    </xf>
    <xf numFmtId="4" fontId="2" fillId="4" borderId="29" xfId="0" applyNumberFormat="1" applyFont="1" applyFill="1" applyBorder="1" applyAlignment="1">
      <alignment horizontal="center"/>
    </xf>
    <xf numFmtId="4" fontId="0" fillId="4" borderId="29" xfId="0" applyNumberFormat="1" applyFill="1" applyBorder="1" applyAlignment="1">
      <alignment horizontal="center"/>
    </xf>
    <xf numFmtId="10" fontId="7" fillId="4" borderId="29" xfId="0" applyNumberFormat="1" applyFont="1" applyFill="1" applyBorder="1" applyAlignment="1">
      <alignment horizontal="center"/>
    </xf>
    <xf numFmtId="165" fontId="8" fillId="6" borderId="21" xfId="0" applyNumberFormat="1" applyFont="1" applyFill="1" applyBorder="1" applyAlignment="1">
      <alignment horizontal="center"/>
    </xf>
    <xf numFmtId="4" fontId="7" fillId="6" borderId="0" xfId="0" applyNumberFormat="1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0" fontId="7" fillId="6" borderId="0" xfId="0" applyFont="1" applyFill="1"/>
    <xf numFmtId="4" fontId="7" fillId="8" borderId="7" xfId="0" applyNumberFormat="1" applyFont="1" applyFill="1" applyBorder="1" applyAlignment="1">
      <alignment horizontal="center"/>
    </xf>
    <xf numFmtId="10" fontId="7" fillId="8" borderId="7" xfId="0" applyNumberFormat="1" applyFont="1" applyFill="1" applyBorder="1" applyAlignment="1">
      <alignment horizontal="center"/>
    </xf>
    <xf numFmtId="4" fontId="7" fillId="9" borderId="7" xfId="0" applyNumberFormat="1" applyFont="1" applyFill="1" applyBorder="1" applyAlignment="1">
      <alignment horizontal="center"/>
    </xf>
    <xf numFmtId="10" fontId="7" fillId="9" borderId="7" xfId="0" applyNumberFormat="1" applyFont="1" applyFill="1" applyBorder="1" applyAlignment="1">
      <alignment horizontal="center"/>
    </xf>
    <xf numFmtId="4" fontId="7" fillId="10" borderId="7" xfId="0" applyNumberFormat="1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4" fontId="7" fillId="5" borderId="32" xfId="0" applyNumberFormat="1" applyFont="1" applyFill="1" applyBorder="1" applyAlignment="1">
      <alignment horizontal="center"/>
    </xf>
    <xf numFmtId="4" fontId="0" fillId="0" borderId="33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0" fontId="0" fillId="0" borderId="33" xfId="0" applyBorder="1"/>
    <xf numFmtId="4" fontId="0" fillId="0" borderId="35" xfId="0" applyNumberFormat="1" applyBorder="1" applyAlignment="1">
      <alignment horizontal="center"/>
    </xf>
    <xf numFmtId="0" fontId="6" fillId="6" borderId="36" xfId="0" applyFont="1" applyFill="1" applyBorder="1" applyAlignment="1">
      <alignment horizontal="center"/>
    </xf>
    <xf numFmtId="4" fontId="7" fillId="10" borderId="27" xfId="0" applyNumberFormat="1" applyFont="1" applyFill="1" applyBorder="1" applyAlignment="1">
      <alignment horizontal="center"/>
    </xf>
    <xf numFmtId="4" fontId="7" fillId="8" borderId="15" xfId="0" applyNumberFormat="1" applyFont="1" applyFill="1" applyBorder="1" applyAlignment="1">
      <alignment horizontal="center"/>
    </xf>
    <xf numFmtId="0" fontId="8" fillId="6" borderId="25" xfId="0" applyFont="1" applyFill="1" applyBorder="1"/>
    <xf numFmtId="4" fontId="8" fillId="6" borderId="25" xfId="0" applyNumberFormat="1" applyFont="1" applyFill="1" applyBorder="1" applyAlignment="1">
      <alignment horizontal="left"/>
    </xf>
    <xf numFmtId="4" fontId="7" fillId="0" borderId="38" xfId="0" applyNumberFormat="1" applyFont="1" applyBorder="1" applyAlignment="1">
      <alignment horizontal="center"/>
    </xf>
    <xf numFmtId="4" fontId="1" fillId="6" borderId="7" xfId="0" applyNumberFormat="1" applyFont="1" applyFill="1" applyBorder="1" applyAlignment="1">
      <alignment horizontal="center"/>
    </xf>
    <xf numFmtId="4" fontId="2" fillId="3" borderId="39" xfId="0" applyNumberFormat="1" applyFont="1" applyFill="1" applyBorder="1" applyAlignment="1">
      <alignment horizontal="center"/>
    </xf>
    <xf numFmtId="4" fontId="2" fillId="3" borderId="36" xfId="0" applyNumberFormat="1" applyFont="1" applyFill="1" applyBorder="1" applyAlignment="1">
      <alignment horizontal="center"/>
    </xf>
    <xf numFmtId="4" fontId="2" fillId="3" borderId="37" xfId="0" applyNumberFormat="1" applyFont="1" applyFill="1" applyBorder="1" applyAlignment="1">
      <alignment horizontal="center"/>
    </xf>
    <xf numFmtId="0" fontId="6" fillId="6" borderId="41" xfId="0" applyFont="1" applyFill="1" applyBorder="1" applyAlignment="1">
      <alignment horizontal="center"/>
    </xf>
    <xf numFmtId="0" fontId="6" fillId="6" borderId="42" xfId="0" applyFont="1" applyFill="1" applyBorder="1" applyAlignment="1">
      <alignment horizontal="center"/>
    </xf>
    <xf numFmtId="4" fontId="7" fillId="6" borderId="40" xfId="0" applyNumberFormat="1" applyFont="1" applyFill="1" applyBorder="1" applyAlignment="1">
      <alignment horizontal="center"/>
    </xf>
    <xf numFmtId="165" fontId="7" fillId="6" borderId="40" xfId="0" applyNumberFormat="1" applyFont="1" applyFill="1" applyBorder="1" applyAlignment="1">
      <alignment horizontal="center"/>
    </xf>
    <xf numFmtId="0" fontId="6" fillId="6" borderId="40" xfId="0" applyFont="1" applyFill="1" applyBorder="1" applyAlignment="1">
      <alignment horizontal="center"/>
    </xf>
    <xf numFmtId="4" fontId="2" fillId="3" borderId="43" xfId="0" applyNumberFormat="1" applyFont="1" applyFill="1" applyBorder="1" applyAlignment="1">
      <alignment horizontal="center"/>
    </xf>
    <xf numFmtId="4" fontId="11" fillId="0" borderId="7" xfId="0" applyNumberFormat="1" applyFont="1" applyBorder="1" applyAlignment="1">
      <alignment horizontal="center"/>
    </xf>
    <xf numFmtId="43" fontId="0" fillId="8" borderId="0" xfId="1" applyFont="1" applyFill="1" applyAlignment="1">
      <alignment horizontal="center"/>
    </xf>
    <xf numFmtId="43" fontId="0" fillId="9" borderId="0" xfId="1" applyFont="1" applyFill="1" applyAlignment="1">
      <alignment horizontal="center"/>
    </xf>
    <xf numFmtId="10" fontId="7" fillId="6" borderId="7" xfId="0" applyNumberFormat="1" applyFont="1" applyFill="1" applyBorder="1" applyAlignment="1">
      <alignment horizontal="center"/>
    </xf>
    <xf numFmtId="4" fontId="0" fillId="6" borderId="26" xfId="0" applyNumberFormat="1" applyFill="1" applyBorder="1" applyAlignment="1">
      <alignment horizontal="center"/>
    </xf>
    <xf numFmtId="3" fontId="0" fillId="6" borderId="0" xfId="0" applyNumberFormat="1" applyFill="1" applyAlignment="1">
      <alignment horizontal="center"/>
    </xf>
    <xf numFmtId="0" fontId="0" fillId="6" borderId="7" xfId="0" applyFill="1" applyBorder="1"/>
    <xf numFmtId="4" fontId="0" fillId="8" borderId="7" xfId="0" applyNumberFormat="1" applyFill="1" applyBorder="1" applyAlignment="1">
      <alignment horizontal="center"/>
    </xf>
    <xf numFmtId="4" fontId="2" fillId="8" borderId="36" xfId="0" applyNumberFormat="1" applyFont="1" applyFill="1" applyBorder="1" applyAlignment="1">
      <alignment horizontal="center"/>
    </xf>
    <xf numFmtId="4" fontId="2" fillId="9" borderId="7" xfId="0" applyNumberFormat="1" applyFont="1" applyFill="1" applyBorder="1" applyAlignment="1">
      <alignment horizontal="center"/>
    </xf>
    <xf numFmtId="4" fontId="0" fillId="9" borderId="7" xfId="0" applyNumberFormat="1" applyFill="1" applyBorder="1" applyAlignment="1">
      <alignment horizontal="center"/>
    </xf>
    <xf numFmtId="4" fontId="7" fillId="8" borderId="18" xfId="0" applyNumberFormat="1" applyFont="1" applyFill="1" applyBorder="1" applyAlignment="1">
      <alignment horizontal="center"/>
    </xf>
    <xf numFmtId="4" fontId="8" fillId="6" borderId="18" xfId="0" applyNumberFormat="1" applyFont="1" applyFill="1" applyBorder="1" applyAlignment="1">
      <alignment horizontal="center"/>
    </xf>
    <xf numFmtId="4" fontId="7" fillId="9" borderId="13" xfId="0" applyNumberFormat="1" applyFont="1" applyFill="1" applyBorder="1" applyAlignment="1">
      <alignment horizontal="center"/>
    </xf>
    <xf numFmtId="4" fontId="7" fillId="9" borderId="21" xfId="0" applyNumberFormat="1" applyFont="1" applyFill="1" applyBorder="1" applyAlignment="1">
      <alignment horizontal="center"/>
    </xf>
    <xf numFmtId="4" fontId="8" fillId="6" borderId="13" xfId="0" applyNumberFormat="1" applyFont="1" applyFill="1" applyBorder="1" applyAlignment="1">
      <alignment horizontal="center"/>
    </xf>
    <xf numFmtId="165" fontId="8" fillId="6" borderId="18" xfId="0" applyNumberFormat="1" applyFont="1" applyFill="1" applyBorder="1" applyAlignment="1">
      <alignment horizontal="center"/>
    </xf>
    <xf numFmtId="165" fontId="8" fillId="6" borderId="13" xfId="0" applyNumberFormat="1" applyFont="1" applyFill="1" applyBorder="1" applyAlignment="1">
      <alignment horizontal="center"/>
    </xf>
    <xf numFmtId="4" fontId="0" fillId="8" borderId="13" xfId="0" applyNumberFormat="1" applyFill="1" applyBorder="1" applyAlignment="1">
      <alignment horizontal="center"/>
    </xf>
    <xf numFmtId="4" fontId="0" fillId="9" borderId="13" xfId="0" applyNumberFormat="1" applyFill="1" applyBorder="1" applyAlignment="1">
      <alignment horizontal="center"/>
    </xf>
    <xf numFmtId="4" fontId="2" fillId="3" borderId="21" xfId="0" applyNumberFormat="1" applyFont="1" applyFill="1" applyBorder="1" applyAlignment="1">
      <alignment horizontal="center"/>
    </xf>
    <xf numFmtId="4" fontId="1" fillId="6" borderId="43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4" fontId="8" fillId="6" borderId="0" xfId="0" applyNumberFormat="1" applyFont="1" applyFill="1" applyAlignment="1">
      <alignment horizontal="center"/>
    </xf>
    <xf numFmtId="4" fontId="8" fillId="0" borderId="0" xfId="0" applyNumberFormat="1" applyFont="1" applyAlignment="1">
      <alignment horizontal="center"/>
    </xf>
    <xf numFmtId="0" fontId="1" fillId="6" borderId="48" xfId="0" applyFont="1" applyFill="1" applyBorder="1" applyAlignment="1">
      <alignment horizontal="center"/>
    </xf>
    <xf numFmtId="4" fontId="2" fillId="3" borderId="25" xfId="0" applyNumberFormat="1" applyFont="1" applyFill="1" applyBorder="1" applyAlignment="1">
      <alignment horizontal="center"/>
    </xf>
    <xf numFmtId="10" fontId="7" fillId="3" borderId="25" xfId="0" applyNumberFormat="1" applyFont="1" applyFill="1" applyBorder="1" applyAlignment="1">
      <alignment horizontal="center"/>
    </xf>
    <xf numFmtId="4" fontId="7" fillId="4" borderId="25" xfId="0" applyNumberFormat="1" applyFont="1" applyFill="1" applyBorder="1" applyAlignment="1">
      <alignment horizontal="center"/>
    </xf>
    <xf numFmtId="0" fontId="6" fillId="11" borderId="27" xfId="0" applyFont="1" applyFill="1" applyBorder="1" applyAlignment="1">
      <alignment horizontal="center"/>
    </xf>
    <xf numFmtId="0" fontId="6" fillId="11" borderId="36" xfId="0" applyFont="1" applyFill="1" applyBorder="1" applyAlignment="1">
      <alignment horizontal="center"/>
    </xf>
    <xf numFmtId="0" fontId="8" fillId="11" borderId="7" xfId="0" applyFont="1" applyFill="1" applyBorder="1"/>
    <xf numFmtId="4" fontId="8" fillId="11" borderId="7" xfId="0" applyNumberFormat="1" applyFont="1" applyFill="1" applyBorder="1" applyAlignment="1">
      <alignment horizontal="left"/>
    </xf>
    <xf numFmtId="4" fontId="2" fillId="11" borderId="7" xfId="0" applyNumberFormat="1" applyFont="1" applyFill="1" applyBorder="1" applyAlignment="1">
      <alignment horizontal="center"/>
    </xf>
    <xf numFmtId="4" fontId="8" fillId="11" borderId="7" xfId="0" applyNumberFormat="1" applyFont="1" applyFill="1" applyBorder="1" applyAlignment="1">
      <alignment horizontal="center"/>
    </xf>
    <xf numFmtId="165" fontId="8" fillId="11" borderId="7" xfId="0" applyNumberFormat="1" applyFont="1" applyFill="1" applyBorder="1" applyAlignment="1">
      <alignment horizontal="center"/>
    </xf>
    <xf numFmtId="4" fontId="1" fillId="11" borderId="7" xfId="0" applyNumberFormat="1" applyFont="1" applyFill="1" applyBorder="1" applyAlignment="1">
      <alignment horizontal="center"/>
    </xf>
    <xf numFmtId="4" fontId="2" fillId="11" borderId="36" xfId="0" applyNumberFormat="1" applyFont="1" applyFill="1" applyBorder="1" applyAlignment="1">
      <alignment horizontal="center"/>
    </xf>
    <xf numFmtId="4" fontId="0" fillId="11" borderId="7" xfId="0" applyNumberFormat="1" applyFill="1" applyBorder="1" applyAlignment="1">
      <alignment horizontal="center"/>
    </xf>
    <xf numFmtId="10" fontId="7" fillId="11" borderId="7" xfId="0" applyNumberFormat="1" applyFont="1" applyFill="1" applyBorder="1" applyAlignment="1">
      <alignment horizontal="center"/>
    </xf>
    <xf numFmtId="4" fontId="7" fillId="11" borderId="7" xfId="0" applyNumberFormat="1" applyFont="1" applyFill="1" applyBorder="1" applyAlignment="1">
      <alignment horizontal="center"/>
    </xf>
    <xf numFmtId="4" fontId="0" fillId="11" borderId="0" xfId="0" applyNumberFormat="1" applyFill="1" applyAlignment="1">
      <alignment horizontal="center"/>
    </xf>
    <xf numFmtId="3" fontId="0" fillId="11" borderId="0" xfId="0" applyNumberFormat="1" applyFill="1" applyAlignment="1">
      <alignment horizontal="center"/>
    </xf>
    <xf numFmtId="0" fontId="0" fillId="11" borderId="0" xfId="0" applyFill="1"/>
    <xf numFmtId="4" fontId="8" fillId="11" borderId="7" xfId="0" applyNumberFormat="1" applyFont="1" applyFill="1" applyBorder="1"/>
    <xf numFmtId="0" fontId="0" fillId="11" borderId="7" xfId="0" applyFill="1" applyBorder="1"/>
    <xf numFmtId="0" fontId="6" fillId="11" borderId="7" xfId="0" applyFont="1" applyFill="1" applyBorder="1" applyAlignment="1">
      <alignment horizontal="center"/>
    </xf>
    <xf numFmtId="4" fontId="2" fillId="10" borderId="5" xfId="0" applyNumberFormat="1" applyFont="1" applyFill="1" applyBorder="1" applyAlignment="1">
      <alignment horizontal="center"/>
    </xf>
    <xf numFmtId="4" fontId="1" fillId="10" borderId="6" xfId="0" applyNumberFormat="1" applyFont="1" applyFill="1" applyBorder="1" applyAlignment="1">
      <alignment horizontal="center"/>
    </xf>
    <xf numFmtId="4" fontId="7" fillId="10" borderId="19" xfId="0" applyNumberFormat="1" applyFont="1" applyFill="1" applyBorder="1" applyAlignment="1">
      <alignment horizontal="center"/>
    </xf>
    <xf numFmtId="4" fontId="0" fillId="10" borderId="24" xfId="0" applyNumberFormat="1" applyFill="1" applyBorder="1" applyAlignment="1">
      <alignment horizontal="center"/>
    </xf>
    <xf numFmtId="4" fontId="10" fillId="10" borderId="40" xfId="0" applyNumberFormat="1" applyFont="1" applyFill="1" applyBorder="1" applyAlignment="1">
      <alignment horizontal="center"/>
    </xf>
    <xf numFmtId="4" fontId="2" fillId="10" borderId="7" xfId="0" applyNumberFormat="1" applyFont="1" applyFill="1" applyBorder="1" applyAlignment="1">
      <alignment horizontal="center"/>
    </xf>
    <xf numFmtId="4" fontId="2" fillId="10" borderId="29" xfId="0" applyNumberFormat="1" applyFont="1" applyFill="1" applyBorder="1" applyAlignment="1">
      <alignment horizontal="center"/>
    </xf>
    <xf numFmtId="10" fontId="7" fillId="11" borderId="27" xfId="0" applyNumberFormat="1" applyFont="1" applyFill="1" applyBorder="1" applyAlignment="1">
      <alignment horizontal="center"/>
    </xf>
    <xf numFmtId="4" fontId="0" fillId="11" borderId="27" xfId="0" applyNumberFormat="1" applyFill="1" applyBorder="1" applyAlignment="1">
      <alignment horizontal="center"/>
    </xf>
    <xf numFmtId="4" fontId="7" fillId="11" borderId="27" xfId="0" applyNumberFormat="1" applyFont="1" applyFill="1" applyBorder="1" applyAlignment="1">
      <alignment horizontal="center"/>
    </xf>
    <xf numFmtId="4" fontId="2" fillId="11" borderId="43" xfId="0" applyNumberFormat="1" applyFont="1" applyFill="1" applyBorder="1" applyAlignment="1">
      <alignment horizontal="center"/>
    </xf>
    <xf numFmtId="9" fontId="0" fillId="6" borderId="0" xfId="3" applyFont="1" applyFill="1" applyAlignment="1">
      <alignment horizontal="center"/>
    </xf>
    <xf numFmtId="9" fontId="7" fillId="6" borderId="0" xfId="3" applyFont="1" applyFill="1" applyAlignment="1">
      <alignment horizontal="center"/>
    </xf>
    <xf numFmtId="9" fontId="0" fillId="0" borderId="0" xfId="3" applyFont="1" applyAlignment="1">
      <alignment horizontal="center"/>
    </xf>
    <xf numFmtId="4" fontId="8" fillId="11" borderId="26" xfId="0" applyNumberFormat="1" applyFont="1" applyFill="1" applyBorder="1" applyAlignment="1">
      <alignment horizontal="center"/>
    </xf>
    <xf numFmtId="4" fontId="8" fillId="6" borderId="26" xfId="0" applyNumberFormat="1" applyFont="1" applyFill="1" applyBorder="1" applyAlignment="1">
      <alignment horizontal="center"/>
    </xf>
    <xf numFmtId="4" fontId="8" fillId="0" borderId="26" xfId="0" applyNumberFormat="1" applyFont="1" applyBorder="1" applyAlignment="1">
      <alignment horizontal="center"/>
    </xf>
    <xf numFmtId="4" fontId="0" fillId="0" borderId="26" xfId="0" applyNumberFormat="1" applyBorder="1" applyAlignment="1">
      <alignment horizontal="center"/>
    </xf>
    <xf numFmtId="4" fontId="0" fillId="0" borderId="32" xfId="0" applyNumberFormat="1" applyBorder="1" applyAlignment="1">
      <alignment horizontal="center"/>
    </xf>
    <xf numFmtId="9" fontId="7" fillId="6" borderId="49" xfId="3" applyFont="1" applyFill="1" applyBorder="1" applyAlignment="1">
      <alignment horizontal="center"/>
    </xf>
    <xf numFmtId="9" fontId="0" fillId="6" borderId="49" xfId="3" applyFont="1" applyFill="1" applyBorder="1" applyAlignment="1">
      <alignment horizontal="center"/>
    </xf>
    <xf numFmtId="9" fontId="0" fillId="6" borderId="0" xfId="3" applyFont="1" applyFill="1" applyAlignment="1">
      <alignment horizontal="center" wrapText="1"/>
    </xf>
    <xf numFmtId="9" fontId="0" fillId="2" borderId="49" xfId="3" applyFont="1" applyFill="1" applyBorder="1" applyAlignment="1">
      <alignment horizontal="center"/>
    </xf>
    <xf numFmtId="9" fontId="0" fillId="6" borderId="1" xfId="3" applyFont="1" applyFill="1" applyBorder="1" applyAlignment="1">
      <alignment horizontal="center"/>
    </xf>
    <xf numFmtId="9" fontId="0" fillId="6" borderId="25" xfId="3" applyFont="1" applyFill="1" applyBorder="1" applyAlignment="1">
      <alignment horizontal="center" vertical="top" wrapText="1"/>
    </xf>
    <xf numFmtId="0" fontId="8" fillId="11" borderId="26" xfId="0" applyFont="1" applyFill="1" applyBorder="1" applyAlignment="1">
      <alignment horizontal="center"/>
    </xf>
    <xf numFmtId="4" fontId="8" fillId="6" borderId="32" xfId="0" applyNumberFormat="1" applyFont="1" applyFill="1" applyBorder="1" applyAlignment="1">
      <alignment horizontal="center"/>
    </xf>
    <xf numFmtId="4" fontId="8" fillId="11" borderId="28" xfId="0" applyNumberFormat="1" applyFont="1" applyFill="1" applyBorder="1" applyAlignment="1">
      <alignment horizontal="center"/>
    </xf>
    <xf numFmtId="9" fontId="0" fillId="0" borderId="49" xfId="3" applyFont="1" applyBorder="1" applyAlignment="1">
      <alignment horizontal="center" vertical="center"/>
    </xf>
    <xf numFmtId="4" fontId="0" fillId="6" borderId="5" xfId="0" applyNumberFormat="1" applyFill="1" applyBorder="1" applyAlignment="1">
      <alignment horizontal="center"/>
    </xf>
    <xf numFmtId="4" fontId="0" fillId="6" borderId="6" xfId="0" applyNumberFormat="1" applyFill="1" applyBorder="1" applyAlignment="1">
      <alignment horizontal="center" vertical="top" wrapText="1"/>
    </xf>
    <xf numFmtId="4" fontId="8" fillId="6" borderId="50" xfId="0" applyNumberFormat="1" applyFont="1" applyFill="1" applyBorder="1" applyAlignment="1">
      <alignment horizontal="center"/>
    </xf>
    <xf numFmtId="4" fontId="8" fillId="6" borderId="38" xfId="0" applyNumberFormat="1" applyFont="1" applyFill="1" applyBorder="1" applyAlignment="1">
      <alignment horizontal="center"/>
    </xf>
    <xf numFmtId="4" fontId="8" fillId="11" borderId="38" xfId="0" applyNumberFormat="1" applyFont="1" applyFill="1" applyBorder="1" applyAlignment="1">
      <alignment horizontal="center"/>
    </xf>
    <xf numFmtId="0" fontId="8" fillId="11" borderId="38" xfId="0" applyFont="1" applyFill="1" applyBorder="1" applyAlignment="1">
      <alignment horizontal="center"/>
    </xf>
    <xf numFmtId="4" fontId="8" fillId="6" borderId="33" xfId="0" applyNumberFormat="1" applyFont="1" applyFill="1" applyBorder="1" applyAlignment="1">
      <alignment horizontal="center"/>
    </xf>
    <xf numFmtId="4" fontId="8" fillId="11" borderId="30" xfId="0" applyNumberFormat="1" applyFont="1" applyFill="1" applyBorder="1" applyAlignment="1">
      <alignment horizontal="center"/>
    </xf>
    <xf numFmtId="4" fontId="0" fillId="6" borderId="38" xfId="0" applyNumberFormat="1" applyFill="1" applyBorder="1" applyAlignment="1">
      <alignment horizontal="center"/>
    </xf>
    <xf numFmtId="4" fontId="0" fillId="6" borderId="8" xfId="0" applyNumberFormat="1" applyFill="1" applyBorder="1" applyAlignment="1">
      <alignment horizontal="center"/>
    </xf>
    <xf numFmtId="4" fontId="9" fillId="6" borderId="10" xfId="0" applyNumberFormat="1" applyFont="1" applyFill="1" applyBorder="1" applyAlignment="1">
      <alignment horizontal="center"/>
    </xf>
    <xf numFmtId="4" fontId="7" fillId="6" borderId="17" xfId="0" applyNumberFormat="1" applyFont="1" applyFill="1" applyBorder="1" applyAlignment="1">
      <alignment horizontal="center"/>
    </xf>
    <xf numFmtId="4" fontId="7" fillId="6" borderId="51" xfId="0" applyNumberFormat="1" applyFont="1" applyFill="1" applyBorder="1" applyAlignment="1">
      <alignment horizontal="center"/>
    </xf>
    <xf numFmtId="4" fontId="2" fillId="6" borderId="10" xfId="0" applyNumberFormat="1" applyFont="1" applyFill="1" applyBorder="1" applyAlignment="1">
      <alignment horizontal="center"/>
    </xf>
    <xf numFmtId="4" fontId="7" fillId="6" borderId="23" xfId="0" applyNumberFormat="1" applyFont="1" applyFill="1" applyBorder="1" applyAlignment="1">
      <alignment horizontal="center"/>
    </xf>
    <xf numFmtId="4" fontId="2" fillId="6" borderId="51" xfId="0" applyNumberFormat="1" applyFont="1" applyFill="1" applyBorder="1" applyAlignment="1">
      <alignment horizontal="center"/>
    </xf>
    <xf numFmtId="4" fontId="2" fillId="11" borderId="51" xfId="0" applyNumberFormat="1" applyFont="1" applyFill="1" applyBorder="1" applyAlignment="1">
      <alignment horizontal="center"/>
    </xf>
    <xf numFmtId="4" fontId="2" fillId="6" borderId="31" xfId="0" applyNumberFormat="1" applyFont="1" applyFill="1" applyBorder="1" applyAlignment="1">
      <alignment horizontal="center"/>
    </xf>
    <xf numFmtId="4" fontId="0" fillId="6" borderId="52" xfId="0" applyNumberFormat="1" applyFill="1" applyBorder="1" applyAlignment="1">
      <alignment horizontal="center"/>
    </xf>
    <xf numFmtId="4" fontId="0" fillId="6" borderId="6" xfId="0" applyNumberFormat="1" applyFill="1" applyBorder="1" applyAlignment="1">
      <alignment horizontal="center"/>
    </xf>
    <xf numFmtId="4" fontId="8" fillId="6" borderId="19" xfId="0" applyNumberFormat="1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/>
    </xf>
    <xf numFmtId="9" fontId="0" fillId="0" borderId="54" xfId="3" applyFont="1" applyBorder="1" applyAlignment="1">
      <alignment horizontal="center" vertical="center"/>
    </xf>
    <xf numFmtId="9" fontId="0" fillId="6" borderId="54" xfId="3" applyFont="1" applyFill="1" applyBorder="1" applyAlignment="1">
      <alignment horizontal="center"/>
    </xf>
    <xf numFmtId="9" fontId="0" fillId="7" borderId="54" xfId="3" applyFont="1" applyFill="1" applyBorder="1" applyAlignment="1">
      <alignment horizontal="center" vertical="center"/>
    </xf>
    <xf numFmtId="9" fontId="0" fillId="7" borderId="49" xfId="3" applyFont="1" applyFill="1" applyBorder="1" applyAlignment="1">
      <alignment horizontal="center" vertical="center"/>
    </xf>
    <xf numFmtId="9" fontId="0" fillId="0" borderId="55" xfId="3" applyFont="1" applyBorder="1" applyAlignment="1">
      <alignment horizontal="center" vertical="center"/>
    </xf>
    <xf numFmtId="9" fontId="0" fillId="0" borderId="56" xfId="3" applyFont="1" applyBorder="1" applyAlignment="1">
      <alignment horizontal="center" vertical="center"/>
    </xf>
    <xf numFmtId="4" fontId="2" fillId="3" borderId="40" xfId="0" applyNumberFormat="1" applyFont="1" applyFill="1" applyBorder="1" applyAlignment="1">
      <alignment horizontal="center"/>
    </xf>
    <xf numFmtId="4" fontId="7" fillId="3" borderId="40" xfId="0" applyNumberFormat="1" applyFont="1" applyFill="1" applyBorder="1" applyAlignment="1">
      <alignment horizontal="center"/>
    </xf>
    <xf numFmtId="10" fontId="7" fillId="3" borderId="40" xfId="0" applyNumberFormat="1" applyFont="1" applyFill="1" applyBorder="1" applyAlignment="1">
      <alignment horizontal="center"/>
    </xf>
    <xf numFmtId="4" fontId="2" fillId="4" borderId="40" xfId="0" applyNumberFormat="1" applyFont="1" applyFill="1" applyBorder="1" applyAlignment="1">
      <alignment horizontal="center"/>
    </xf>
    <xf numFmtId="4" fontId="7" fillId="4" borderId="40" xfId="0" applyNumberFormat="1" applyFont="1" applyFill="1" applyBorder="1" applyAlignment="1">
      <alignment horizontal="center"/>
    </xf>
    <xf numFmtId="10" fontId="7" fillId="4" borderId="57" xfId="0" applyNumberFormat="1" applyFont="1" applyFill="1" applyBorder="1" applyAlignment="1">
      <alignment horizontal="center"/>
    </xf>
    <xf numFmtId="4" fontId="7" fillId="5" borderId="57" xfId="0" applyNumberFormat="1" applyFont="1" applyFill="1" applyBorder="1" applyAlignment="1">
      <alignment horizontal="center"/>
    </xf>
    <xf numFmtId="4" fontId="7" fillId="5" borderId="40" xfId="0" applyNumberFormat="1" applyFont="1" applyFill="1" applyBorder="1" applyAlignment="1">
      <alignment horizontal="center"/>
    </xf>
    <xf numFmtId="4" fontId="11" fillId="0" borderId="24" xfId="0" applyNumberFormat="1" applyFont="1" applyBorder="1" applyAlignment="1">
      <alignment horizontal="center"/>
    </xf>
    <xf numFmtId="9" fontId="7" fillId="6" borderId="56" xfId="3" applyFont="1" applyFill="1" applyBorder="1" applyAlignment="1">
      <alignment horizontal="center"/>
    </xf>
    <xf numFmtId="0" fontId="1" fillId="11" borderId="43" xfId="0" applyFont="1" applyFill="1" applyBorder="1" applyAlignment="1">
      <alignment horizontal="center"/>
    </xf>
    <xf numFmtId="0" fontId="1" fillId="11" borderId="46" xfId="0" applyFont="1" applyFill="1" applyBorder="1" applyAlignment="1">
      <alignment horizontal="center"/>
    </xf>
    <xf numFmtId="0" fontId="8" fillId="11" borderId="25" xfId="0" applyFont="1" applyFill="1" applyBorder="1"/>
    <xf numFmtId="4" fontId="8" fillId="11" borderId="25" xfId="0" applyNumberFormat="1" applyFont="1" applyFill="1" applyBorder="1" applyAlignment="1">
      <alignment horizontal="left"/>
    </xf>
    <xf numFmtId="4" fontId="8" fillId="11" borderId="24" xfId="0" applyNumberFormat="1" applyFont="1" applyFill="1" applyBorder="1" applyAlignment="1">
      <alignment horizontal="center"/>
    </xf>
    <xf numFmtId="4" fontId="8" fillId="11" borderId="0" xfId="0" applyNumberFormat="1" applyFont="1" applyFill="1" applyAlignment="1">
      <alignment horizontal="center"/>
    </xf>
    <xf numFmtId="4" fontId="8" fillId="11" borderId="48" xfId="0" applyNumberFormat="1" applyFont="1" applyFill="1" applyBorder="1" applyAlignment="1">
      <alignment horizontal="center"/>
    </xf>
    <xf numFmtId="9" fontId="0" fillId="0" borderId="58" xfId="3" applyFont="1" applyBorder="1" applyAlignment="1">
      <alignment horizontal="center" vertical="center"/>
    </xf>
    <xf numFmtId="9" fontId="0" fillId="0" borderId="59" xfId="3" applyFont="1" applyBorder="1" applyAlignment="1">
      <alignment horizontal="center" vertical="center"/>
    </xf>
    <xf numFmtId="4" fontId="8" fillId="11" borderId="25" xfId="0" applyNumberFormat="1" applyFont="1" applyFill="1" applyBorder="1" applyAlignment="1">
      <alignment horizontal="center"/>
    </xf>
    <xf numFmtId="165" fontId="8" fillId="11" borderId="25" xfId="0" applyNumberFormat="1" applyFont="1" applyFill="1" applyBorder="1" applyAlignment="1">
      <alignment horizontal="center"/>
    </xf>
    <xf numFmtId="4" fontId="1" fillId="11" borderId="43" xfId="0" applyNumberFormat="1" applyFont="1" applyFill="1" applyBorder="1" applyAlignment="1">
      <alignment horizontal="center"/>
    </xf>
    <xf numFmtId="4" fontId="0" fillId="11" borderId="25" xfId="0" applyNumberFormat="1" applyFill="1" applyBorder="1" applyAlignment="1">
      <alignment horizontal="center"/>
    </xf>
    <xf numFmtId="10" fontId="0" fillId="11" borderId="24" xfId="0" applyNumberFormat="1" applyFill="1" applyBorder="1" applyAlignment="1">
      <alignment horizontal="center"/>
    </xf>
    <xf numFmtId="4" fontId="0" fillId="11" borderId="24" xfId="0" applyNumberFormat="1" applyFill="1" applyBorder="1" applyAlignment="1">
      <alignment horizontal="center"/>
    </xf>
    <xf numFmtId="4" fontId="13" fillId="6" borderId="26" xfId="0" applyNumberFormat="1" applyFont="1" applyFill="1" applyBorder="1" applyAlignment="1">
      <alignment horizontal="center"/>
    </xf>
    <xf numFmtId="4" fontId="13" fillId="6" borderId="38" xfId="0" applyNumberFormat="1" applyFont="1" applyFill="1" applyBorder="1" applyAlignment="1">
      <alignment horizontal="center"/>
    </xf>
    <xf numFmtId="9" fontId="0" fillId="0" borderId="60" xfId="3" applyFont="1" applyBorder="1" applyAlignment="1">
      <alignment horizontal="center" vertical="center"/>
    </xf>
    <xf numFmtId="9" fontId="0" fillId="0" borderId="61" xfId="3" applyFont="1" applyBorder="1" applyAlignment="1">
      <alignment horizontal="center" vertical="center"/>
    </xf>
    <xf numFmtId="10" fontId="7" fillId="4" borderId="26" xfId="0" applyNumberFormat="1" applyFont="1" applyFill="1" applyBorder="1" applyAlignment="1">
      <alignment horizontal="center"/>
    </xf>
    <xf numFmtId="4" fontId="7" fillId="5" borderId="26" xfId="0" applyNumberFormat="1" applyFont="1" applyFill="1" applyBorder="1" applyAlignment="1">
      <alignment horizontal="center"/>
    </xf>
    <xf numFmtId="9" fontId="7" fillId="6" borderId="38" xfId="3" applyFont="1" applyFill="1" applyBorder="1" applyAlignment="1">
      <alignment horizontal="center"/>
    </xf>
    <xf numFmtId="3" fontId="7" fillId="0" borderId="38" xfId="0" applyNumberFormat="1" applyFont="1" applyBorder="1" applyAlignment="1">
      <alignment horizontal="center"/>
    </xf>
    <xf numFmtId="0" fontId="7" fillId="0" borderId="38" xfId="0" applyFont="1" applyBorder="1"/>
    <xf numFmtId="4" fontId="13" fillId="11" borderId="26" xfId="0" applyNumberFormat="1" applyFont="1" applyFill="1" applyBorder="1" applyAlignment="1">
      <alignment horizontal="center"/>
    </xf>
    <xf numFmtId="4" fontId="13" fillId="11" borderId="38" xfId="0" applyNumberFormat="1" applyFont="1" applyFill="1" applyBorder="1" applyAlignment="1">
      <alignment horizontal="center"/>
    </xf>
    <xf numFmtId="4" fontId="7" fillId="11" borderId="26" xfId="0" applyNumberFormat="1" applyFont="1" applyFill="1" applyBorder="1" applyAlignment="1">
      <alignment horizontal="center"/>
    </xf>
    <xf numFmtId="4" fontId="7" fillId="11" borderId="38" xfId="0" applyNumberFormat="1" applyFont="1" applyFill="1" applyBorder="1" applyAlignment="1">
      <alignment horizontal="center"/>
    </xf>
    <xf numFmtId="3" fontId="7" fillId="11" borderId="38" xfId="0" applyNumberFormat="1" applyFont="1" applyFill="1" applyBorder="1" applyAlignment="1">
      <alignment horizontal="center"/>
    </xf>
    <xf numFmtId="0" fontId="7" fillId="11" borderId="38" xfId="0" applyFont="1" applyFill="1" applyBorder="1"/>
    <xf numFmtId="4" fontId="8" fillId="6" borderId="36" xfId="0" applyNumberFormat="1" applyFont="1" applyFill="1" applyBorder="1" applyAlignment="1">
      <alignment horizontal="center"/>
    </xf>
    <xf numFmtId="4" fontId="13" fillId="6" borderId="36" xfId="0" applyNumberFormat="1" applyFont="1" applyFill="1" applyBorder="1" applyAlignment="1">
      <alignment horizontal="center"/>
    </xf>
    <xf numFmtId="4" fontId="8" fillId="6" borderId="46" xfId="0" applyNumberFormat="1" applyFont="1" applyFill="1" applyBorder="1" applyAlignment="1">
      <alignment horizontal="center"/>
    </xf>
    <xf numFmtId="4" fontId="8" fillId="6" borderId="37" xfId="0" applyNumberFormat="1" applyFont="1" applyFill="1" applyBorder="1" applyAlignment="1">
      <alignment horizontal="center"/>
    </xf>
    <xf numFmtId="4" fontId="0" fillId="6" borderId="36" xfId="0" applyNumberFormat="1" applyFill="1" applyBorder="1" applyAlignment="1">
      <alignment horizontal="center"/>
    </xf>
    <xf numFmtId="4" fontId="0" fillId="6" borderId="46" xfId="0" applyNumberFormat="1" applyFill="1" applyBorder="1" applyAlignment="1">
      <alignment horizontal="center"/>
    </xf>
    <xf numFmtId="4" fontId="13" fillId="6" borderId="7" xfId="0" applyNumberFormat="1" applyFont="1" applyFill="1" applyBorder="1" applyAlignment="1">
      <alignment horizontal="center"/>
    </xf>
    <xf numFmtId="4" fontId="13" fillId="11" borderId="7" xfId="0" applyNumberFormat="1" applyFont="1" applyFill="1" applyBorder="1" applyAlignment="1">
      <alignment horizontal="center"/>
    </xf>
    <xf numFmtId="0" fontId="8" fillId="11" borderId="7" xfId="0" applyFont="1" applyFill="1" applyBorder="1" applyAlignment="1">
      <alignment horizontal="center"/>
    </xf>
    <xf numFmtId="4" fontId="0" fillId="6" borderId="39" xfId="0" applyNumberFormat="1" applyFill="1" applyBorder="1" applyAlignment="1">
      <alignment horizontal="center"/>
    </xf>
    <xf numFmtId="4" fontId="8" fillId="6" borderId="66" xfId="0" applyNumberFormat="1" applyFont="1" applyFill="1" applyBorder="1" applyAlignment="1">
      <alignment horizontal="center"/>
    </xf>
    <xf numFmtId="4" fontId="0" fillId="6" borderId="67" xfId="0" applyNumberFormat="1" applyFill="1" applyBorder="1" applyAlignment="1">
      <alignment horizontal="center"/>
    </xf>
    <xf numFmtId="4" fontId="0" fillId="6" borderId="66" xfId="0" applyNumberFormat="1" applyFill="1" applyBorder="1" applyAlignment="1">
      <alignment horizontal="center"/>
    </xf>
    <xf numFmtId="0" fontId="15" fillId="0" borderId="68" xfId="0" applyFont="1" applyBorder="1" applyAlignment="1">
      <alignment horizontal="center" vertical="center"/>
    </xf>
    <xf numFmtId="9" fontId="15" fillId="0" borderId="68" xfId="3" applyFont="1" applyBorder="1" applyAlignment="1">
      <alignment horizontal="center" vertical="center"/>
    </xf>
    <xf numFmtId="9" fontId="0" fillId="6" borderId="67" xfId="3" applyFont="1" applyFill="1" applyBorder="1" applyAlignment="1">
      <alignment horizontal="center" vertical="top" wrapText="1"/>
    </xf>
    <xf numFmtId="9" fontId="0" fillId="0" borderId="69" xfId="3" applyFont="1" applyBorder="1" applyAlignment="1">
      <alignment horizontal="center" vertical="center"/>
    </xf>
    <xf numFmtId="9" fontId="0" fillId="0" borderId="70" xfId="3" applyFont="1" applyBorder="1" applyAlignment="1">
      <alignment horizontal="center" vertical="center"/>
    </xf>
    <xf numFmtId="4" fontId="13" fillId="11" borderId="36" xfId="0" applyNumberFormat="1" applyFont="1" applyFill="1" applyBorder="1" applyAlignment="1">
      <alignment horizontal="center"/>
    </xf>
    <xf numFmtId="9" fontId="0" fillId="11" borderId="60" xfId="3" applyFont="1" applyFill="1" applyBorder="1" applyAlignment="1">
      <alignment horizontal="center" vertical="center"/>
    </xf>
    <xf numFmtId="9" fontId="0" fillId="11" borderId="61" xfId="3" applyFont="1" applyFill="1" applyBorder="1" applyAlignment="1">
      <alignment horizontal="center" vertical="center"/>
    </xf>
    <xf numFmtId="4" fontId="7" fillId="11" borderId="51" xfId="0" applyNumberFormat="1" applyFont="1" applyFill="1" applyBorder="1" applyAlignment="1">
      <alignment horizontal="center"/>
    </xf>
    <xf numFmtId="10" fontId="7" fillId="11" borderId="26" xfId="0" applyNumberFormat="1" applyFont="1" applyFill="1" applyBorder="1" applyAlignment="1">
      <alignment horizontal="center"/>
    </xf>
    <xf numFmtId="9" fontId="7" fillId="11" borderId="38" xfId="3" applyFont="1" applyFill="1" applyBorder="1" applyAlignment="1">
      <alignment horizontal="center"/>
    </xf>
    <xf numFmtId="4" fontId="2" fillId="3" borderId="13" xfId="0" applyNumberFormat="1" applyFont="1" applyFill="1" applyBorder="1" applyAlignment="1">
      <alignment horizontal="center"/>
    </xf>
    <xf numFmtId="10" fontId="7" fillId="4" borderId="21" xfId="0" applyNumberFormat="1" applyFont="1" applyFill="1" applyBorder="1" applyAlignment="1">
      <alignment horizontal="center"/>
    </xf>
    <xf numFmtId="4" fontId="7" fillId="5" borderId="21" xfId="0" applyNumberFormat="1" applyFont="1" applyFill="1" applyBorder="1" applyAlignment="1">
      <alignment horizontal="center"/>
    </xf>
    <xf numFmtId="4" fontId="7" fillId="5" borderId="13" xfId="0" applyNumberFormat="1" applyFont="1" applyFill="1" applyBorder="1" applyAlignment="1">
      <alignment horizontal="center"/>
    </xf>
    <xf numFmtId="9" fontId="0" fillId="12" borderId="60" xfId="3" applyFont="1" applyFill="1" applyBorder="1" applyAlignment="1">
      <alignment horizontal="center" vertical="center"/>
    </xf>
    <xf numFmtId="9" fontId="0" fillId="12" borderId="61" xfId="3" applyFont="1" applyFill="1" applyBorder="1" applyAlignment="1">
      <alignment horizontal="center" vertical="center"/>
    </xf>
    <xf numFmtId="4" fontId="1" fillId="12" borderId="7" xfId="0" applyNumberFormat="1" applyFont="1" applyFill="1" applyBorder="1" applyAlignment="1">
      <alignment horizontal="center"/>
    </xf>
    <xf numFmtId="4" fontId="13" fillId="0" borderId="7" xfId="0" applyNumberFormat="1" applyFont="1" applyBorder="1" applyAlignment="1">
      <alignment horizontal="center"/>
    </xf>
    <xf numFmtId="4" fontId="8" fillId="12" borderId="50" xfId="0" applyNumberFormat="1" applyFont="1" applyFill="1" applyBorder="1" applyAlignment="1">
      <alignment horizontal="center"/>
    </xf>
    <xf numFmtId="165" fontId="8" fillId="12" borderId="27" xfId="0" applyNumberFormat="1" applyFont="1" applyFill="1" applyBorder="1" applyAlignment="1">
      <alignment horizontal="center"/>
    </xf>
    <xf numFmtId="4" fontId="7" fillId="12" borderId="0" xfId="0" applyNumberFormat="1" applyFont="1" applyFill="1" applyAlignment="1">
      <alignment horizontal="center"/>
    </xf>
    <xf numFmtId="3" fontId="7" fillId="12" borderId="0" xfId="0" applyNumberFormat="1" applyFont="1" applyFill="1" applyAlignment="1">
      <alignment horizontal="center"/>
    </xf>
    <xf numFmtId="0" fontId="7" fillId="12" borderId="0" xfId="0" applyFont="1" applyFill="1"/>
    <xf numFmtId="4" fontId="8" fillId="11" borderId="36" xfId="0" applyNumberFormat="1" applyFont="1" applyFill="1" applyBorder="1" applyAlignment="1">
      <alignment horizontal="center"/>
    </xf>
    <xf numFmtId="9" fontId="0" fillId="11" borderId="54" xfId="3" applyFont="1" applyFill="1" applyBorder="1" applyAlignment="1">
      <alignment horizontal="center" vertical="center"/>
    </xf>
    <xf numFmtId="9" fontId="0" fillId="11" borderId="49" xfId="3" applyFont="1" applyFill="1" applyBorder="1" applyAlignment="1">
      <alignment horizontal="center" vertical="center"/>
    </xf>
    <xf numFmtId="9" fontId="0" fillId="11" borderId="49" xfId="3" applyFont="1" applyFill="1" applyBorder="1" applyAlignment="1">
      <alignment horizontal="center"/>
    </xf>
    <xf numFmtId="9" fontId="7" fillId="11" borderId="49" xfId="3" applyFont="1" applyFill="1" applyBorder="1" applyAlignment="1">
      <alignment horizontal="center"/>
    </xf>
    <xf numFmtId="4" fontId="7" fillId="11" borderId="0" xfId="0" applyNumberFormat="1" applyFont="1" applyFill="1" applyAlignment="1">
      <alignment horizontal="center"/>
    </xf>
    <xf numFmtId="3" fontId="7" fillId="11" borderId="0" xfId="0" applyNumberFormat="1" applyFont="1" applyFill="1" applyAlignment="1">
      <alignment horizontal="center"/>
    </xf>
    <xf numFmtId="0" fontId="7" fillId="11" borderId="0" xfId="0" applyFont="1" applyFill="1"/>
    <xf numFmtId="0" fontId="7" fillId="11" borderId="7" xfId="0" applyFont="1" applyFill="1" applyBorder="1"/>
    <xf numFmtId="4" fontId="7" fillId="11" borderId="28" xfId="0" applyNumberFormat="1" applyFont="1" applyFill="1" applyBorder="1" applyAlignment="1">
      <alignment horizontal="center"/>
    </xf>
    <xf numFmtId="4" fontId="0" fillId="11" borderId="30" xfId="0" applyNumberFormat="1" applyFill="1" applyBorder="1" applyAlignment="1">
      <alignment horizontal="center"/>
    </xf>
    <xf numFmtId="3" fontId="0" fillId="11" borderId="30" xfId="0" applyNumberFormat="1" applyFill="1" applyBorder="1" applyAlignment="1">
      <alignment horizontal="center"/>
    </xf>
    <xf numFmtId="0" fontId="0" fillId="11" borderId="30" xfId="0" applyFill="1" applyBorder="1"/>
    <xf numFmtId="4" fontId="0" fillId="6" borderId="0" xfId="0" applyNumberFormat="1" applyFill="1" applyAlignment="1">
      <alignment horizontal="center" vertical="top" wrapText="1"/>
    </xf>
    <xf numFmtId="4" fontId="8" fillId="12" borderId="15" xfId="0" applyNumberFormat="1" applyFont="1" applyFill="1" applyBorder="1" applyAlignment="1">
      <alignment horizontal="center"/>
    </xf>
    <xf numFmtId="4" fontId="8" fillId="12" borderId="27" xfId="0" applyNumberFormat="1" applyFont="1" applyFill="1" applyBorder="1" applyAlignment="1">
      <alignment horizontal="center"/>
    </xf>
    <xf numFmtId="4" fontId="7" fillId="12" borderId="15" xfId="0" applyNumberFormat="1" applyFont="1" applyFill="1" applyBorder="1" applyAlignment="1">
      <alignment horizontal="center"/>
    </xf>
    <xf numFmtId="165" fontId="8" fillId="6" borderId="27" xfId="0" applyNumberFormat="1" applyFont="1" applyFill="1" applyBorder="1" applyAlignment="1">
      <alignment horizontal="center"/>
    </xf>
    <xf numFmtId="10" fontId="7" fillId="12" borderId="15" xfId="0" applyNumberFormat="1" applyFont="1" applyFill="1" applyBorder="1" applyAlignment="1">
      <alignment horizontal="center"/>
    </xf>
    <xf numFmtId="4" fontId="7" fillId="12" borderId="16" xfId="0" applyNumberFormat="1" applyFont="1" applyFill="1" applyBorder="1" applyAlignment="1">
      <alignment horizontal="center"/>
    </xf>
    <xf numFmtId="4" fontId="8" fillId="11" borderId="7" xfId="0" applyNumberFormat="1" applyFont="1" applyFill="1" applyBorder="1" applyAlignment="1">
      <alignment horizontal="left" wrapText="1"/>
    </xf>
    <xf numFmtId="9" fontId="7" fillId="11" borderId="61" xfId="3" applyFont="1" applyFill="1" applyBorder="1" applyAlignment="1">
      <alignment horizontal="center"/>
    </xf>
    <xf numFmtId="0" fontId="8" fillId="11" borderId="7" xfId="0" applyFont="1" applyFill="1" applyBorder="1" applyAlignment="1">
      <alignment vertical="center"/>
    </xf>
    <xf numFmtId="4" fontId="8" fillId="11" borderId="7" xfId="0" applyNumberFormat="1" applyFont="1" applyFill="1" applyBorder="1" applyAlignment="1">
      <alignment horizontal="left" vertical="center"/>
    </xf>
    <xf numFmtId="4" fontId="8" fillId="11" borderId="26" xfId="0" applyNumberFormat="1" applyFont="1" applyFill="1" applyBorder="1" applyAlignment="1">
      <alignment horizontal="center" vertical="center"/>
    </xf>
    <xf numFmtId="4" fontId="8" fillId="11" borderId="7" xfId="0" applyNumberFormat="1" applyFont="1" applyFill="1" applyBorder="1" applyAlignment="1">
      <alignment horizontal="center" vertical="center"/>
    </xf>
    <xf numFmtId="4" fontId="8" fillId="11" borderId="36" xfId="0" applyNumberFormat="1" applyFont="1" applyFill="1" applyBorder="1" applyAlignment="1">
      <alignment horizontal="center" vertical="center"/>
    </xf>
    <xf numFmtId="4" fontId="8" fillId="11" borderId="38" xfId="0" applyNumberFormat="1" applyFont="1" applyFill="1" applyBorder="1" applyAlignment="1">
      <alignment horizontal="center" vertical="center"/>
    </xf>
    <xf numFmtId="166" fontId="14" fillId="11" borderId="7" xfId="0" applyNumberFormat="1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/>
    </xf>
    <xf numFmtId="4" fontId="8" fillId="11" borderId="51" xfId="0" applyNumberFormat="1" applyFont="1" applyFill="1" applyBorder="1" applyAlignment="1">
      <alignment horizontal="center"/>
    </xf>
    <xf numFmtId="10" fontId="0" fillId="11" borderId="7" xfId="0" applyNumberFormat="1" applyFill="1" applyBorder="1" applyAlignment="1">
      <alignment horizontal="center"/>
    </xf>
    <xf numFmtId="10" fontId="0" fillId="11" borderId="26" xfId="0" applyNumberFormat="1" applyFill="1" applyBorder="1" applyAlignment="1">
      <alignment horizontal="center"/>
    </xf>
    <xf numFmtId="4" fontId="0" fillId="11" borderId="38" xfId="0" applyNumberFormat="1" applyFill="1" applyBorder="1" applyAlignment="1">
      <alignment horizontal="center"/>
    </xf>
    <xf numFmtId="4" fontId="0" fillId="11" borderId="26" xfId="0" applyNumberFormat="1" applyFill="1" applyBorder="1" applyAlignment="1">
      <alignment horizontal="center"/>
    </xf>
    <xf numFmtId="9" fontId="12" fillId="11" borderId="61" xfId="3" applyFont="1" applyFill="1" applyBorder="1" applyAlignment="1">
      <alignment horizontal="center"/>
    </xf>
    <xf numFmtId="9" fontId="8" fillId="11" borderId="61" xfId="3" applyFont="1" applyFill="1" applyBorder="1" applyAlignment="1">
      <alignment horizontal="center"/>
    </xf>
    <xf numFmtId="3" fontId="8" fillId="11" borderId="38" xfId="0" applyNumberFormat="1" applyFont="1" applyFill="1" applyBorder="1" applyAlignment="1">
      <alignment horizontal="center"/>
    </xf>
    <xf numFmtId="0" fontId="8" fillId="11" borderId="38" xfId="0" applyFont="1" applyFill="1" applyBorder="1"/>
    <xf numFmtId="0" fontId="6" fillId="12" borderId="7" xfId="0" applyFont="1" applyFill="1" applyBorder="1" applyAlignment="1">
      <alignment horizontal="center"/>
    </xf>
    <xf numFmtId="0" fontId="8" fillId="12" borderId="7" xfId="0" applyFont="1" applyFill="1" applyBorder="1"/>
    <xf numFmtId="4" fontId="8" fillId="12" borderId="36" xfId="0" applyNumberFormat="1" applyFont="1" applyFill="1" applyBorder="1" applyAlignment="1">
      <alignment horizontal="center"/>
    </xf>
    <xf numFmtId="9" fontId="0" fillId="12" borderId="64" xfId="3" applyFont="1" applyFill="1" applyBorder="1" applyAlignment="1">
      <alignment horizontal="center" vertical="center"/>
    </xf>
    <xf numFmtId="9" fontId="0" fillId="12" borderId="71" xfId="3" applyFont="1" applyFill="1" applyBorder="1" applyAlignment="1">
      <alignment horizontal="center" vertical="center"/>
    </xf>
    <xf numFmtId="4" fontId="8" fillId="12" borderId="38" xfId="0" applyNumberFormat="1" applyFont="1" applyFill="1" applyBorder="1" applyAlignment="1">
      <alignment horizontal="center"/>
    </xf>
    <xf numFmtId="4" fontId="7" fillId="12" borderId="51" xfId="0" applyNumberFormat="1" applyFont="1" applyFill="1" applyBorder="1" applyAlignment="1">
      <alignment horizontal="center"/>
    </xf>
    <xf numFmtId="165" fontId="8" fillId="12" borderId="7" xfId="0" applyNumberFormat="1" applyFont="1" applyFill="1" applyBorder="1" applyAlignment="1">
      <alignment horizontal="center"/>
    </xf>
    <xf numFmtId="10" fontId="7" fillId="12" borderId="7" xfId="0" applyNumberFormat="1" applyFont="1" applyFill="1" applyBorder="1" applyAlignment="1">
      <alignment horizontal="center"/>
    </xf>
    <xf numFmtId="4" fontId="7" fillId="12" borderId="38" xfId="0" applyNumberFormat="1" applyFont="1" applyFill="1" applyBorder="1" applyAlignment="1">
      <alignment horizontal="center"/>
    </xf>
    <xf numFmtId="9" fontId="7" fillId="12" borderId="64" xfId="3" applyFont="1" applyFill="1" applyBorder="1" applyAlignment="1">
      <alignment horizontal="center"/>
    </xf>
    <xf numFmtId="9" fontId="7" fillId="12" borderId="61" xfId="3" applyFont="1" applyFill="1" applyBorder="1" applyAlignment="1">
      <alignment horizontal="center"/>
    </xf>
    <xf numFmtId="4" fontId="7" fillId="12" borderId="64" xfId="0" applyNumberFormat="1" applyFont="1" applyFill="1" applyBorder="1" applyAlignment="1">
      <alignment horizontal="center"/>
    </xf>
    <xf numFmtId="3" fontId="7" fillId="12" borderId="38" xfId="0" applyNumberFormat="1" applyFont="1" applyFill="1" applyBorder="1" applyAlignment="1">
      <alignment horizontal="center"/>
    </xf>
    <xf numFmtId="0" fontId="7" fillId="12" borderId="38" xfId="0" applyFont="1" applyFill="1" applyBorder="1"/>
    <xf numFmtId="4" fontId="13" fillId="12" borderId="7" xfId="0" applyNumberFormat="1" applyFont="1" applyFill="1" applyBorder="1" applyAlignment="1">
      <alignment horizontal="center"/>
    </xf>
    <xf numFmtId="4" fontId="13" fillId="12" borderId="38" xfId="0" applyNumberFormat="1" applyFont="1" applyFill="1" applyBorder="1" applyAlignment="1">
      <alignment horizontal="center"/>
    </xf>
    <xf numFmtId="4" fontId="2" fillId="12" borderId="51" xfId="0" applyNumberFormat="1" applyFont="1" applyFill="1" applyBorder="1" applyAlignment="1">
      <alignment horizontal="center"/>
    </xf>
    <xf numFmtId="9" fontId="7" fillId="12" borderId="38" xfId="3" applyFont="1" applyFill="1" applyBorder="1" applyAlignment="1">
      <alignment horizontal="center"/>
    </xf>
    <xf numFmtId="10" fontId="16" fillId="12" borderId="7" xfId="0" applyNumberFormat="1" applyFont="1" applyFill="1" applyBorder="1" applyAlignment="1">
      <alignment horizontal="center"/>
    </xf>
    <xf numFmtId="4" fontId="7" fillId="12" borderId="21" xfId="0" applyNumberFormat="1" applyFont="1" applyFill="1" applyBorder="1" applyAlignment="1">
      <alignment horizontal="center"/>
    </xf>
    <xf numFmtId="4" fontId="7" fillId="12" borderId="13" xfId="0" applyNumberFormat="1" applyFont="1" applyFill="1" applyBorder="1" applyAlignment="1">
      <alignment horizontal="center"/>
    </xf>
    <xf numFmtId="10" fontId="7" fillId="12" borderId="21" xfId="0" applyNumberFormat="1" applyFont="1" applyFill="1" applyBorder="1" applyAlignment="1">
      <alignment horizontal="center"/>
    </xf>
    <xf numFmtId="9" fontId="0" fillId="0" borderId="0" xfId="3" applyFont="1" applyBorder="1" applyAlignment="1">
      <alignment horizontal="center" vertical="center"/>
    </xf>
    <xf numFmtId="165" fontId="8" fillId="6" borderId="43" xfId="0" applyNumberFormat="1" applyFont="1" applyFill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4" fontId="11" fillId="11" borderId="7" xfId="0" applyNumberFormat="1" applyFont="1" applyFill="1" applyBorder="1" applyAlignment="1">
      <alignment horizontal="center"/>
    </xf>
    <xf numFmtId="4" fontId="1" fillId="11" borderId="27" xfId="0" applyNumberFormat="1" applyFont="1" applyFill="1" applyBorder="1" applyAlignment="1">
      <alignment horizontal="center"/>
    </xf>
    <xf numFmtId="4" fontId="0" fillId="6" borderId="29" xfId="0" applyNumberFormat="1" applyFill="1" applyBorder="1" applyAlignment="1">
      <alignment horizontal="center"/>
    </xf>
    <xf numFmtId="4" fontId="8" fillId="11" borderId="27" xfId="0" applyNumberFormat="1" applyFont="1" applyFill="1" applyBorder="1" applyAlignment="1">
      <alignment horizontal="center"/>
    </xf>
    <xf numFmtId="4" fontId="8" fillId="6" borderId="65" xfId="0" applyNumberFormat="1" applyFont="1" applyFill="1" applyBorder="1" applyAlignment="1">
      <alignment horizontal="center"/>
    </xf>
    <xf numFmtId="9" fontId="0" fillId="0" borderId="72" xfId="3" applyFont="1" applyBorder="1" applyAlignment="1">
      <alignment horizontal="center" vertical="center"/>
    </xf>
    <xf numFmtId="9" fontId="0" fillId="0" borderId="73" xfId="3" applyFont="1" applyBorder="1" applyAlignment="1">
      <alignment horizontal="center" vertical="center"/>
    </xf>
    <xf numFmtId="0" fontId="6" fillId="6" borderId="37" xfId="0" applyFont="1" applyFill="1" applyBorder="1" applyAlignment="1">
      <alignment horizontal="center"/>
    </xf>
    <xf numFmtId="4" fontId="7" fillId="13" borderId="7" xfId="0" applyNumberFormat="1" applyFont="1" applyFill="1" applyBorder="1" applyAlignment="1">
      <alignment horizontal="center"/>
    </xf>
    <xf numFmtId="10" fontId="0" fillId="13" borderId="25" xfId="0" applyNumberForma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9" fontId="7" fillId="6" borderId="63" xfId="3" applyFont="1" applyFill="1" applyBorder="1" applyAlignment="1">
      <alignment horizontal="center"/>
    </xf>
    <xf numFmtId="9" fontId="7" fillId="6" borderId="61" xfId="3" applyFont="1" applyFill="1" applyBorder="1" applyAlignment="1">
      <alignment horizontal="center"/>
    </xf>
    <xf numFmtId="9" fontId="12" fillId="6" borderId="61" xfId="3" applyFont="1" applyFill="1" applyBorder="1" applyAlignment="1">
      <alignment horizontal="center"/>
    </xf>
    <xf numFmtId="4" fontId="8" fillId="11" borderId="62" xfId="0" applyNumberFormat="1" applyFont="1" applyFill="1" applyBorder="1" applyAlignment="1">
      <alignment horizontal="center"/>
    </xf>
    <xf numFmtId="9" fontId="7" fillId="2" borderId="0" xfId="3" applyFont="1" applyFill="1" applyAlignment="1">
      <alignment horizontal="center"/>
    </xf>
    <xf numFmtId="9" fontId="7" fillId="2" borderId="38" xfId="3" applyFont="1" applyFill="1" applyBorder="1" applyAlignment="1">
      <alignment horizontal="center"/>
    </xf>
    <xf numFmtId="9" fontId="7" fillId="2" borderId="49" xfId="3" applyFont="1" applyFill="1" applyBorder="1" applyAlignment="1">
      <alignment horizontal="center"/>
    </xf>
    <xf numFmtId="4" fontId="13" fillId="0" borderId="43" xfId="0" applyNumberFormat="1" applyFont="1" applyBorder="1" applyAlignment="1">
      <alignment horizontal="center"/>
    </xf>
    <xf numFmtId="9" fontId="7" fillId="2" borderId="35" xfId="3" applyFont="1" applyFill="1" applyBorder="1" applyAlignment="1">
      <alignment horizontal="center"/>
    </xf>
    <xf numFmtId="9" fontId="0" fillId="0" borderId="7" xfId="3" applyFont="1" applyBorder="1" applyAlignment="1">
      <alignment horizontal="center" vertical="center"/>
    </xf>
    <xf numFmtId="9" fontId="0" fillId="12" borderId="7" xfId="3" applyFont="1" applyFill="1" applyBorder="1" applyAlignment="1">
      <alignment horizontal="center" vertical="center"/>
    </xf>
    <xf numFmtId="4" fontId="0" fillId="6" borderId="43" xfId="0" applyNumberFormat="1" applyFill="1" applyBorder="1" applyAlignment="1">
      <alignment horizontal="center"/>
    </xf>
    <xf numFmtId="0" fontId="1" fillId="12" borderId="7" xfId="0" applyFont="1" applyFill="1" applyBorder="1" applyAlignment="1">
      <alignment horizontal="center"/>
    </xf>
    <xf numFmtId="4" fontId="8" fillId="12" borderId="7" xfId="0" applyNumberFormat="1" applyFont="1" applyFill="1" applyBorder="1" applyAlignment="1">
      <alignment horizontal="center"/>
    </xf>
    <xf numFmtId="4" fontId="8" fillId="12" borderId="0" xfId="0" applyNumberFormat="1" applyFont="1" applyFill="1" applyAlignment="1">
      <alignment horizontal="center"/>
    </xf>
    <xf numFmtId="4" fontId="8" fillId="12" borderId="34" xfId="0" applyNumberFormat="1" applyFont="1" applyFill="1" applyBorder="1" applyAlignment="1">
      <alignment horizontal="center"/>
    </xf>
    <xf numFmtId="10" fontId="7" fillId="12" borderId="25" xfId="0" applyNumberFormat="1" applyFont="1" applyFill="1" applyBorder="1" applyAlignment="1">
      <alignment horizontal="center"/>
    </xf>
    <xf numFmtId="4" fontId="0" fillId="12" borderId="15" xfId="0" applyNumberFormat="1" applyFill="1" applyBorder="1" applyAlignment="1">
      <alignment horizontal="center"/>
    </xf>
    <xf numFmtId="4" fontId="8" fillId="12" borderId="21" xfId="0" applyNumberFormat="1" applyFont="1" applyFill="1" applyBorder="1" applyAlignment="1">
      <alignment horizontal="center"/>
    </xf>
    <xf numFmtId="4" fontId="2" fillId="12" borderId="13" xfId="0" applyNumberFormat="1" applyFont="1" applyFill="1" applyBorder="1" applyAlignment="1">
      <alignment horizontal="center"/>
    </xf>
    <xf numFmtId="4" fontId="7" fillId="12" borderId="25" xfId="0" applyNumberFormat="1" applyFont="1" applyFill="1" applyBorder="1" applyAlignment="1">
      <alignment horizontal="center"/>
    </xf>
    <xf numFmtId="0" fontId="1" fillId="6" borderId="43" xfId="0" applyFont="1" applyFill="1" applyBorder="1" applyAlignment="1">
      <alignment horizontal="center"/>
    </xf>
    <xf numFmtId="4" fontId="7" fillId="10" borderId="21" xfId="0" applyNumberFormat="1" applyFont="1" applyFill="1" applyBorder="1" applyAlignment="1">
      <alignment horizontal="center"/>
    </xf>
    <xf numFmtId="4" fontId="8" fillId="6" borderId="25" xfId="0" applyNumberFormat="1" applyFont="1" applyFill="1" applyBorder="1" applyAlignment="1">
      <alignment horizontal="center"/>
    </xf>
    <xf numFmtId="4" fontId="7" fillId="9" borderId="25" xfId="0" applyNumberFormat="1" applyFont="1" applyFill="1" applyBorder="1" applyAlignment="1">
      <alignment horizontal="center"/>
    </xf>
    <xf numFmtId="4" fontId="7" fillId="10" borderId="25" xfId="0" applyNumberFormat="1" applyFont="1" applyFill="1" applyBorder="1" applyAlignment="1">
      <alignment horizontal="center"/>
    </xf>
    <xf numFmtId="9" fontId="0" fillId="14" borderId="0" xfId="3" applyFont="1" applyFill="1" applyBorder="1" applyAlignment="1">
      <alignment horizontal="center" vertical="center"/>
    </xf>
    <xf numFmtId="4" fontId="8" fillId="14" borderId="25" xfId="0" applyNumberFormat="1" applyFont="1" applyFill="1" applyBorder="1" applyAlignment="1">
      <alignment horizontal="center"/>
    </xf>
    <xf numFmtId="165" fontId="8" fillId="14" borderId="25" xfId="0" applyNumberFormat="1" applyFont="1" applyFill="1" applyBorder="1" applyAlignment="1">
      <alignment horizontal="center"/>
    </xf>
    <xf numFmtId="4" fontId="1" fillId="14" borderId="25" xfId="0" applyNumberFormat="1" applyFont="1" applyFill="1" applyBorder="1" applyAlignment="1">
      <alignment horizontal="center"/>
    </xf>
    <xf numFmtId="4" fontId="7" fillId="14" borderId="25" xfId="0" applyNumberFormat="1" applyFont="1" applyFill="1" applyBorder="1" applyAlignment="1">
      <alignment horizontal="center"/>
    </xf>
    <xf numFmtId="10" fontId="7" fillId="14" borderId="25" xfId="0" applyNumberFormat="1" applyFont="1" applyFill="1" applyBorder="1" applyAlignment="1">
      <alignment horizontal="center"/>
    </xf>
    <xf numFmtId="4" fontId="7" fillId="14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center"/>
    </xf>
    <xf numFmtId="0" fontId="7" fillId="14" borderId="0" xfId="0" applyFont="1" applyFill="1"/>
    <xf numFmtId="4" fontId="8" fillId="13" borderId="7" xfId="0" applyNumberFormat="1" applyFont="1" applyFill="1" applyBorder="1" applyAlignment="1">
      <alignment horizontal="left"/>
    </xf>
    <xf numFmtId="0" fontId="6" fillId="13" borderId="7" xfId="0" applyFont="1" applyFill="1" applyBorder="1" applyAlignment="1">
      <alignment horizontal="center"/>
    </xf>
    <xf numFmtId="0" fontId="6" fillId="13" borderId="36" xfId="0" applyFont="1" applyFill="1" applyBorder="1" applyAlignment="1">
      <alignment horizontal="center"/>
    </xf>
    <xf numFmtId="0" fontId="8" fillId="13" borderId="7" xfId="0" applyFont="1" applyFill="1" applyBorder="1"/>
    <xf numFmtId="4" fontId="8" fillId="13" borderId="26" xfId="0" applyNumberFormat="1" applyFont="1" applyFill="1" applyBorder="1" applyAlignment="1">
      <alignment horizontal="center"/>
    </xf>
    <xf numFmtId="4" fontId="8" fillId="13" borderId="7" xfId="0" applyNumberFormat="1" applyFont="1" applyFill="1" applyBorder="1" applyAlignment="1">
      <alignment horizontal="center"/>
    </xf>
    <xf numFmtId="4" fontId="8" fillId="13" borderId="36" xfId="0" applyNumberFormat="1" applyFont="1" applyFill="1" applyBorder="1" applyAlignment="1">
      <alignment horizontal="center"/>
    </xf>
    <xf numFmtId="9" fontId="0" fillId="13" borderId="54" xfId="3" applyFont="1" applyFill="1" applyBorder="1" applyAlignment="1">
      <alignment horizontal="center" vertical="center"/>
    </xf>
    <xf numFmtId="9" fontId="0" fillId="13" borderId="49" xfId="3" applyFont="1" applyFill="1" applyBorder="1" applyAlignment="1">
      <alignment horizontal="center" vertical="center"/>
    </xf>
    <xf numFmtId="4" fontId="8" fillId="13" borderId="38" xfId="0" applyNumberFormat="1" applyFont="1" applyFill="1" applyBorder="1" applyAlignment="1">
      <alignment horizontal="center"/>
    </xf>
    <xf numFmtId="4" fontId="2" fillId="13" borderId="51" xfId="0" applyNumberFormat="1" applyFont="1" applyFill="1" applyBorder="1" applyAlignment="1">
      <alignment horizontal="center"/>
    </xf>
    <xf numFmtId="165" fontId="8" fillId="13" borderId="7" xfId="0" applyNumberFormat="1" applyFont="1" applyFill="1" applyBorder="1" applyAlignment="1">
      <alignment horizontal="center"/>
    </xf>
    <xf numFmtId="4" fontId="1" fillId="13" borderId="7" xfId="0" applyNumberFormat="1" applyFont="1" applyFill="1" applyBorder="1" applyAlignment="1">
      <alignment horizontal="center"/>
    </xf>
    <xf numFmtId="4" fontId="2" fillId="13" borderId="36" xfId="0" applyNumberFormat="1" applyFont="1" applyFill="1" applyBorder="1" applyAlignment="1">
      <alignment horizontal="center"/>
    </xf>
    <xf numFmtId="4" fontId="0" fillId="13" borderId="7" xfId="0" applyNumberFormat="1" applyFill="1" applyBorder="1" applyAlignment="1">
      <alignment horizontal="center"/>
    </xf>
    <xf numFmtId="10" fontId="7" fillId="13" borderId="7" xfId="0" applyNumberFormat="1" applyFont="1" applyFill="1" applyBorder="1" applyAlignment="1">
      <alignment horizontal="center"/>
    </xf>
    <xf numFmtId="4" fontId="2" fillId="13" borderId="7" xfId="0" applyNumberFormat="1" applyFont="1" applyFill="1" applyBorder="1" applyAlignment="1">
      <alignment horizontal="center"/>
    </xf>
    <xf numFmtId="4" fontId="0" fillId="13" borderId="26" xfId="0" applyNumberFormat="1" applyFill="1" applyBorder="1" applyAlignment="1">
      <alignment horizontal="center"/>
    </xf>
    <xf numFmtId="9" fontId="7" fillId="13" borderId="38" xfId="3" applyFont="1" applyFill="1" applyBorder="1" applyAlignment="1">
      <alignment horizontal="center"/>
    </xf>
    <xf numFmtId="9" fontId="0" fillId="13" borderId="49" xfId="3" applyFont="1" applyFill="1" applyBorder="1" applyAlignment="1">
      <alignment horizontal="center"/>
    </xf>
    <xf numFmtId="4" fontId="0" fillId="13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0" fontId="0" fillId="13" borderId="0" xfId="0" applyFill="1"/>
    <xf numFmtId="4" fontId="13" fillId="13" borderId="43" xfId="0" applyNumberFormat="1" applyFont="1" applyFill="1" applyBorder="1" applyAlignment="1">
      <alignment horizontal="center"/>
    </xf>
    <xf numFmtId="4" fontId="8" fillId="13" borderId="74" xfId="0" applyNumberFormat="1" applyFont="1" applyFill="1" applyBorder="1" applyAlignment="1">
      <alignment horizontal="center"/>
    </xf>
    <xf numFmtId="9" fontId="0" fillId="13" borderId="43" xfId="3" applyFont="1" applyFill="1" applyBorder="1" applyAlignment="1">
      <alignment horizontal="center" vertical="center"/>
    </xf>
    <xf numFmtId="4" fontId="8" fillId="13" borderId="43" xfId="0" applyNumberFormat="1" applyFont="1" applyFill="1" applyBorder="1" applyAlignment="1">
      <alignment horizontal="center"/>
    </xf>
    <xf numFmtId="4" fontId="0" fillId="13" borderId="43" xfId="0" applyNumberFormat="1" applyFill="1" applyBorder="1" applyAlignment="1">
      <alignment horizontal="center"/>
    </xf>
    <xf numFmtId="165" fontId="8" fillId="13" borderId="43" xfId="0" applyNumberFormat="1" applyFont="1" applyFill="1" applyBorder="1" applyAlignment="1">
      <alignment horizontal="center"/>
    </xf>
    <xf numFmtId="4" fontId="1" fillId="13" borderId="43" xfId="0" applyNumberFormat="1" applyFont="1" applyFill="1" applyBorder="1" applyAlignment="1">
      <alignment horizontal="center"/>
    </xf>
    <xf numFmtId="10" fontId="7" fillId="13" borderId="25" xfId="0" applyNumberFormat="1" applyFont="1" applyFill="1" applyBorder="1" applyAlignment="1">
      <alignment horizontal="center"/>
    </xf>
    <xf numFmtId="4" fontId="11" fillId="13" borderId="43" xfId="0" applyNumberFormat="1" applyFont="1" applyFill="1" applyBorder="1" applyAlignment="1">
      <alignment horizontal="center"/>
    </xf>
    <xf numFmtId="4" fontId="2" fillId="13" borderId="43" xfId="0" applyNumberFormat="1" applyFont="1" applyFill="1" applyBorder="1" applyAlignment="1">
      <alignment horizontal="center"/>
    </xf>
    <xf numFmtId="10" fontId="7" fillId="13" borderId="27" xfId="0" applyNumberFormat="1" applyFont="1" applyFill="1" applyBorder="1" applyAlignment="1">
      <alignment horizontal="center"/>
    </xf>
    <xf numFmtId="4" fontId="0" fillId="13" borderId="27" xfId="0" applyNumberFormat="1" applyFill="1" applyBorder="1" applyAlignment="1">
      <alignment horizontal="center"/>
    </xf>
    <xf numFmtId="4" fontId="7" fillId="13" borderId="27" xfId="0" applyNumberFormat="1" applyFont="1" applyFill="1" applyBorder="1" applyAlignment="1">
      <alignment horizontal="center"/>
    </xf>
    <xf numFmtId="4" fontId="0" fillId="10" borderId="43" xfId="0" applyNumberFormat="1" applyFill="1" applyBorder="1" applyAlignment="1">
      <alignment horizontal="center"/>
    </xf>
    <xf numFmtId="4" fontId="8" fillId="6" borderId="43" xfId="0" applyNumberFormat="1" applyFont="1" applyFill="1" applyBorder="1" applyAlignment="1">
      <alignment horizontal="center"/>
    </xf>
    <xf numFmtId="4" fontId="13" fillId="13" borderId="7" xfId="0" applyNumberFormat="1" applyFont="1" applyFill="1" applyBorder="1" applyAlignment="1">
      <alignment horizontal="center"/>
    </xf>
    <xf numFmtId="4" fontId="13" fillId="13" borderId="38" xfId="0" applyNumberFormat="1" applyFont="1" applyFill="1" applyBorder="1" applyAlignment="1">
      <alignment horizontal="center"/>
    </xf>
    <xf numFmtId="9" fontId="0" fillId="13" borderId="0" xfId="3" applyFont="1" applyFill="1" applyBorder="1" applyAlignment="1">
      <alignment horizontal="center" vertical="center"/>
    </xf>
    <xf numFmtId="4" fontId="8" fillId="13" borderId="21" xfId="0" applyNumberFormat="1" applyFont="1" applyFill="1" applyBorder="1" applyAlignment="1">
      <alignment horizontal="center"/>
    </xf>
    <xf numFmtId="4" fontId="2" fillId="13" borderId="13" xfId="0" applyNumberFormat="1" applyFont="1" applyFill="1" applyBorder="1" applyAlignment="1">
      <alignment horizontal="center"/>
    </xf>
    <xf numFmtId="10" fontId="7" fillId="13" borderId="21" xfId="0" applyNumberFormat="1" applyFont="1" applyFill="1" applyBorder="1" applyAlignment="1">
      <alignment horizontal="center"/>
    </xf>
    <xf numFmtId="4" fontId="7" fillId="13" borderId="21" xfId="0" applyNumberFormat="1" applyFont="1" applyFill="1" applyBorder="1" applyAlignment="1">
      <alignment horizontal="center"/>
    </xf>
    <xf numFmtId="4" fontId="7" fillId="13" borderId="0" xfId="0" applyNumberFormat="1" applyFont="1" applyFill="1" applyAlignment="1">
      <alignment horizontal="center"/>
    </xf>
    <xf numFmtId="3" fontId="7" fillId="13" borderId="0" xfId="0" applyNumberFormat="1" applyFont="1" applyFill="1" applyAlignment="1">
      <alignment horizontal="center"/>
    </xf>
    <xf numFmtId="0" fontId="7" fillId="13" borderId="0" xfId="0" applyFont="1" applyFill="1"/>
    <xf numFmtId="4" fontId="2" fillId="13" borderId="25" xfId="0" applyNumberFormat="1" applyFont="1" applyFill="1" applyBorder="1" applyAlignment="1">
      <alignment horizontal="center"/>
    </xf>
    <xf numFmtId="4" fontId="7" fillId="13" borderId="25" xfId="0" applyNumberFormat="1" applyFont="1" applyFill="1" applyBorder="1" applyAlignment="1">
      <alignment horizontal="center"/>
    </xf>
    <xf numFmtId="4" fontId="13" fillId="0" borderId="25" xfId="0" applyNumberFormat="1" applyFont="1" applyBorder="1" applyAlignment="1">
      <alignment horizontal="center"/>
    </xf>
    <xf numFmtId="4" fontId="13" fillId="14" borderId="7" xfId="0" applyNumberFormat="1" applyFont="1" applyFill="1" applyBorder="1" applyAlignment="1">
      <alignment horizontal="center"/>
    </xf>
    <xf numFmtId="4" fontId="2" fillId="14" borderId="34" xfId="0" applyNumberFormat="1" applyFont="1" applyFill="1" applyBorder="1" applyAlignment="1">
      <alignment horizontal="center"/>
    </xf>
    <xf numFmtId="10" fontId="7" fillId="14" borderId="34" xfId="0" applyNumberFormat="1" applyFont="1" applyFill="1" applyBorder="1" applyAlignment="1">
      <alignment horizontal="center"/>
    </xf>
    <xf numFmtId="4" fontId="7" fillId="14" borderId="43" xfId="0" applyNumberFormat="1" applyFont="1" applyFill="1" applyBorder="1" applyAlignment="1">
      <alignment horizontal="center"/>
    </xf>
    <xf numFmtId="4" fontId="11" fillId="13" borderId="27" xfId="0" applyNumberFormat="1" applyFont="1" applyFill="1" applyBorder="1" applyAlignment="1">
      <alignment horizontal="center"/>
    </xf>
    <xf numFmtId="4" fontId="11" fillId="0" borderId="25" xfId="0" applyNumberFormat="1" applyFont="1" applyBorder="1" applyAlignment="1">
      <alignment horizontal="center"/>
    </xf>
    <xf numFmtId="4" fontId="7" fillId="10" borderId="34" xfId="0" applyNumberFormat="1" applyFont="1" applyFill="1" applyBorder="1" applyAlignment="1">
      <alignment horizontal="center"/>
    </xf>
    <xf numFmtId="4" fontId="7" fillId="14" borderId="7" xfId="0" applyNumberFormat="1" applyFont="1" applyFill="1" applyBorder="1" applyAlignment="1">
      <alignment horizontal="center"/>
    </xf>
    <xf numFmtId="4" fontId="7" fillId="5" borderId="43" xfId="0" applyNumberFormat="1" applyFont="1" applyFill="1" applyBorder="1" applyAlignment="1">
      <alignment horizontal="center"/>
    </xf>
    <xf numFmtId="4" fontId="7" fillId="13" borderId="43" xfId="0" applyNumberFormat="1" applyFont="1" applyFill="1" applyBorder="1" applyAlignment="1">
      <alignment horizontal="center"/>
    </xf>
    <xf numFmtId="4" fontId="7" fillId="13" borderId="34" xfId="0" applyNumberFormat="1" applyFont="1" applyFill="1" applyBorder="1" applyAlignment="1">
      <alignment horizontal="center"/>
    </xf>
    <xf numFmtId="4" fontId="7" fillId="4" borderId="43" xfId="0" applyNumberFormat="1" applyFont="1" applyFill="1" applyBorder="1" applyAlignment="1">
      <alignment horizontal="center"/>
    </xf>
    <xf numFmtId="4" fontId="7" fillId="9" borderId="34" xfId="0" applyNumberFormat="1" applyFont="1" applyFill="1" applyBorder="1" applyAlignment="1">
      <alignment horizontal="center"/>
    </xf>
    <xf numFmtId="4" fontId="7" fillId="4" borderId="34" xfId="0" applyNumberFormat="1" applyFont="1" applyFill="1" applyBorder="1" applyAlignment="1">
      <alignment horizontal="center"/>
    </xf>
    <xf numFmtId="4" fontId="0" fillId="6" borderId="25" xfId="0" applyNumberFormat="1" applyFill="1" applyBorder="1" applyAlignment="1">
      <alignment horizontal="center"/>
    </xf>
    <xf numFmtId="4" fontId="1" fillId="6" borderId="25" xfId="0" applyNumberFormat="1" applyFont="1" applyFill="1" applyBorder="1" applyAlignment="1">
      <alignment horizontal="center"/>
    </xf>
    <xf numFmtId="165" fontId="0" fillId="6" borderId="25" xfId="0" applyNumberFormat="1" applyFill="1" applyBorder="1" applyAlignment="1">
      <alignment horizontal="center"/>
    </xf>
    <xf numFmtId="4" fontId="0" fillId="3" borderId="25" xfId="0" applyNumberFormat="1" applyFill="1" applyBorder="1" applyAlignment="1">
      <alignment horizontal="center"/>
    </xf>
    <xf numFmtId="4" fontId="2" fillId="4" borderId="25" xfId="0" applyNumberFormat="1" applyFont="1" applyFill="1" applyBorder="1" applyAlignment="1">
      <alignment horizontal="center"/>
    </xf>
    <xf numFmtId="4" fontId="1" fillId="4" borderId="25" xfId="0" applyNumberFormat="1" applyFont="1" applyFill="1" applyBorder="1" applyAlignment="1">
      <alignment horizontal="center"/>
    </xf>
    <xf numFmtId="9" fontId="7" fillId="2" borderId="30" xfId="3" applyFont="1" applyFill="1" applyBorder="1" applyAlignment="1">
      <alignment horizontal="center"/>
    </xf>
    <xf numFmtId="0" fontId="0" fillId="6" borderId="43" xfId="0" applyFill="1" applyBorder="1" applyAlignment="1">
      <alignment horizontal="center"/>
    </xf>
    <xf numFmtId="4" fontId="0" fillId="6" borderId="35" xfId="0" applyNumberFormat="1" applyFill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9" fontId="15" fillId="0" borderId="43" xfId="3" applyFont="1" applyBorder="1" applyAlignment="1">
      <alignment horizontal="center" vertical="center"/>
    </xf>
    <xf numFmtId="9" fontId="0" fillId="6" borderId="43" xfId="3" applyFont="1" applyFill="1" applyBorder="1" applyAlignment="1">
      <alignment horizontal="center"/>
    </xf>
    <xf numFmtId="4" fontId="0" fillId="6" borderId="76" xfId="0" applyNumberFormat="1" applyFill="1" applyBorder="1" applyAlignment="1">
      <alignment horizontal="center"/>
    </xf>
    <xf numFmtId="4" fontId="2" fillId="6" borderId="43" xfId="0" applyNumberFormat="1" applyFont="1" applyFill="1" applyBorder="1" applyAlignment="1">
      <alignment horizontal="center"/>
    </xf>
    <xf numFmtId="165" fontId="0" fillId="6" borderId="43" xfId="0" applyNumberFormat="1" applyFill="1" applyBorder="1" applyAlignment="1">
      <alignment horizontal="center"/>
    </xf>
    <xf numFmtId="4" fontId="0" fillId="3" borderId="43" xfId="0" applyNumberFormat="1" applyFill="1" applyBorder="1" applyAlignment="1">
      <alignment horizontal="center"/>
    </xf>
    <xf numFmtId="4" fontId="2" fillId="4" borderId="43" xfId="0" applyNumberFormat="1" applyFont="1" applyFill="1" applyBorder="1" applyAlignment="1">
      <alignment horizontal="center"/>
    </xf>
    <xf numFmtId="4" fontId="0" fillId="0" borderId="65" xfId="0" applyNumberFormat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4" fontId="0" fillId="6" borderId="74" xfId="0" applyNumberFormat="1" applyFill="1" applyBorder="1" applyAlignment="1">
      <alignment horizontal="center"/>
    </xf>
    <xf numFmtId="4" fontId="8" fillId="12" borderId="47" xfId="0" applyNumberFormat="1" applyFont="1" applyFill="1" applyBorder="1" applyAlignment="1">
      <alignment horizontal="left"/>
    </xf>
    <xf numFmtId="4" fontId="8" fillId="6" borderId="12" xfId="0" applyNumberFormat="1" applyFont="1" applyFill="1" applyBorder="1" applyAlignment="1">
      <alignment horizontal="left"/>
    </xf>
    <xf numFmtId="4" fontId="8" fillId="12" borderId="12" xfId="0" applyNumberFormat="1" applyFont="1" applyFill="1" applyBorder="1" applyAlignment="1">
      <alignment horizontal="left"/>
    </xf>
    <xf numFmtId="4" fontId="8" fillId="6" borderId="77" xfId="0" applyNumberFormat="1" applyFont="1" applyFill="1" applyBorder="1" applyAlignment="1">
      <alignment horizontal="left"/>
    </xf>
    <xf numFmtId="4" fontId="8" fillId="14" borderId="78" xfId="0" applyNumberFormat="1" applyFont="1" applyFill="1" applyBorder="1" applyAlignment="1">
      <alignment horizontal="left"/>
    </xf>
    <xf numFmtId="4" fontId="8" fillId="13" borderId="77" xfId="0" applyNumberFormat="1" applyFont="1" applyFill="1" applyBorder="1" applyAlignment="1">
      <alignment horizontal="left"/>
    </xf>
    <xf numFmtId="0" fontId="0" fillId="6" borderId="25" xfId="0" applyFill="1" applyBorder="1"/>
    <xf numFmtId="4" fontId="13" fillId="6" borderId="12" xfId="0" applyNumberFormat="1" applyFont="1" applyFill="1" applyBorder="1" applyAlignment="1">
      <alignment horizontal="center"/>
    </xf>
    <xf numFmtId="4" fontId="8" fillId="13" borderId="74" xfId="0" applyNumberFormat="1" applyFont="1" applyFill="1" applyBorder="1" applyAlignment="1">
      <alignment horizontal="center" vertical="center"/>
    </xf>
    <xf numFmtId="4" fontId="7" fillId="12" borderId="22" xfId="0" applyNumberFormat="1" applyFont="1" applyFill="1" applyBorder="1" applyAlignment="1">
      <alignment horizontal="center"/>
    </xf>
    <xf numFmtId="4" fontId="0" fillId="13" borderId="76" xfId="0" applyNumberFormat="1" applyFill="1" applyBorder="1" applyAlignment="1">
      <alignment horizontal="center"/>
    </xf>
    <xf numFmtId="4" fontId="0" fillId="13" borderId="74" xfId="0" applyNumberFormat="1" applyFill="1" applyBorder="1" applyAlignment="1">
      <alignment horizontal="center"/>
    </xf>
    <xf numFmtId="4" fontId="0" fillId="0" borderId="25" xfId="0" applyNumberFormat="1" applyBorder="1" applyAlignment="1">
      <alignment horizontal="center"/>
    </xf>
    <xf numFmtId="4" fontId="2" fillId="4" borderId="13" xfId="0" applyNumberFormat="1" applyFont="1" applyFill="1" applyBorder="1" applyAlignment="1">
      <alignment horizontal="center"/>
    </xf>
    <xf numFmtId="4" fontId="7" fillId="12" borderId="45" xfId="0" applyNumberFormat="1" applyFont="1" applyFill="1" applyBorder="1" applyAlignment="1">
      <alignment horizontal="center"/>
    </xf>
    <xf numFmtId="4" fontId="4" fillId="5" borderId="43" xfId="0" applyNumberFormat="1" applyFont="1" applyFill="1" applyBorder="1" applyAlignment="1">
      <alignment horizontal="center"/>
    </xf>
    <xf numFmtId="4" fontId="5" fillId="5" borderId="25" xfId="0" applyNumberFormat="1" applyFont="1" applyFill="1" applyBorder="1" applyAlignment="1">
      <alignment horizontal="center"/>
    </xf>
    <xf numFmtId="4" fontId="7" fillId="5" borderId="25" xfId="0" applyNumberFormat="1" applyFont="1" applyFill="1" applyBorder="1" applyAlignment="1">
      <alignment horizontal="center"/>
    </xf>
    <xf numFmtId="4" fontId="0" fillId="0" borderId="74" xfId="0" applyNumberFormat="1" applyBorder="1" applyAlignment="1">
      <alignment horizontal="center"/>
    </xf>
    <xf numFmtId="4" fontId="7" fillId="10" borderId="15" xfId="0" applyNumberFormat="1" applyFont="1" applyFill="1" applyBorder="1" applyAlignment="1">
      <alignment horizontal="center"/>
    </xf>
    <xf numFmtId="9" fontId="7" fillId="14" borderId="38" xfId="3" applyFont="1" applyFill="1" applyBorder="1" applyAlignment="1">
      <alignment horizontal="center"/>
    </xf>
    <xf numFmtId="4" fontId="2" fillId="0" borderId="43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4" fontId="1" fillId="0" borderId="13" xfId="0" applyNumberFormat="1" applyFont="1" applyBorder="1" applyAlignment="1">
      <alignment horizontal="center"/>
    </xf>
    <xf numFmtId="4" fontId="3" fillId="12" borderId="15" xfId="0" applyNumberFormat="1" applyFont="1" applyFill="1" applyBorder="1" applyAlignment="1">
      <alignment horizontal="center"/>
    </xf>
    <xf numFmtId="4" fontId="11" fillId="12" borderId="13" xfId="0" applyNumberFormat="1" applyFont="1" applyFill="1" applyBorder="1" applyAlignment="1">
      <alignment horizontal="center"/>
    </xf>
    <xf numFmtId="4" fontId="11" fillId="12" borderId="25" xfId="0" applyNumberFormat="1" applyFont="1" applyFill="1" applyBorder="1" applyAlignment="1">
      <alignment horizontal="center"/>
    </xf>
    <xf numFmtId="4" fontId="11" fillId="14" borderId="43" xfId="0" applyNumberFormat="1" applyFont="1" applyFill="1" applyBorder="1" applyAlignment="1">
      <alignment horizontal="center"/>
    </xf>
    <xf numFmtId="4" fontId="11" fillId="13" borderId="25" xfId="0" applyNumberFormat="1" applyFont="1" applyFill="1" applyBorder="1" applyAlignment="1">
      <alignment horizontal="center"/>
    </xf>
    <xf numFmtId="4" fontId="8" fillId="14" borderId="27" xfId="0" applyNumberFormat="1" applyFont="1" applyFill="1" applyBorder="1" applyAlignment="1">
      <alignment horizontal="center"/>
    </xf>
    <xf numFmtId="4" fontId="8" fillId="0" borderId="25" xfId="0" applyNumberFormat="1" applyFont="1" applyBorder="1" applyAlignment="1">
      <alignment horizontal="center"/>
    </xf>
    <xf numFmtId="9" fontId="0" fillId="6" borderId="13" xfId="3" applyFont="1" applyFill="1" applyBorder="1" applyAlignment="1">
      <alignment horizontal="center" vertical="top" wrapText="1"/>
    </xf>
    <xf numFmtId="9" fontId="0" fillId="12" borderId="15" xfId="3" applyFont="1" applyFill="1" applyBorder="1" applyAlignment="1">
      <alignment horizontal="center" vertical="center"/>
    </xf>
    <xf numFmtId="9" fontId="0" fillId="12" borderId="21" xfId="3" applyFont="1" applyFill="1" applyBorder="1" applyAlignment="1">
      <alignment horizontal="center" vertical="center"/>
    </xf>
    <xf numFmtId="9" fontId="0" fillId="13" borderId="7" xfId="3" applyFont="1" applyFill="1" applyBorder="1" applyAlignment="1">
      <alignment horizontal="center" vertical="center"/>
    </xf>
    <xf numFmtId="9" fontId="0" fillId="0" borderId="43" xfId="3" applyFont="1" applyBorder="1" applyAlignment="1">
      <alignment horizontal="center" vertical="center"/>
    </xf>
    <xf numFmtId="9" fontId="0" fillId="0" borderId="25" xfId="3" applyFont="1" applyFill="1" applyBorder="1" applyAlignment="1">
      <alignment horizontal="center" vertical="center"/>
    </xf>
    <xf numFmtId="9" fontId="0" fillId="6" borderId="25" xfId="3" applyFont="1" applyFill="1" applyBorder="1" applyAlignment="1">
      <alignment horizontal="center"/>
    </xf>
    <xf numFmtId="9" fontId="0" fillId="12" borderId="81" xfId="3" applyFont="1" applyFill="1" applyBorder="1" applyAlignment="1">
      <alignment horizontal="center" vertical="center"/>
    </xf>
    <xf numFmtId="9" fontId="0" fillId="12" borderId="13" xfId="3" applyFont="1" applyFill="1" applyBorder="1" applyAlignment="1">
      <alignment horizontal="center" vertical="center"/>
    </xf>
    <xf numFmtId="4" fontId="0" fillId="6" borderId="54" xfId="0" applyNumberFormat="1" applyFill="1" applyBorder="1" applyAlignment="1">
      <alignment horizontal="center" vertical="top" wrapText="1"/>
    </xf>
    <xf numFmtId="4" fontId="9" fillId="6" borderId="24" xfId="0" applyNumberFormat="1" applyFont="1" applyFill="1" applyBorder="1" applyAlignment="1">
      <alignment horizontal="center"/>
    </xf>
    <xf numFmtId="4" fontId="9" fillId="6" borderId="79" xfId="0" applyNumberFormat="1" applyFont="1" applyFill="1" applyBorder="1" applyAlignment="1">
      <alignment horizontal="center"/>
    </xf>
    <xf numFmtId="4" fontId="9" fillId="6" borderId="28" xfId="0" applyNumberFormat="1" applyFont="1" applyFill="1" applyBorder="1" applyAlignment="1">
      <alignment horizontal="center"/>
    </xf>
    <xf numFmtId="4" fontId="7" fillId="12" borderId="14" xfId="0" applyNumberFormat="1" applyFont="1" applyFill="1" applyBorder="1" applyAlignment="1">
      <alignment horizontal="center"/>
    </xf>
    <xf numFmtId="4" fontId="2" fillId="6" borderId="26" xfId="0" applyNumberFormat="1" applyFont="1" applyFill="1" applyBorder="1" applyAlignment="1">
      <alignment horizontal="center"/>
    </xf>
    <xf numFmtId="4" fontId="2" fillId="12" borderId="26" xfId="0" applyNumberFormat="1" applyFont="1" applyFill="1" applyBorder="1" applyAlignment="1">
      <alignment horizontal="center"/>
    </xf>
    <xf numFmtId="9" fontId="0" fillId="0" borderId="64" xfId="3" applyFont="1" applyBorder="1" applyAlignment="1">
      <alignment horizontal="center" vertical="center"/>
    </xf>
    <xf numFmtId="4" fontId="1" fillId="6" borderId="13" xfId="0" applyNumberFormat="1" applyFont="1" applyFill="1" applyBorder="1" applyAlignment="1">
      <alignment horizontal="center"/>
    </xf>
    <xf numFmtId="4" fontId="2" fillId="3" borderId="35" xfId="0" applyNumberFormat="1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/>
    </xf>
    <xf numFmtId="4" fontId="7" fillId="3" borderId="44" xfId="0" applyNumberFormat="1" applyFont="1" applyFill="1" applyBorder="1" applyAlignment="1">
      <alignment horizontal="center"/>
    </xf>
    <xf numFmtId="4" fontId="7" fillId="12" borderId="80" xfId="0" applyNumberFormat="1" applyFont="1" applyFill="1" applyBorder="1" applyAlignment="1">
      <alignment horizontal="center"/>
    </xf>
    <xf numFmtId="4" fontId="0" fillId="3" borderId="45" xfId="0" applyNumberFormat="1" applyFill="1" applyBorder="1" applyAlignment="1">
      <alignment horizontal="center"/>
    </xf>
    <xf numFmtId="4" fontId="0" fillId="13" borderId="44" xfId="0" applyNumberFormat="1" applyFill="1" applyBorder="1" applyAlignment="1">
      <alignment horizontal="center"/>
    </xf>
    <xf numFmtId="4" fontId="0" fillId="3" borderId="80" xfId="0" applyNumberFormat="1" applyFill="1" applyBorder="1" applyAlignment="1">
      <alignment horizontal="center"/>
    </xf>
    <xf numFmtId="4" fontId="0" fillId="14" borderId="82" xfId="0" applyNumberFormat="1" applyFill="1" applyBorder="1" applyAlignment="1">
      <alignment horizontal="center"/>
    </xf>
    <xf numFmtId="4" fontId="0" fillId="3" borderId="44" xfId="0" applyNumberFormat="1" applyFill="1" applyBorder="1" applyAlignment="1">
      <alignment horizontal="center"/>
    </xf>
    <xf numFmtId="4" fontId="0" fillId="13" borderId="35" xfId="0" applyNumberForma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9" fontId="7" fillId="6" borderId="13" xfId="3" applyFont="1" applyFill="1" applyBorder="1" applyAlignment="1">
      <alignment horizontal="center" vertical="top" wrapText="1"/>
    </xf>
    <xf numFmtId="4" fontId="0" fillId="6" borderId="13" xfId="0" applyNumberFormat="1" applyFill="1" applyBorder="1" applyAlignment="1">
      <alignment horizontal="center"/>
    </xf>
    <xf numFmtId="10" fontId="0" fillId="3" borderId="13" xfId="3" applyNumberFormat="1" applyFont="1" applyFill="1" applyBorder="1" applyAlignment="1">
      <alignment horizontal="center"/>
    </xf>
    <xf numFmtId="4" fontId="0" fillId="9" borderId="44" xfId="0" applyNumberFormat="1" applyFill="1" applyBorder="1" applyAlignment="1">
      <alignment horizontal="center"/>
    </xf>
    <xf numFmtId="10" fontId="0" fillId="9" borderId="13" xfId="3" applyNumberFormat="1" applyFont="1" applyFill="1" applyBorder="1" applyAlignment="1">
      <alignment horizontal="center"/>
    </xf>
    <xf numFmtId="0" fontId="8" fillId="6" borderId="13" xfId="0" applyFont="1" applyFill="1" applyBorder="1" applyAlignment="1">
      <alignment horizontal="left"/>
    </xf>
    <xf numFmtId="0" fontId="6" fillId="12" borderId="27" xfId="0" applyFont="1" applyFill="1" applyBorder="1" applyAlignment="1">
      <alignment horizontal="center"/>
    </xf>
    <xf numFmtId="0" fontId="8" fillId="12" borderId="27" xfId="0" applyFont="1" applyFill="1" applyBorder="1"/>
    <xf numFmtId="0" fontId="1" fillId="6" borderId="83" xfId="0" applyFont="1" applyFill="1" applyBorder="1" applyAlignment="1">
      <alignment horizontal="center"/>
    </xf>
    <xf numFmtId="0" fontId="6" fillId="12" borderId="43" xfId="0" applyFont="1" applyFill="1" applyBorder="1" applyAlignment="1">
      <alignment horizontal="center"/>
    </xf>
    <xf numFmtId="0" fontId="8" fillId="12" borderId="43" xfId="0" applyFont="1" applyFill="1" applyBorder="1"/>
    <xf numFmtId="0" fontId="6" fillId="12" borderId="25" xfId="0" applyFont="1" applyFill="1" applyBorder="1" applyAlignment="1">
      <alignment horizontal="center"/>
    </xf>
    <xf numFmtId="0" fontId="8" fillId="14" borderId="25" xfId="0" applyFont="1" applyFill="1" applyBorder="1"/>
    <xf numFmtId="0" fontId="6" fillId="6" borderId="83" xfId="0" applyFont="1" applyFill="1" applyBorder="1" applyAlignment="1">
      <alignment horizontal="center"/>
    </xf>
    <xf numFmtId="0" fontId="6" fillId="14" borderId="25" xfId="0" applyFont="1" applyFill="1" applyBorder="1" applyAlignment="1">
      <alignment horizontal="center"/>
    </xf>
    <xf numFmtId="0" fontId="6" fillId="13" borderId="25" xfId="0" applyFont="1" applyFill="1" applyBorder="1" applyAlignment="1">
      <alignment horizontal="center"/>
    </xf>
    <xf numFmtId="0" fontId="8" fillId="13" borderId="25" xfId="0" applyFont="1" applyFill="1" applyBorder="1"/>
    <xf numFmtId="0" fontId="1" fillId="13" borderId="25" xfId="0" applyFont="1" applyFill="1" applyBorder="1" applyAlignment="1">
      <alignment horizontal="center"/>
    </xf>
    <xf numFmtId="0" fontId="6" fillId="0" borderId="8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" fontId="8" fillId="0" borderId="12" xfId="0" applyNumberFormat="1" applyFont="1" applyBorder="1" applyAlignment="1">
      <alignment horizontal="center" vertical="center"/>
    </xf>
    <xf numFmtId="4" fontId="13" fillId="0" borderId="13" xfId="0" applyNumberFormat="1" applyFont="1" applyBorder="1" applyAlignment="1">
      <alignment horizontal="center"/>
    </xf>
    <xf numFmtId="4" fontId="8" fillId="0" borderId="13" xfId="0" applyNumberFormat="1" applyFont="1" applyBorder="1" applyAlignment="1">
      <alignment horizontal="center"/>
    </xf>
    <xf numFmtId="9" fontId="0" fillId="0" borderId="13" xfId="3" applyFont="1" applyFill="1" applyBorder="1" applyAlignment="1">
      <alignment horizontal="center" vertical="center"/>
    </xf>
    <xf numFmtId="4" fontId="8" fillId="0" borderId="12" xfId="0" applyNumberFormat="1" applyFon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165" fontId="8" fillId="0" borderId="13" xfId="0" applyNumberFormat="1" applyFont="1" applyBorder="1" applyAlignment="1">
      <alignment horizontal="center"/>
    </xf>
    <xf numFmtId="4" fontId="0" fillId="8" borderId="44" xfId="0" applyNumberFormat="1" applyFill="1" applyBorder="1" applyAlignment="1">
      <alignment horizontal="center"/>
    </xf>
    <xf numFmtId="10" fontId="7" fillId="8" borderId="13" xfId="0" applyNumberFormat="1" applyFont="1" applyFill="1" applyBorder="1" applyAlignment="1">
      <alignment horizontal="center"/>
    </xf>
    <xf numFmtId="10" fontId="7" fillId="9" borderId="13" xfId="0" applyNumberFormat="1" applyFont="1" applyFill="1" applyBorder="1" applyAlignment="1">
      <alignment horizontal="center"/>
    </xf>
    <xf numFmtId="4" fontId="7" fillId="10" borderId="13" xfId="0" applyNumberFormat="1" applyFont="1" applyFill="1" applyBorder="1" applyAlignment="1">
      <alignment horizontal="center"/>
    </xf>
    <xf numFmtId="4" fontId="11" fillId="0" borderId="13" xfId="0" applyNumberFormat="1" applyFont="1" applyBorder="1" applyAlignment="1">
      <alignment horizontal="center"/>
    </xf>
    <xf numFmtId="4" fontId="0" fillId="0" borderId="12" xfId="0" applyNumberFormat="1" applyBorder="1" applyAlignment="1">
      <alignment horizontal="center"/>
    </xf>
    <xf numFmtId="3" fontId="0" fillId="13" borderId="44" xfId="0" applyNumberFormat="1" applyFill="1" applyBorder="1" applyAlignment="1">
      <alignment horizontal="center"/>
    </xf>
    <xf numFmtId="0" fontId="0" fillId="13" borderId="44" xfId="0" applyFill="1" applyBorder="1"/>
    <xf numFmtId="0" fontId="6" fillId="6" borderId="84" xfId="0" applyFont="1" applyFill="1" applyBorder="1" applyAlignment="1">
      <alignment horizontal="center"/>
    </xf>
    <xf numFmtId="0" fontId="6" fillId="6" borderId="85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4" fontId="8" fillId="6" borderId="46" xfId="0" applyNumberFormat="1" applyFont="1" applyFill="1" applyBorder="1" applyAlignment="1">
      <alignment horizontal="center" vertical="center"/>
    </xf>
    <xf numFmtId="4" fontId="8" fillId="0" borderId="46" xfId="0" applyNumberFormat="1" applyFont="1" applyBorder="1" applyAlignment="1">
      <alignment horizontal="center"/>
    </xf>
    <xf numFmtId="4" fontId="0" fillId="0" borderId="24" xfId="0" applyNumberFormat="1" applyBorder="1" applyAlignment="1">
      <alignment horizontal="center"/>
    </xf>
    <xf numFmtId="165" fontId="8" fillId="6" borderId="25" xfId="0" applyNumberFormat="1" applyFont="1" applyFill="1" applyBorder="1" applyAlignment="1">
      <alignment horizontal="center"/>
    </xf>
    <xf numFmtId="4" fontId="0" fillId="8" borderId="25" xfId="0" applyNumberFormat="1" applyFill="1" applyBorder="1" applyAlignment="1">
      <alignment horizontal="center"/>
    </xf>
    <xf numFmtId="4" fontId="0" fillId="8" borderId="0" xfId="0" applyNumberFormat="1" applyFill="1" applyAlignment="1">
      <alignment horizontal="center"/>
    </xf>
    <xf numFmtId="4" fontId="0" fillId="9" borderId="25" xfId="0" applyNumberFormat="1" applyFill="1" applyBorder="1" applyAlignment="1">
      <alignment horizontal="center"/>
    </xf>
    <xf numFmtId="10" fontId="7" fillId="4" borderId="25" xfId="0" applyNumberFormat="1" applyFont="1" applyFill="1" applyBorder="1" applyAlignment="1">
      <alignment horizontal="center"/>
    </xf>
    <xf numFmtId="4" fontId="0" fillId="0" borderId="46" xfId="0" applyNumberFormat="1" applyBorder="1" applyAlignment="1">
      <alignment horizontal="center"/>
    </xf>
    <xf numFmtId="4" fontId="8" fillId="6" borderId="12" xfId="0" applyNumberFormat="1" applyFont="1" applyFill="1" applyBorder="1" applyAlignment="1">
      <alignment horizontal="center" vertical="center"/>
    </xf>
    <xf numFmtId="10" fontId="7" fillId="4" borderId="13" xfId="0" applyNumberFormat="1" applyFont="1" applyFill="1" applyBorder="1" applyAlignment="1">
      <alignment horizontal="center"/>
    </xf>
    <xf numFmtId="4" fontId="0" fillId="0" borderId="44" xfId="0" applyNumberForma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0" fontId="0" fillId="0" borderId="44" xfId="0" applyBorder="1"/>
    <xf numFmtId="4" fontId="7" fillId="10" borderId="43" xfId="0" applyNumberFormat="1" applyFont="1" applyFill="1" applyBorder="1" applyAlignment="1">
      <alignment horizontal="center"/>
    </xf>
    <xf numFmtId="0" fontId="6" fillId="6" borderId="21" xfId="0" applyFont="1" applyFill="1" applyBorder="1" applyAlignment="1">
      <alignment horizontal="center"/>
    </xf>
    <xf numFmtId="4" fontId="7" fillId="9" borderId="43" xfId="0" applyNumberFormat="1" applyFont="1" applyFill="1" applyBorder="1" applyAlignment="1">
      <alignment horizontal="center"/>
    </xf>
    <xf numFmtId="4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 vertical="center"/>
    </xf>
    <xf numFmtId="4" fontId="8" fillId="12" borderId="12" xfId="0" applyNumberFormat="1" applyFont="1" applyFill="1" applyBorder="1" applyAlignment="1">
      <alignment horizontal="center" vertical="center"/>
    </xf>
    <xf numFmtId="4" fontId="2" fillId="6" borderId="14" xfId="0" applyNumberFormat="1" applyFont="1" applyFill="1" applyBorder="1" applyAlignment="1">
      <alignment horizontal="center"/>
    </xf>
    <xf numFmtId="4" fontId="8" fillId="6" borderId="13" xfId="0" applyNumberFormat="1" applyFont="1" applyFill="1" applyBorder="1" applyAlignment="1">
      <alignment horizontal="center" vertical="center"/>
    </xf>
    <xf numFmtId="4" fontId="2" fillId="8" borderId="13" xfId="0" applyNumberFormat="1" applyFont="1" applyFill="1" applyBorder="1" applyAlignment="1">
      <alignment horizontal="center"/>
    </xf>
    <xf numFmtId="4" fontId="7" fillId="8" borderId="44" xfId="0" applyNumberFormat="1" applyFont="1" applyFill="1" applyBorder="1" applyAlignment="1">
      <alignment horizontal="center"/>
    </xf>
    <xf numFmtId="4" fontId="7" fillId="0" borderId="12" xfId="0" applyNumberFormat="1" applyFont="1" applyBorder="1" applyAlignment="1">
      <alignment horizontal="center"/>
    </xf>
    <xf numFmtId="4" fontId="7" fillId="0" borderId="44" xfId="0" applyNumberFormat="1" applyFont="1" applyBorder="1" applyAlignment="1">
      <alignment horizontal="center"/>
    </xf>
    <xf numFmtId="3" fontId="7" fillId="0" borderId="44" xfId="0" applyNumberFormat="1" applyFont="1" applyBorder="1" applyAlignment="1">
      <alignment horizontal="center"/>
    </xf>
    <xf numFmtId="0" fontId="7" fillId="0" borderId="44" xfId="0" applyFont="1" applyBorder="1"/>
    <xf numFmtId="4" fontId="13" fillId="11" borderId="12" xfId="0" applyNumberFormat="1" applyFont="1" applyFill="1" applyBorder="1" applyAlignment="1">
      <alignment horizontal="center"/>
    </xf>
    <xf numFmtId="9" fontId="0" fillId="0" borderId="14" xfId="3" applyFont="1" applyBorder="1" applyAlignment="1">
      <alignment horizontal="center" vertical="center"/>
    </xf>
    <xf numFmtId="9" fontId="7" fillId="2" borderId="12" xfId="3" applyFont="1" applyFill="1" applyBorder="1" applyAlignment="1">
      <alignment horizontal="center"/>
    </xf>
    <xf numFmtId="4" fontId="13" fillId="11" borderId="35" xfId="0" applyNumberFormat="1" applyFont="1" applyFill="1" applyBorder="1" applyAlignment="1">
      <alignment horizontal="center"/>
    </xf>
    <xf numFmtId="4" fontId="13" fillId="13" borderId="46" xfId="0" applyNumberFormat="1" applyFont="1" applyFill="1" applyBorder="1" applyAlignment="1">
      <alignment horizontal="center"/>
    </xf>
    <xf numFmtId="4" fontId="13" fillId="13" borderId="25" xfId="0" applyNumberFormat="1" applyFont="1" applyFill="1" applyBorder="1" applyAlignment="1">
      <alignment horizontal="center"/>
    </xf>
    <xf numFmtId="4" fontId="8" fillId="13" borderId="25" xfId="0" applyNumberFormat="1" applyFont="1" applyFill="1" applyBorder="1" applyAlignment="1">
      <alignment horizontal="center"/>
    </xf>
    <xf numFmtId="9" fontId="0" fillId="13" borderId="25" xfId="3" applyFont="1" applyFill="1" applyBorder="1" applyAlignment="1">
      <alignment horizontal="center" vertical="center"/>
    </xf>
    <xf numFmtId="4" fontId="13" fillId="13" borderId="0" xfId="0" applyNumberFormat="1" applyFont="1" applyFill="1" applyAlignment="1">
      <alignment horizontal="center"/>
    </xf>
    <xf numFmtId="165" fontId="8" fillId="13" borderId="25" xfId="0" applyNumberFormat="1" applyFont="1" applyFill="1" applyBorder="1" applyAlignment="1">
      <alignment horizontal="center"/>
    </xf>
    <xf numFmtId="4" fontId="1" fillId="13" borderId="25" xfId="0" applyNumberFormat="1" applyFont="1" applyFill="1" applyBorder="1" applyAlignment="1">
      <alignment horizontal="center"/>
    </xf>
    <xf numFmtId="9" fontId="7" fillId="13" borderId="0" xfId="3" applyFont="1" applyFill="1" applyBorder="1" applyAlignment="1">
      <alignment horizontal="center"/>
    </xf>
    <xf numFmtId="4" fontId="13" fillId="11" borderId="44" xfId="0" applyNumberFormat="1" applyFont="1" applyFill="1" applyBorder="1" applyAlignment="1">
      <alignment horizontal="center"/>
    </xf>
    <xf numFmtId="9" fontId="0" fillId="0" borderId="44" xfId="3" applyFont="1" applyBorder="1" applyAlignment="1">
      <alignment horizontal="center" vertical="center"/>
    </xf>
    <xf numFmtId="9" fontId="7" fillId="2" borderId="44" xfId="3" applyFont="1" applyFill="1" applyBorder="1" applyAlignment="1">
      <alignment horizontal="center"/>
    </xf>
    <xf numFmtId="0" fontId="7" fillId="6" borderId="83" xfId="0" applyFon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9" fontId="12" fillId="0" borderId="13" xfId="3" applyFont="1" applyFill="1" applyBorder="1" applyAlignment="1">
      <alignment horizontal="center" vertical="center"/>
    </xf>
    <xf numFmtId="4" fontId="18" fillId="8" borderId="13" xfId="0" applyNumberFormat="1" applyFont="1" applyFill="1" applyBorder="1" applyAlignment="1">
      <alignment horizontal="center"/>
    </xf>
    <xf numFmtId="4" fontId="18" fillId="9" borderId="13" xfId="0" applyNumberFormat="1" applyFont="1" applyFill="1" applyBorder="1" applyAlignment="1">
      <alignment horizontal="center"/>
    </xf>
    <xf numFmtId="4" fontId="0" fillId="10" borderId="13" xfId="0" applyNumberFormat="1" applyFill="1" applyBorder="1" applyAlignment="1">
      <alignment horizontal="center"/>
    </xf>
    <xf numFmtId="4" fontId="1" fillId="6" borderId="27" xfId="0" applyNumberFormat="1" applyFont="1" applyFill="1" applyBorder="1" applyAlignment="1">
      <alignment horizontal="center"/>
    </xf>
    <xf numFmtId="4" fontId="8" fillId="13" borderId="65" xfId="0" applyNumberFormat="1" applyFont="1" applyFill="1" applyBorder="1" applyAlignment="1">
      <alignment horizontal="left"/>
    </xf>
    <xf numFmtId="0" fontId="8" fillId="6" borderId="13" xfId="0" applyFont="1" applyFill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13" borderId="25" xfId="0" applyFont="1" applyFill="1" applyBorder="1" applyAlignment="1">
      <alignment vertical="center"/>
    </xf>
    <xf numFmtId="0" fontId="8" fillId="0" borderId="13" xfId="0" applyFont="1" applyBorder="1" applyAlignment="1">
      <alignment vertical="center"/>
    </xf>
    <xf numFmtId="4" fontId="13" fillId="6" borderId="47" xfId="0" applyNumberFormat="1" applyFont="1" applyFill="1" applyBorder="1" applyAlignment="1">
      <alignment horizontal="center"/>
    </xf>
    <xf numFmtId="9" fontId="0" fillId="0" borderId="27" xfId="3" applyFont="1" applyBorder="1" applyAlignment="1">
      <alignment horizontal="center" vertical="center"/>
    </xf>
    <xf numFmtId="4" fontId="13" fillId="11" borderId="30" xfId="0" applyNumberFormat="1" applyFont="1" applyFill="1" applyBorder="1" applyAlignment="1">
      <alignment horizontal="center"/>
    </xf>
    <xf numFmtId="4" fontId="2" fillId="3" borderId="15" xfId="0" applyNumberFormat="1" applyFont="1" applyFill="1" applyBorder="1" applyAlignment="1">
      <alignment horizontal="center"/>
    </xf>
    <xf numFmtId="10" fontId="7" fillId="8" borderId="15" xfId="0" applyNumberFormat="1" applyFont="1" applyFill="1" applyBorder="1" applyAlignment="1">
      <alignment horizontal="center"/>
    </xf>
    <xf numFmtId="10" fontId="7" fillId="9" borderId="15" xfId="0" applyNumberFormat="1" applyFont="1" applyFill="1" applyBorder="1" applyAlignment="1">
      <alignment horizontal="center"/>
    </xf>
    <xf numFmtId="4" fontId="7" fillId="10" borderId="75" xfId="0" applyNumberFormat="1" applyFont="1" applyFill="1" applyBorder="1" applyAlignment="1">
      <alignment horizontal="center"/>
    </xf>
    <xf numFmtId="9" fontId="0" fillId="14" borderId="27" xfId="3" applyFont="1" applyFill="1" applyBorder="1" applyAlignment="1">
      <alignment horizontal="center" vertical="center"/>
    </xf>
    <xf numFmtId="4" fontId="13" fillId="14" borderId="30" xfId="0" applyNumberFormat="1" applyFont="1" applyFill="1" applyBorder="1" applyAlignment="1">
      <alignment horizontal="center"/>
    </xf>
    <xf numFmtId="4" fontId="7" fillId="14" borderId="15" xfId="0" applyNumberFormat="1" applyFont="1" applyFill="1" applyBorder="1" applyAlignment="1">
      <alignment horizontal="center"/>
    </xf>
    <xf numFmtId="4" fontId="11" fillId="0" borderId="75" xfId="0" applyNumberFormat="1" applyFont="1" applyBorder="1" applyAlignment="1">
      <alignment horizontal="center"/>
    </xf>
    <xf numFmtId="4" fontId="2" fillId="10" borderId="43" xfId="0" applyNumberFormat="1" applyFont="1" applyFill="1" applyBorder="1" applyAlignment="1">
      <alignment horizontal="center"/>
    </xf>
    <xf numFmtId="4" fontId="1" fillId="10" borderId="25" xfId="0" applyNumberFormat="1" applyFont="1" applyFill="1" applyBorder="1" applyAlignment="1">
      <alignment horizontal="center"/>
    </xf>
    <xf numFmtId="4" fontId="1" fillId="10" borderId="13" xfId="0" applyNumberFormat="1" applyFont="1" applyFill="1" applyBorder="1" applyAlignment="1">
      <alignment horizontal="center"/>
    </xf>
    <xf numFmtId="4" fontId="0" fillId="10" borderId="25" xfId="0" applyNumberFormat="1" applyFill="1" applyBorder="1" applyAlignment="1">
      <alignment horizontal="center"/>
    </xf>
    <xf numFmtId="4" fontId="1" fillId="6" borderId="13" xfId="0" applyNumberFormat="1" applyFont="1" applyFill="1" applyBorder="1" applyAlignment="1">
      <alignment horizontal="center" wrapText="1"/>
    </xf>
    <xf numFmtId="4" fontId="1" fillId="12" borderId="27" xfId="0" applyNumberFormat="1" applyFont="1" applyFill="1" applyBorder="1" applyAlignment="1">
      <alignment horizontal="center"/>
    </xf>
    <xf numFmtId="10" fontId="0" fillId="3" borderId="13" xfId="0" applyNumberFormat="1" applyFill="1" applyBorder="1" applyAlignment="1">
      <alignment horizontal="center"/>
    </xf>
    <xf numFmtId="4" fontId="0" fillId="4" borderId="13" xfId="0" applyNumberFormat="1" applyFill="1" applyBorder="1" applyAlignment="1">
      <alignment horizontal="center"/>
    </xf>
    <xf numFmtId="10" fontId="0" fillId="4" borderId="13" xfId="0" applyNumberFormat="1" applyFill="1" applyBorder="1" applyAlignment="1">
      <alignment horizontal="center"/>
    </xf>
    <xf numFmtId="4" fontId="0" fillId="5" borderId="13" xfId="0" applyNumberFormat="1" applyFill="1" applyBorder="1" applyAlignment="1">
      <alignment horizontal="center"/>
    </xf>
    <xf numFmtId="165" fontId="8" fillId="6" borderId="34" xfId="0" applyNumberFormat="1" applyFont="1" applyFill="1" applyBorder="1" applyAlignment="1">
      <alignment horizontal="center"/>
    </xf>
    <xf numFmtId="4" fontId="1" fillId="6" borderId="34" xfId="0" applyNumberFormat="1" applyFont="1" applyFill="1" applyBorder="1" applyAlignment="1">
      <alignment horizontal="center"/>
    </xf>
    <xf numFmtId="9" fontId="0" fillId="0" borderId="0" xfId="3" applyFont="1" applyFill="1" applyBorder="1" applyAlignment="1">
      <alignment horizontal="center"/>
    </xf>
    <xf numFmtId="4" fontId="0" fillId="10" borderId="0" xfId="0" applyNumberFormat="1" applyFill="1" applyAlignment="1">
      <alignment horizontal="center"/>
    </xf>
    <xf numFmtId="0" fontId="6" fillId="0" borderId="49" xfId="0" applyFont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8" fillId="6" borderId="49" xfId="0" applyFont="1" applyFill="1" applyBorder="1"/>
    <xf numFmtId="4" fontId="8" fillId="6" borderId="49" xfId="0" applyNumberFormat="1" applyFont="1" applyFill="1" applyBorder="1" applyAlignment="1">
      <alignment horizontal="center"/>
    </xf>
    <xf numFmtId="4" fontId="8" fillId="0" borderId="49" xfId="0" applyNumberFormat="1" applyFont="1" applyBorder="1" applyAlignment="1">
      <alignment horizontal="center"/>
    </xf>
    <xf numFmtId="9" fontId="0" fillId="0" borderId="49" xfId="3" applyFont="1" applyFill="1" applyBorder="1" applyAlignment="1">
      <alignment horizontal="center" vertical="center"/>
    </xf>
    <xf numFmtId="4" fontId="0" fillId="0" borderId="49" xfId="0" applyNumberFormat="1" applyBorder="1" applyAlignment="1">
      <alignment horizontal="center"/>
    </xf>
    <xf numFmtId="0" fontId="6" fillId="6" borderId="49" xfId="0" applyFont="1" applyFill="1" applyBorder="1" applyAlignment="1">
      <alignment horizontal="center"/>
    </xf>
    <xf numFmtId="0" fontId="8" fillId="6" borderId="49" xfId="0" applyFont="1" applyFill="1" applyBorder="1" applyAlignment="1">
      <alignment horizontal="left"/>
    </xf>
    <xf numFmtId="4" fontId="0" fillId="6" borderId="49" xfId="0" applyNumberFormat="1" applyFill="1" applyBorder="1" applyAlignment="1">
      <alignment horizontal="center"/>
    </xf>
    <xf numFmtId="0" fontId="0" fillId="6" borderId="49" xfId="0" applyFill="1" applyBorder="1"/>
    <xf numFmtId="4" fontId="8" fillId="6" borderId="12" xfId="0" applyNumberFormat="1" applyFont="1" applyFill="1" applyBorder="1" applyAlignment="1">
      <alignment horizontal="center"/>
    </xf>
    <xf numFmtId="4" fontId="8" fillId="12" borderId="47" xfId="0" applyNumberFormat="1" applyFont="1" applyFill="1" applyBorder="1" applyAlignment="1">
      <alignment horizontal="center"/>
    </xf>
    <xf numFmtId="4" fontId="13" fillId="12" borderId="47" xfId="0" applyNumberFormat="1" applyFont="1" applyFill="1" applyBorder="1" applyAlignment="1">
      <alignment horizontal="center"/>
    </xf>
    <xf numFmtId="4" fontId="13" fillId="12" borderId="12" xfId="0" applyNumberFormat="1" applyFont="1" applyFill="1" applyBorder="1" applyAlignment="1">
      <alignment horizontal="center"/>
    </xf>
    <xf numFmtId="4" fontId="13" fillId="6" borderId="77" xfId="0" applyNumberFormat="1" applyFont="1" applyFill="1" applyBorder="1" applyAlignment="1">
      <alignment horizontal="center"/>
    </xf>
    <xf numFmtId="4" fontId="13" fillId="13" borderId="86" xfId="0" applyNumberFormat="1" applyFont="1" applyFill="1" applyBorder="1" applyAlignment="1">
      <alignment horizontal="center"/>
    </xf>
    <xf numFmtId="4" fontId="13" fillId="14" borderId="78" xfId="0" applyNumberFormat="1" applyFont="1" applyFill="1" applyBorder="1" applyAlignment="1">
      <alignment horizontal="center"/>
    </xf>
    <xf numFmtId="4" fontId="13" fillId="13" borderId="77" xfId="0" applyNumberFormat="1" applyFont="1" applyFill="1" applyBorder="1" applyAlignment="1">
      <alignment horizontal="center"/>
    </xf>
    <xf numFmtId="4" fontId="8" fillId="6" borderId="54" xfId="0" applyNumberFormat="1" applyFont="1" applyFill="1" applyBorder="1" applyAlignment="1">
      <alignment horizontal="center"/>
    </xf>
    <xf numFmtId="4" fontId="0" fillId="6" borderId="54" xfId="0" applyNumberFormat="1" applyFill="1" applyBorder="1" applyAlignment="1">
      <alignment horizontal="center"/>
    </xf>
    <xf numFmtId="4" fontId="8" fillId="13" borderId="46" xfId="0" applyNumberFormat="1" applyFont="1" applyFill="1" applyBorder="1" applyAlignment="1">
      <alignment horizontal="left"/>
    </xf>
    <xf numFmtId="4" fontId="8" fillId="6" borderId="12" xfId="0" applyNumberFormat="1" applyFont="1" applyFill="1" applyBorder="1" applyAlignment="1">
      <alignment horizontal="left" vertical="center"/>
    </xf>
    <xf numFmtId="4" fontId="8" fillId="6" borderId="47" xfId="0" applyNumberFormat="1" applyFont="1" applyFill="1" applyBorder="1" applyAlignment="1">
      <alignment horizontal="left" vertical="center"/>
    </xf>
    <xf numFmtId="4" fontId="8" fillId="13" borderId="46" xfId="0" applyNumberFormat="1" applyFont="1" applyFill="1" applyBorder="1" applyAlignment="1">
      <alignment horizontal="left" vertical="center"/>
    </xf>
    <xf numFmtId="4" fontId="8" fillId="0" borderId="12" xfId="0" applyNumberFormat="1" applyFont="1" applyBorder="1" applyAlignment="1">
      <alignment horizontal="left" vertical="center"/>
    </xf>
    <xf numFmtId="4" fontId="8" fillId="6" borderId="83" xfId="0" applyNumberFormat="1" applyFont="1" applyFill="1" applyBorder="1" applyAlignment="1">
      <alignment horizontal="left"/>
    </xf>
    <xf numFmtId="4" fontId="0" fillId="6" borderId="83" xfId="0" applyNumberFormat="1" applyFill="1" applyBorder="1" applyAlignment="1">
      <alignment horizontal="center"/>
    </xf>
    <xf numFmtId="4" fontId="8" fillId="0" borderId="83" xfId="0" applyNumberFormat="1" applyFont="1" applyBorder="1" applyAlignment="1">
      <alignment horizontal="center"/>
    </xf>
    <xf numFmtId="4" fontId="0" fillId="0" borderId="83" xfId="0" applyNumberFormat="1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4" fontId="17" fillId="8" borderId="13" xfId="0" applyNumberFormat="1" applyFont="1" applyFill="1" applyBorder="1" applyAlignment="1">
      <alignment horizontal="center"/>
    </xf>
    <xf numFmtId="10" fontId="0" fillId="8" borderId="13" xfId="3" applyNumberFormat="1" applyFont="1" applyFill="1" applyBorder="1" applyAlignment="1">
      <alignment horizontal="center"/>
    </xf>
    <xf numFmtId="4" fontId="17" fillId="9" borderId="13" xfId="0" applyNumberFormat="1" applyFont="1" applyFill="1" applyBorder="1" applyAlignment="1">
      <alignment horizontal="center"/>
    </xf>
    <xf numFmtId="4" fontId="17" fillId="10" borderId="13" xfId="0" applyNumberFormat="1" applyFont="1" applyFill="1" applyBorder="1" applyAlignment="1">
      <alignment horizontal="center"/>
    </xf>
    <xf numFmtId="9" fontId="0" fillId="0" borderId="59" xfId="3" applyFont="1" applyFill="1" applyBorder="1" applyAlignment="1">
      <alignment horizontal="center" vertical="center"/>
    </xf>
    <xf numFmtId="4" fontId="8" fillId="0" borderId="59" xfId="0" applyNumberFormat="1" applyFont="1" applyBorder="1" applyAlignment="1">
      <alignment horizontal="center"/>
    </xf>
    <xf numFmtId="4" fontId="0" fillId="0" borderId="59" xfId="0" applyNumberFormat="1" applyBorder="1" applyAlignment="1">
      <alignment horizontal="center"/>
    </xf>
    <xf numFmtId="4" fontId="0" fillId="0" borderId="84" xfId="0" applyNumberFormat="1" applyBorder="1" applyAlignment="1">
      <alignment horizontal="center"/>
    </xf>
    <xf numFmtId="9" fontId="0" fillId="6" borderId="0" xfId="3" applyFont="1" applyFill="1" applyBorder="1" applyAlignment="1">
      <alignment horizontal="center"/>
    </xf>
    <xf numFmtId="9" fontId="19" fillId="0" borderId="0" xfId="3" applyFont="1" applyFill="1" applyBorder="1" applyAlignment="1">
      <alignment horizontal="center" vertical="center"/>
    </xf>
    <xf numFmtId="4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9" fontId="19" fillId="0" borderId="0" xfId="3" applyFont="1" applyFill="1" applyBorder="1" applyAlignment="1">
      <alignment horizontal="center"/>
    </xf>
    <xf numFmtId="4" fontId="13" fillId="12" borderId="43" xfId="0" applyNumberFormat="1" applyFont="1" applyFill="1" applyBorder="1" applyAlignment="1">
      <alignment horizontal="center"/>
    </xf>
    <xf numFmtId="4" fontId="13" fillId="0" borderId="75" xfId="0" applyNumberFormat="1" applyFont="1" applyBorder="1" applyAlignment="1">
      <alignment horizontal="center"/>
    </xf>
    <xf numFmtId="4" fontId="13" fillId="0" borderId="21" xfId="0" applyNumberFormat="1" applyFont="1" applyBorder="1" applyAlignment="1">
      <alignment horizontal="center"/>
    </xf>
    <xf numFmtId="4" fontId="8" fillId="6" borderId="87" xfId="0" applyNumberFormat="1" applyFont="1" applyFill="1" applyBorder="1" applyAlignment="1">
      <alignment horizontal="center"/>
    </xf>
    <xf numFmtId="165" fontId="8" fillId="6" borderId="7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center" vertical="center"/>
    </xf>
    <xf numFmtId="4" fontId="0" fillId="6" borderId="43" xfId="0" applyNumberFormat="1" applyFill="1" applyBorder="1" applyAlignment="1">
      <alignment horizontal="center" wrapText="1"/>
    </xf>
    <xf numFmtId="4" fontId="0" fillId="6" borderId="25" xfId="0" applyNumberFormat="1" applyFill="1" applyBorder="1" applyAlignment="1">
      <alignment horizontal="center" wrapText="1"/>
    </xf>
    <xf numFmtId="4" fontId="0" fillId="6" borderId="1" xfId="0" applyNumberFormat="1" applyFill="1" applyBorder="1" applyAlignment="1">
      <alignment horizontal="center" wrapText="1"/>
    </xf>
    <xf numFmtId="4" fontId="0" fillId="6" borderId="3" xfId="0" applyNumberFormat="1" applyFill="1" applyBorder="1" applyAlignment="1">
      <alignment horizontal="center" wrapText="1"/>
    </xf>
    <xf numFmtId="0" fontId="0" fillId="15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0">
    <cellStyle name="Comma" xfId="1" builtinId="3"/>
    <cellStyle name="Comma 2" xfId="2"/>
    <cellStyle name="Comma 3" xfId="8"/>
    <cellStyle name="Comma 4" xfId="9"/>
    <cellStyle name="Normal" xfId="0" builtinId="0"/>
    <cellStyle name="Normal 2" xfId="4"/>
    <cellStyle name="Normal 3" xfId="7"/>
    <cellStyle name="Normal 4" xfId="6"/>
    <cellStyle name="Percent" xfId="3" builtinId="5"/>
    <cellStyle name="Percent 2" xfId="5"/>
  </cellStyles>
  <dxfs count="19"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1"/>
      </font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FF0000"/>
      <color rgb="FFFCD5B4"/>
      <color rgb="FFDA9694"/>
      <color rgb="FF0000FF"/>
      <color rgb="FFB7DEE8"/>
      <color rgb="FFE7F0B0"/>
      <color rgb="FFD8E4BC"/>
      <color rgb="FFFF99FF"/>
      <color rgb="FFC0504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"/>
  <sheetViews>
    <sheetView workbookViewId="0">
      <selection activeCell="A6" sqref="A6"/>
    </sheetView>
  </sheetViews>
  <sheetFormatPr defaultRowHeight="15" x14ac:dyDescent="0.25"/>
  <sheetData>
    <row r="1" spans="1:1" x14ac:dyDescent="0.25">
      <c r="A1" t="s">
        <v>153</v>
      </c>
    </row>
    <row r="2" spans="1:1" x14ac:dyDescent="0.25">
      <c r="A2" t="s">
        <v>154</v>
      </c>
    </row>
    <row r="3" spans="1:1" x14ac:dyDescent="0.25">
      <c r="A3" t="s">
        <v>155</v>
      </c>
    </row>
    <row r="4" spans="1:1" x14ac:dyDescent="0.25">
      <c r="A4" t="s">
        <v>156</v>
      </c>
    </row>
    <row r="5" spans="1:1" x14ac:dyDescent="0.25">
      <c r="A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9" tint="-0.249977111117893"/>
    <pageSetUpPr fitToPage="1"/>
  </sheetPr>
  <dimension ref="A1:AL87"/>
  <sheetViews>
    <sheetView zoomScale="90" zoomScaleNormal="90" zoomScaleSheetLayoutView="100" workbookViewId="0">
      <pane xSplit="4" ySplit="2" topLeftCell="R3" activePane="bottomRight" state="frozen"/>
      <selection pane="topRight" activeCell="E1" sqref="E1"/>
      <selection pane="bottomLeft" activeCell="A3" sqref="A3"/>
      <selection pane="bottomRight" activeCell="AB46" sqref="AB46"/>
    </sheetView>
  </sheetViews>
  <sheetFormatPr defaultRowHeight="15" x14ac:dyDescent="0.25"/>
  <cols>
    <col min="1" max="1" width="6.5703125" style="377" customWidth="1"/>
    <col min="2" max="2" width="8.42578125" style="377" customWidth="1"/>
    <col min="3" max="3" width="10.42578125" style="504" customWidth="1"/>
    <col min="4" max="4" width="66.28515625" style="270" customWidth="1"/>
    <col min="5" max="5" width="50.140625" style="478" customWidth="1"/>
    <col min="6" max="6" width="14.5703125" style="478" customWidth="1"/>
    <col min="7" max="7" width="18.140625" style="478" customWidth="1"/>
    <col min="8" max="8" width="6.42578125" style="535" customWidth="1"/>
    <col min="9" max="9" width="7.28515625" style="535" bestFit="1" customWidth="1"/>
    <col min="10" max="10" width="6.5703125" style="535" customWidth="1"/>
    <col min="11" max="11" width="6.42578125" style="535" customWidth="1"/>
    <col min="12" max="12" width="7.5703125" style="535" customWidth="1"/>
    <col min="13" max="13" width="6.42578125" style="535" customWidth="1"/>
    <col min="14" max="14" width="7.5703125" style="535" customWidth="1"/>
    <col min="15" max="15" width="7.85546875" style="535" customWidth="1"/>
    <col min="16" max="16" width="6.5703125" style="29" customWidth="1"/>
    <col min="17" max="17" width="15.5703125" style="29" customWidth="1"/>
    <col min="18" max="18" width="16.7109375" style="478" customWidth="1"/>
    <col min="19" max="19" width="11.7109375" style="480" customWidth="1"/>
    <col min="20" max="20" width="14" style="478" customWidth="1"/>
    <col min="21" max="21" width="16" style="478" customWidth="1"/>
    <col min="22" max="22" width="23.42578125" style="2" bestFit="1" customWidth="1"/>
    <col min="23" max="23" width="9.140625" style="510" customWidth="1"/>
    <col min="24" max="24" width="15.42578125" style="510" customWidth="1"/>
    <col min="25" max="25" width="18.5703125" style="510" bestFit="1" customWidth="1"/>
    <col min="26" max="26" width="8.42578125" style="510" bestFit="1" customWidth="1"/>
    <col min="27" max="27" width="15" style="665" customWidth="1"/>
    <col min="28" max="28" width="14.85546875" style="510" customWidth="1"/>
    <col min="29" max="29" width="17.7109375" style="510" customWidth="1"/>
    <col min="30" max="30" width="36.7109375" style="510" customWidth="1"/>
    <col min="31" max="31" width="15.7109375" style="2" customWidth="1"/>
    <col min="32" max="32" width="14.42578125" style="2" customWidth="1"/>
    <col min="33" max="33" width="15.42578125" style="2" customWidth="1"/>
    <col min="34" max="34" width="14" style="2" customWidth="1"/>
    <col min="35" max="35" width="11" style="1" bestFit="1" customWidth="1"/>
    <col min="36" max="38" width="9" style="1" customWidth="1"/>
  </cols>
  <sheetData>
    <row r="1" spans="1:38" s="3" customFormat="1" ht="18.75" x14ac:dyDescent="0.25">
      <c r="A1" s="399" t="s">
        <v>0</v>
      </c>
      <c r="B1" s="399" t="s">
        <v>18</v>
      </c>
      <c r="C1" s="485" t="s">
        <v>7</v>
      </c>
      <c r="D1" s="497" t="s">
        <v>8</v>
      </c>
      <c r="E1" s="389" t="s">
        <v>9</v>
      </c>
      <c r="F1" s="389" t="s">
        <v>153</v>
      </c>
      <c r="G1" s="487" t="s">
        <v>38</v>
      </c>
      <c r="H1" s="488"/>
      <c r="I1" s="489" t="s">
        <v>147</v>
      </c>
      <c r="J1" s="489" t="s">
        <v>147</v>
      </c>
      <c r="K1" s="489" t="s">
        <v>147</v>
      </c>
      <c r="L1" s="489" t="s">
        <v>147</v>
      </c>
      <c r="M1" s="489"/>
      <c r="N1" s="489" t="s">
        <v>147</v>
      </c>
      <c r="O1" s="489" t="s">
        <v>147</v>
      </c>
      <c r="P1" s="486"/>
      <c r="Q1" s="490"/>
      <c r="R1" s="491" t="s">
        <v>2</v>
      </c>
      <c r="S1" s="492" t="s">
        <v>10</v>
      </c>
      <c r="T1" s="728" t="s">
        <v>91</v>
      </c>
      <c r="U1" s="493"/>
      <c r="V1" s="547" t="s">
        <v>13</v>
      </c>
      <c r="W1" s="120" t="s">
        <v>12</v>
      </c>
      <c r="X1" s="494"/>
      <c r="Y1" s="494" t="s">
        <v>3</v>
      </c>
      <c r="Z1" s="494" t="s">
        <v>12</v>
      </c>
      <c r="AA1" s="662"/>
      <c r="AB1" s="513" t="s">
        <v>20</v>
      </c>
      <c r="AC1" s="513" t="s">
        <v>19</v>
      </c>
      <c r="AD1" s="519" t="s">
        <v>1</v>
      </c>
      <c r="AE1" s="516"/>
      <c r="AF1" s="2" t="s">
        <v>4</v>
      </c>
      <c r="AG1" s="2" t="s">
        <v>5</v>
      </c>
      <c r="AH1" s="2" t="s">
        <v>6</v>
      </c>
      <c r="AI1" s="1"/>
      <c r="AJ1" s="1"/>
      <c r="AK1" s="1"/>
      <c r="AL1" s="1"/>
    </row>
    <row r="2" spans="1:38" s="3" customFormat="1" ht="65.25" customHeight="1" x14ac:dyDescent="0.25">
      <c r="A2" s="377"/>
      <c r="B2" s="377"/>
      <c r="C2" s="377">
        <f>SUBTOTAL(3,C10:C31)</f>
        <v>22</v>
      </c>
      <c r="D2" s="270"/>
      <c r="E2" s="270"/>
      <c r="F2" s="478"/>
      <c r="G2" s="478"/>
      <c r="H2" s="192" t="s">
        <v>143</v>
      </c>
      <c r="I2" s="192" t="s">
        <v>150</v>
      </c>
      <c r="J2" s="192" t="s">
        <v>144</v>
      </c>
      <c r="K2" s="192" t="s">
        <v>151</v>
      </c>
      <c r="L2" s="192" t="s">
        <v>152</v>
      </c>
      <c r="M2" s="192" t="s">
        <v>176</v>
      </c>
      <c r="N2" s="192" t="s">
        <v>148</v>
      </c>
      <c r="O2" s="192" t="s">
        <v>149</v>
      </c>
      <c r="P2" s="315" t="s">
        <v>146</v>
      </c>
      <c r="Q2" s="539">
        <f>SUM(Q12)</f>
        <v>0</v>
      </c>
      <c r="R2" s="479">
        <f>SUM(R9:R42)</f>
        <v>126487409.64</v>
      </c>
      <c r="S2" s="480" t="s">
        <v>11</v>
      </c>
      <c r="T2" s="729"/>
      <c r="U2" s="147">
        <f>SUM(U3:U42)</f>
        <v>0</v>
      </c>
      <c r="V2" s="548">
        <f>SUM(V3:V42)</f>
        <v>123515881.32000001</v>
      </c>
      <c r="W2" s="481"/>
      <c r="X2" s="482"/>
      <c r="Y2" s="483">
        <f>SUM(Y3:Y42)</f>
        <v>123515881.32000001</v>
      </c>
      <c r="Z2" s="483"/>
      <c r="AA2" s="663"/>
      <c r="AB2" s="514">
        <f>V2-Y2</f>
        <v>0</v>
      </c>
      <c r="AC2" s="514">
        <f>SUM(AC3:AC42)</f>
        <v>43949528.320000008</v>
      </c>
      <c r="AD2" s="520"/>
      <c r="AE2" s="495"/>
      <c r="AF2" s="2"/>
      <c r="AG2" s="2"/>
      <c r="AH2" s="2"/>
      <c r="AI2" s="1"/>
      <c r="AJ2" s="1"/>
      <c r="AK2" s="1"/>
      <c r="AL2" s="1"/>
    </row>
    <row r="3" spans="1:38" s="3" customFormat="1" ht="18" customHeight="1" x14ac:dyDescent="0.25">
      <c r="A3" s="496">
        <v>1</v>
      </c>
      <c r="B3" s="496"/>
      <c r="C3" s="563" t="s">
        <v>21</v>
      </c>
      <c r="D3" s="499" t="s">
        <v>22</v>
      </c>
      <c r="E3" s="687" t="s">
        <v>23</v>
      </c>
      <c r="F3" s="136" t="s">
        <v>157</v>
      </c>
      <c r="G3" s="136" t="s">
        <v>148</v>
      </c>
      <c r="H3" s="558">
        <v>0.2</v>
      </c>
      <c r="I3" s="558"/>
      <c r="J3" s="558">
        <v>0.7</v>
      </c>
      <c r="K3" s="558"/>
      <c r="L3" s="558"/>
      <c r="M3" s="558"/>
      <c r="N3" s="558">
        <v>0.1</v>
      </c>
      <c r="O3" s="529"/>
      <c r="P3" s="538"/>
      <c r="Q3" s="540"/>
      <c r="R3" s="136">
        <v>7600000</v>
      </c>
      <c r="S3" s="138">
        <v>41506</v>
      </c>
      <c r="T3" s="666" t="s">
        <v>97</v>
      </c>
      <c r="U3" s="289"/>
      <c r="V3" s="555">
        <v>7255000</v>
      </c>
      <c r="W3" s="560">
        <f t="shared" ref="W3:W8" si="0">V3/R3</f>
        <v>0.95460526315789473</v>
      </c>
      <c r="X3" s="511"/>
      <c r="Y3" s="561">
        <v>7255000</v>
      </c>
      <c r="Z3" s="562">
        <f t="shared" ref="Z3:Z8" si="1">Y3/R3</f>
        <v>0.95460526315789473</v>
      </c>
      <c r="AA3" s="664"/>
      <c r="AB3" s="292">
        <v>0</v>
      </c>
      <c r="AC3" s="292">
        <f t="shared" ref="AC3:AC8" si="2">R3-Y3</f>
        <v>345000</v>
      </c>
      <c r="AD3" s="521"/>
      <c r="AE3" s="495"/>
      <c r="AF3" s="2"/>
      <c r="AG3" s="2"/>
      <c r="AH3" s="2"/>
      <c r="AI3" s="1"/>
      <c r="AJ3" s="1"/>
      <c r="AK3" s="1"/>
      <c r="AL3" s="1"/>
    </row>
    <row r="4" spans="1:38" s="3" customFormat="1" ht="18" customHeight="1" x14ac:dyDescent="0.25">
      <c r="A4" s="496">
        <v>2</v>
      </c>
      <c r="B4" s="496"/>
      <c r="C4" s="563" t="s">
        <v>28</v>
      </c>
      <c r="D4" s="499" t="s">
        <v>29</v>
      </c>
      <c r="E4" s="687" t="s">
        <v>30</v>
      </c>
      <c r="F4" s="136" t="s">
        <v>156</v>
      </c>
      <c r="G4" s="136" t="s">
        <v>148</v>
      </c>
      <c r="H4" s="558">
        <v>0.3</v>
      </c>
      <c r="I4" s="558"/>
      <c r="J4" s="558"/>
      <c r="K4" s="558"/>
      <c r="L4" s="558">
        <v>0.5</v>
      </c>
      <c r="M4" s="558"/>
      <c r="N4" s="558">
        <v>0.2</v>
      </c>
      <c r="O4" s="529"/>
      <c r="P4" s="538"/>
      <c r="Q4" s="540"/>
      <c r="R4" s="136">
        <v>1918000</v>
      </c>
      <c r="S4" s="138">
        <v>42163</v>
      </c>
      <c r="T4" s="666" t="s">
        <v>97</v>
      </c>
      <c r="U4" s="289"/>
      <c r="V4" s="555">
        <v>1534400</v>
      </c>
      <c r="W4" s="560">
        <f t="shared" si="0"/>
        <v>0.8</v>
      </c>
      <c r="X4" s="511"/>
      <c r="Y4" s="561">
        <v>1534400</v>
      </c>
      <c r="Z4" s="562">
        <f t="shared" si="1"/>
        <v>0.8</v>
      </c>
      <c r="AA4" s="664"/>
      <c r="AB4" s="292">
        <v>0</v>
      </c>
      <c r="AC4" s="292">
        <f t="shared" si="2"/>
        <v>383600</v>
      </c>
      <c r="AD4" s="521"/>
      <c r="AE4" s="495"/>
      <c r="AF4" s="2"/>
      <c r="AG4" s="2"/>
      <c r="AH4" s="2"/>
      <c r="AI4" s="1"/>
      <c r="AJ4" s="1"/>
      <c r="AK4" s="1"/>
      <c r="AL4" s="1"/>
    </row>
    <row r="5" spans="1:38" s="3" customFormat="1" ht="18" customHeight="1" x14ac:dyDescent="0.25">
      <c r="A5" s="496">
        <v>3</v>
      </c>
      <c r="B5" s="496"/>
      <c r="C5" s="563" t="s">
        <v>60</v>
      </c>
      <c r="D5" s="499" t="s">
        <v>42</v>
      </c>
      <c r="E5" s="687" t="s">
        <v>45</v>
      </c>
      <c r="F5" s="136" t="s">
        <v>156</v>
      </c>
      <c r="G5" s="136" t="s">
        <v>148</v>
      </c>
      <c r="H5" s="558">
        <v>0.1</v>
      </c>
      <c r="I5" s="558"/>
      <c r="J5" s="558"/>
      <c r="K5" s="558"/>
      <c r="L5" s="558">
        <v>0.1</v>
      </c>
      <c r="M5" s="558">
        <v>0.7</v>
      </c>
      <c r="N5" s="558">
        <v>0.1</v>
      </c>
      <c r="O5" s="529"/>
      <c r="P5" s="538"/>
      <c r="Q5" s="540"/>
      <c r="R5" s="136">
        <v>4455000</v>
      </c>
      <c r="S5" s="138">
        <v>42565</v>
      </c>
      <c r="T5" s="666" t="s">
        <v>97</v>
      </c>
      <c r="U5" s="289"/>
      <c r="V5" s="555">
        <v>4009500</v>
      </c>
      <c r="W5" s="560">
        <f t="shared" si="0"/>
        <v>0.9</v>
      </c>
      <c r="X5" s="511"/>
      <c r="Y5" s="561">
        <v>4009500</v>
      </c>
      <c r="Z5" s="562">
        <f t="shared" si="1"/>
        <v>0.9</v>
      </c>
      <c r="AA5" s="664"/>
      <c r="AB5" s="292">
        <v>0</v>
      </c>
      <c r="AC5" s="292">
        <f t="shared" si="2"/>
        <v>445500</v>
      </c>
      <c r="AD5" s="589" t="s">
        <v>246</v>
      </c>
      <c r="AE5" s="495"/>
      <c r="AF5" s="2"/>
      <c r="AG5" s="2"/>
      <c r="AH5" s="2"/>
      <c r="AI5" s="1"/>
      <c r="AJ5" s="1"/>
      <c r="AK5" s="1"/>
      <c r="AL5" s="1"/>
    </row>
    <row r="6" spans="1:38" s="3" customFormat="1" ht="18" customHeight="1" x14ac:dyDescent="0.25">
      <c r="A6" s="496">
        <v>4</v>
      </c>
      <c r="B6" s="496"/>
      <c r="C6" s="563" t="s">
        <v>66</v>
      </c>
      <c r="D6" s="499" t="s">
        <v>59</v>
      </c>
      <c r="E6" s="687" t="s">
        <v>23</v>
      </c>
      <c r="F6" s="136" t="s">
        <v>157</v>
      </c>
      <c r="G6" s="136" t="s">
        <v>148</v>
      </c>
      <c r="H6" s="558">
        <v>0.1</v>
      </c>
      <c r="I6" s="558"/>
      <c r="J6" s="558">
        <v>0.7</v>
      </c>
      <c r="K6" s="558"/>
      <c r="L6" s="558">
        <v>0.1</v>
      </c>
      <c r="M6" s="558"/>
      <c r="N6" s="558">
        <v>0.1</v>
      </c>
      <c r="O6" s="529"/>
      <c r="P6" s="538"/>
      <c r="Q6" s="540"/>
      <c r="R6" s="136">
        <v>10500000</v>
      </c>
      <c r="S6" s="138">
        <v>42615</v>
      </c>
      <c r="T6" s="666" t="s">
        <v>97</v>
      </c>
      <c r="U6" s="289"/>
      <c r="V6" s="555">
        <v>8400000</v>
      </c>
      <c r="W6" s="560">
        <f t="shared" si="0"/>
        <v>0.8</v>
      </c>
      <c r="X6" s="511"/>
      <c r="Y6" s="561">
        <v>8400000</v>
      </c>
      <c r="Z6" s="562">
        <f t="shared" si="1"/>
        <v>0.8</v>
      </c>
      <c r="AA6" s="664"/>
      <c r="AB6" s="292">
        <v>0</v>
      </c>
      <c r="AC6" s="292">
        <f t="shared" si="2"/>
        <v>2100000</v>
      </c>
      <c r="AD6" s="589"/>
      <c r="AE6" s="495"/>
      <c r="AF6" s="2"/>
      <c r="AG6" s="2"/>
      <c r="AH6" s="2"/>
      <c r="AI6" s="1"/>
      <c r="AJ6" s="1"/>
      <c r="AK6" s="1"/>
      <c r="AL6" s="1"/>
    </row>
    <row r="7" spans="1:38" s="3" customFormat="1" ht="18" customHeight="1" x14ac:dyDescent="0.25">
      <c r="A7" s="496">
        <v>5</v>
      </c>
      <c r="B7" s="496"/>
      <c r="C7" s="563" t="s">
        <v>96</v>
      </c>
      <c r="D7" s="499" t="s">
        <v>99</v>
      </c>
      <c r="E7" s="687" t="s">
        <v>26</v>
      </c>
      <c r="F7" s="723" t="s">
        <v>156</v>
      </c>
      <c r="G7" s="687" t="s">
        <v>148</v>
      </c>
      <c r="H7" s="558">
        <v>0.2</v>
      </c>
      <c r="I7" s="558"/>
      <c r="J7" s="558"/>
      <c r="K7" s="558"/>
      <c r="L7" s="558">
        <v>0.7</v>
      </c>
      <c r="M7" s="558"/>
      <c r="N7" s="558">
        <v>0.1</v>
      </c>
      <c r="O7" s="529"/>
      <c r="P7" s="538"/>
      <c r="Q7" s="540"/>
      <c r="R7" s="136">
        <v>13320000</v>
      </c>
      <c r="S7" s="138">
        <v>42615</v>
      </c>
      <c r="T7" s="666" t="s">
        <v>97</v>
      </c>
      <c r="U7" s="289"/>
      <c r="V7" s="555">
        <v>11988000</v>
      </c>
      <c r="W7" s="560">
        <f t="shared" si="0"/>
        <v>0.9</v>
      </c>
      <c r="X7" s="511"/>
      <c r="Y7" s="561">
        <v>11988000</v>
      </c>
      <c r="Z7" s="562">
        <f t="shared" si="1"/>
        <v>0.9</v>
      </c>
      <c r="AA7" s="664"/>
      <c r="AB7" s="292">
        <v>0</v>
      </c>
      <c r="AC7" s="292">
        <f t="shared" si="2"/>
        <v>1332000</v>
      </c>
      <c r="AD7" s="589"/>
      <c r="AE7" s="495"/>
      <c r="AF7" s="2"/>
      <c r="AG7" s="2"/>
      <c r="AH7" s="2"/>
      <c r="AI7" s="1"/>
      <c r="AJ7" s="1"/>
      <c r="AK7" s="1"/>
      <c r="AL7" s="1"/>
    </row>
    <row r="8" spans="1:38" s="3" customFormat="1" ht="18" customHeight="1" x14ac:dyDescent="0.25">
      <c r="A8" s="496">
        <v>6</v>
      </c>
      <c r="B8" s="496"/>
      <c r="C8" s="563" t="s">
        <v>84</v>
      </c>
      <c r="D8" s="499" t="s">
        <v>85</v>
      </c>
      <c r="E8" s="687" t="s">
        <v>83</v>
      </c>
      <c r="F8" s="136" t="s">
        <v>157</v>
      </c>
      <c r="G8" s="136" t="s">
        <v>148</v>
      </c>
      <c r="H8" s="558"/>
      <c r="I8" s="558"/>
      <c r="J8" s="558"/>
      <c r="K8" s="558"/>
      <c r="L8" s="558"/>
      <c r="M8" s="558">
        <v>0.6</v>
      </c>
      <c r="N8" s="558">
        <v>0.4</v>
      </c>
      <c r="O8" s="529"/>
      <c r="P8" s="538"/>
      <c r="Q8" s="540"/>
      <c r="R8" s="136">
        <v>3185000</v>
      </c>
      <c r="S8" s="138">
        <v>42664</v>
      </c>
      <c r="T8" s="666" t="s">
        <v>97</v>
      </c>
      <c r="U8" s="289"/>
      <c r="V8" s="555">
        <v>2548000</v>
      </c>
      <c r="W8" s="560">
        <f t="shared" si="0"/>
        <v>0.8</v>
      </c>
      <c r="X8" s="511"/>
      <c r="Y8" s="561">
        <v>2548000</v>
      </c>
      <c r="Z8" s="562">
        <f t="shared" si="1"/>
        <v>0.8</v>
      </c>
      <c r="AA8" s="664"/>
      <c r="AB8" s="292">
        <v>0</v>
      </c>
      <c r="AC8" s="292">
        <f t="shared" si="2"/>
        <v>637000</v>
      </c>
      <c r="AD8" s="589" t="s">
        <v>247</v>
      </c>
      <c r="AE8" s="495"/>
      <c r="AF8" s="2"/>
      <c r="AG8" s="2"/>
      <c r="AH8" s="2"/>
      <c r="AI8" s="1"/>
      <c r="AJ8" s="1"/>
      <c r="AK8" s="1"/>
      <c r="AL8" s="1"/>
    </row>
    <row r="9" spans="1:38" s="3" customFormat="1" ht="18" customHeight="1" x14ac:dyDescent="0.25">
      <c r="A9" s="566">
        <v>7</v>
      </c>
      <c r="B9" s="496" t="s">
        <v>14</v>
      </c>
      <c r="C9" s="563" t="s">
        <v>167</v>
      </c>
      <c r="D9" s="499" t="s">
        <v>168</v>
      </c>
      <c r="E9" s="136" t="s">
        <v>169</v>
      </c>
      <c r="F9" s="136" t="s">
        <v>156</v>
      </c>
      <c r="G9" s="136" t="s">
        <v>148</v>
      </c>
      <c r="H9" s="530">
        <v>0.3</v>
      </c>
      <c r="I9" s="530"/>
      <c r="J9" s="530"/>
      <c r="K9" s="530"/>
      <c r="L9" s="530"/>
      <c r="M9" s="530">
        <v>0.7</v>
      </c>
      <c r="N9" s="530"/>
      <c r="O9" s="530"/>
      <c r="P9" s="315"/>
      <c r="Q9" s="541"/>
      <c r="R9" s="76">
        <v>105000</v>
      </c>
      <c r="S9" s="138">
        <v>42741</v>
      </c>
      <c r="T9" s="666" t="s">
        <v>97</v>
      </c>
      <c r="U9" s="289"/>
      <c r="V9" s="555">
        <v>31500</v>
      </c>
      <c r="W9" s="668">
        <f t="shared" ref="W9:W17" si="3">V9/R9</f>
        <v>0.3</v>
      </c>
      <c r="X9" s="511"/>
      <c r="Y9" s="669">
        <v>31500</v>
      </c>
      <c r="Z9" s="670">
        <f t="shared" ref="Z9:Z17" si="4">Y9/R9</f>
        <v>0.3</v>
      </c>
      <c r="AA9" s="664"/>
      <c r="AB9" s="671">
        <f t="shared" ref="AB9:AB16" si="5">Y9-V9</f>
        <v>0</v>
      </c>
      <c r="AC9" s="671">
        <f t="shared" ref="AC9:AC42" si="6">R9-Y9</f>
        <v>73500</v>
      </c>
      <c r="AD9" s="521"/>
      <c r="AE9" s="484" t="s">
        <v>205</v>
      </c>
      <c r="AF9" s="2"/>
      <c r="AG9" s="2"/>
      <c r="AH9" s="2"/>
      <c r="AI9" s="1"/>
      <c r="AJ9" s="1"/>
      <c r="AK9" s="1"/>
      <c r="AL9" s="1"/>
    </row>
    <row r="10" spans="1:38" s="301" customFormat="1" ht="15.75" hidden="1" thickTop="1" x14ac:dyDescent="0.25">
      <c r="A10" s="564">
        <v>2</v>
      </c>
      <c r="B10" s="564" t="s">
        <v>14</v>
      </c>
      <c r="C10" s="565" t="s">
        <v>120</v>
      </c>
      <c r="D10" s="498" t="s">
        <v>122</v>
      </c>
      <c r="E10" s="688" t="s">
        <v>31</v>
      </c>
      <c r="F10" s="317" t="s">
        <v>156</v>
      </c>
      <c r="G10" s="317" t="s">
        <v>146</v>
      </c>
      <c r="H10" s="530">
        <v>0.3</v>
      </c>
      <c r="I10" s="536"/>
      <c r="J10" s="536"/>
      <c r="K10" s="537"/>
      <c r="L10" s="530"/>
      <c r="M10" s="530">
        <v>0.6</v>
      </c>
      <c r="N10" s="530">
        <v>0.1</v>
      </c>
      <c r="O10" s="536"/>
      <c r="P10" s="297"/>
      <c r="Q10" s="321"/>
      <c r="R10" s="316">
        <v>360000</v>
      </c>
      <c r="S10" s="298">
        <v>42753</v>
      </c>
      <c r="T10" s="667" t="s">
        <v>97</v>
      </c>
      <c r="U10" s="318"/>
      <c r="V10" s="512">
        <v>360000</v>
      </c>
      <c r="W10" s="320">
        <f t="shared" si="3"/>
        <v>1</v>
      </c>
      <c r="X10" s="318"/>
      <c r="Y10" s="318">
        <v>360000</v>
      </c>
      <c r="Z10" s="394">
        <f t="shared" si="4"/>
        <v>1</v>
      </c>
      <c r="AA10" s="517"/>
      <c r="AB10" s="398">
        <f t="shared" si="5"/>
        <v>0</v>
      </c>
      <c r="AC10" s="398">
        <f t="shared" si="6"/>
        <v>0</v>
      </c>
      <c r="AD10" s="522"/>
      <c r="AE10" s="299"/>
      <c r="AF10" s="299"/>
      <c r="AG10" s="299"/>
      <c r="AH10" s="299"/>
      <c r="AI10" s="300"/>
      <c r="AJ10" s="300"/>
      <c r="AK10" s="300"/>
      <c r="AL10" s="300"/>
    </row>
    <row r="11" spans="1:38" s="301" customFormat="1" hidden="1" x14ac:dyDescent="0.25">
      <c r="A11" s="390">
        <v>3</v>
      </c>
      <c r="B11" s="341" t="s">
        <v>14</v>
      </c>
      <c r="C11" s="342" t="s">
        <v>121</v>
      </c>
      <c r="D11" s="498" t="s">
        <v>123</v>
      </c>
      <c r="E11" s="689" t="s">
        <v>124</v>
      </c>
      <c r="F11" s="391" t="s">
        <v>156</v>
      </c>
      <c r="G11" s="391" t="s">
        <v>146</v>
      </c>
      <c r="H11" s="531"/>
      <c r="I11" s="531"/>
      <c r="J11" s="531"/>
      <c r="K11" s="531"/>
      <c r="L11" s="531"/>
      <c r="M11" s="531">
        <v>1</v>
      </c>
      <c r="N11" s="531"/>
      <c r="O11" s="531"/>
      <c r="P11" s="392"/>
      <c r="Q11" s="542"/>
      <c r="R11" s="393">
        <v>59600</v>
      </c>
      <c r="S11" s="348">
        <v>42753</v>
      </c>
      <c r="T11" s="295" t="s">
        <v>97</v>
      </c>
      <c r="U11" s="362"/>
      <c r="V11" s="512">
        <v>59600</v>
      </c>
      <c r="W11" s="394">
        <f t="shared" si="3"/>
        <v>1</v>
      </c>
      <c r="X11" s="362"/>
      <c r="Y11" s="395">
        <v>59600</v>
      </c>
      <c r="Z11" s="363">
        <f t="shared" si="4"/>
        <v>1</v>
      </c>
      <c r="AA11" s="403"/>
      <c r="AB11" s="361">
        <f t="shared" si="5"/>
        <v>0</v>
      </c>
      <c r="AC11" s="361">
        <f t="shared" si="6"/>
        <v>0</v>
      </c>
      <c r="AD11" s="523"/>
      <c r="AE11" s="359" t="s">
        <v>205</v>
      </c>
      <c r="AF11" s="299"/>
      <c r="AG11" s="299"/>
      <c r="AH11" s="299"/>
      <c r="AI11" s="300"/>
      <c r="AJ11" s="300"/>
      <c r="AK11" s="300"/>
      <c r="AL11" s="300"/>
    </row>
    <row r="12" spans="1:38" s="301" customFormat="1" hidden="1" x14ac:dyDescent="0.25">
      <c r="A12" s="567">
        <v>4</v>
      </c>
      <c r="B12" s="567" t="s">
        <v>14</v>
      </c>
      <c r="C12" s="568" t="s">
        <v>161</v>
      </c>
      <c r="D12" s="498" t="s">
        <v>162</v>
      </c>
      <c r="E12" s="689" t="s">
        <v>27</v>
      </c>
      <c r="F12" s="720" t="s">
        <v>156</v>
      </c>
      <c r="G12" s="356" t="s">
        <v>146</v>
      </c>
      <c r="H12" s="388"/>
      <c r="I12" s="388"/>
      <c r="J12" s="388"/>
      <c r="K12" s="388"/>
      <c r="L12" s="388"/>
      <c r="M12" s="388">
        <v>1</v>
      </c>
      <c r="N12" s="388"/>
      <c r="O12" s="388"/>
      <c r="P12" s="357"/>
      <c r="Q12" s="507"/>
      <c r="R12" s="316">
        <v>32000</v>
      </c>
      <c r="S12" s="348">
        <v>42794</v>
      </c>
      <c r="T12" s="295" t="s">
        <v>97</v>
      </c>
      <c r="U12" s="362"/>
      <c r="V12" s="512">
        <v>32000</v>
      </c>
      <c r="W12" s="363">
        <f t="shared" si="3"/>
        <v>1</v>
      </c>
      <c r="X12" s="362"/>
      <c r="Y12" s="318">
        <v>32000</v>
      </c>
      <c r="Z12" s="363">
        <f t="shared" si="4"/>
        <v>1</v>
      </c>
      <c r="AA12" s="400"/>
      <c r="AB12" s="361">
        <f t="shared" si="5"/>
        <v>0</v>
      </c>
      <c r="AC12" s="361">
        <f t="shared" si="6"/>
        <v>0</v>
      </c>
      <c r="AD12" s="523"/>
      <c r="AE12" s="299"/>
      <c r="AF12" s="299">
        <v>89000000</v>
      </c>
      <c r="AG12" s="299">
        <f>AF12*0.25</f>
        <v>22250000</v>
      </c>
      <c r="AH12" s="299">
        <f>AF12-AG12</f>
        <v>66750000</v>
      </c>
      <c r="AI12" s="300"/>
      <c r="AJ12" s="300"/>
      <c r="AK12" s="300"/>
      <c r="AL12" s="300"/>
    </row>
    <row r="13" spans="1:38" s="36" customFormat="1" x14ac:dyDescent="0.25">
      <c r="A13" s="566">
        <v>8</v>
      </c>
      <c r="B13" s="557" t="s">
        <v>14</v>
      </c>
      <c r="C13" s="37" t="s">
        <v>159</v>
      </c>
      <c r="D13" s="499" t="s">
        <v>197</v>
      </c>
      <c r="E13" s="505" t="s">
        <v>160</v>
      </c>
      <c r="F13" s="721" t="s">
        <v>156</v>
      </c>
      <c r="G13" s="271" t="s">
        <v>148</v>
      </c>
      <c r="H13" s="387">
        <v>0.2</v>
      </c>
      <c r="I13" s="387"/>
      <c r="J13" s="387"/>
      <c r="K13" s="387"/>
      <c r="L13" s="387"/>
      <c r="M13" s="387">
        <v>0.7</v>
      </c>
      <c r="N13" s="387">
        <v>0.1</v>
      </c>
      <c r="O13" s="387"/>
      <c r="P13" s="251"/>
      <c r="Q13" s="543"/>
      <c r="R13" s="136">
        <v>5000000</v>
      </c>
      <c r="S13" s="672">
        <v>42800</v>
      </c>
      <c r="T13" s="673" t="s">
        <v>97</v>
      </c>
      <c r="U13" s="141"/>
      <c r="V13" s="549">
        <f>1000000+1750000+1750000</f>
        <v>4500000</v>
      </c>
      <c r="W13" s="46">
        <f t="shared" si="3"/>
        <v>0.9</v>
      </c>
      <c r="X13" s="33"/>
      <c r="Y13" s="134">
        <f>1000000+1750000+1750000</f>
        <v>4500000</v>
      </c>
      <c r="Z13" s="290">
        <f t="shared" si="4"/>
        <v>0.9</v>
      </c>
      <c r="AA13" s="400"/>
      <c r="AB13" s="291">
        <f t="shared" si="5"/>
        <v>0</v>
      </c>
      <c r="AC13" s="400">
        <f t="shared" si="6"/>
        <v>500000</v>
      </c>
      <c r="AD13" s="661"/>
      <c r="AE13" s="383" t="s">
        <v>205</v>
      </c>
      <c r="AF13" s="34">
        <v>89000000</v>
      </c>
      <c r="AG13" s="34">
        <f>AF13*0.25</f>
        <v>22250000</v>
      </c>
      <c r="AH13" s="34">
        <f>AF13-AG13</f>
        <v>66750000</v>
      </c>
      <c r="AI13" s="35"/>
      <c r="AJ13" s="35"/>
      <c r="AK13" s="35"/>
      <c r="AL13" s="35"/>
    </row>
    <row r="14" spans="1:38" s="301" customFormat="1" hidden="1" x14ac:dyDescent="0.25">
      <c r="A14" s="569"/>
      <c r="B14" s="569"/>
      <c r="C14" s="570" t="s">
        <v>159</v>
      </c>
      <c r="D14" s="500" t="s">
        <v>198</v>
      </c>
      <c r="E14" s="690" t="s">
        <v>160</v>
      </c>
      <c r="F14" s="720" t="s">
        <v>156</v>
      </c>
      <c r="G14" s="356" t="s">
        <v>146</v>
      </c>
      <c r="H14" s="388">
        <v>0.3</v>
      </c>
      <c r="I14" s="388"/>
      <c r="J14" s="388"/>
      <c r="K14" s="388"/>
      <c r="L14" s="388">
        <v>0.7</v>
      </c>
      <c r="M14" s="388"/>
      <c r="N14" s="388"/>
      <c r="O14" s="388"/>
      <c r="P14" s="357"/>
      <c r="Q14" s="544"/>
      <c r="R14" s="396">
        <v>3500000</v>
      </c>
      <c r="S14" s="298">
        <v>42800</v>
      </c>
      <c r="T14" s="667" t="s">
        <v>97</v>
      </c>
      <c r="U14" s="397"/>
      <c r="V14" s="550">
        <f>1050000+1225000+1225000</f>
        <v>3500000</v>
      </c>
      <c r="W14" s="363">
        <f t="shared" si="3"/>
        <v>1</v>
      </c>
      <c r="X14" s="398"/>
      <c r="Y14" s="361">
        <f>1050000+1225000+1225000</f>
        <v>3500000</v>
      </c>
      <c r="Z14" s="363">
        <f t="shared" si="4"/>
        <v>1</v>
      </c>
      <c r="AA14" s="400"/>
      <c r="AB14" s="361">
        <f t="shared" si="5"/>
        <v>0</v>
      </c>
      <c r="AC14" s="400">
        <f t="shared" si="6"/>
        <v>0</v>
      </c>
      <c r="AD14" s="524"/>
      <c r="AE14" s="359" t="s">
        <v>205</v>
      </c>
      <c r="AF14" s="299"/>
      <c r="AG14" s="299"/>
      <c r="AH14" s="299"/>
      <c r="AI14" s="300"/>
      <c r="AJ14" s="300"/>
      <c r="AK14" s="300"/>
      <c r="AL14" s="300"/>
    </row>
    <row r="15" spans="1:38" s="36" customFormat="1" x14ac:dyDescent="0.25">
      <c r="A15" s="571">
        <v>9</v>
      </c>
      <c r="B15" s="557" t="s">
        <v>14</v>
      </c>
      <c r="C15" s="37" t="s">
        <v>163</v>
      </c>
      <c r="D15" s="501" t="s">
        <v>164</v>
      </c>
      <c r="E15" s="691" t="s">
        <v>165</v>
      </c>
      <c r="F15" s="722" t="s">
        <v>155</v>
      </c>
      <c r="G15" s="53" t="s">
        <v>148</v>
      </c>
      <c r="H15" s="387">
        <v>0.2</v>
      </c>
      <c r="I15" s="387"/>
      <c r="J15" s="387"/>
      <c r="K15" s="387"/>
      <c r="L15" s="387"/>
      <c r="M15" s="387">
        <v>0.7</v>
      </c>
      <c r="N15" s="387">
        <v>0.1</v>
      </c>
      <c r="O15" s="387"/>
      <c r="P15" s="260"/>
      <c r="Q15" s="545"/>
      <c r="R15" s="49">
        <v>13003928</v>
      </c>
      <c r="S15" s="672">
        <v>42817</v>
      </c>
      <c r="T15" s="673" t="s">
        <v>141</v>
      </c>
      <c r="U15" s="289"/>
      <c r="V15" s="549">
        <f>2600785.6+1776600+1184400+3493980+1598940+1048829.6</f>
        <v>11703535.199999999</v>
      </c>
      <c r="W15" s="46">
        <f t="shared" si="3"/>
        <v>0.89999999999999991</v>
      </c>
      <c r="X15" s="47"/>
      <c r="Y15" s="135">
        <f>2600785.6+1776600+1184400+3493980+1598940+1048829.6</f>
        <v>11703535.199999999</v>
      </c>
      <c r="Z15" s="290">
        <f t="shared" si="4"/>
        <v>0.89999999999999991</v>
      </c>
      <c r="AA15" s="400"/>
      <c r="AB15" s="292">
        <f t="shared" si="5"/>
        <v>0</v>
      </c>
      <c r="AC15" s="517">
        <f t="shared" si="6"/>
        <v>1300392.8000000007</v>
      </c>
      <c r="AD15" s="469" t="s">
        <v>238</v>
      </c>
      <c r="AE15" s="383" t="s">
        <v>205</v>
      </c>
      <c r="AF15" s="34"/>
      <c r="AG15" s="34"/>
      <c r="AH15" s="34"/>
      <c r="AI15" s="35"/>
      <c r="AJ15" s="35"/>
      <c r="AK15" s="35"/>
      <c r="AL15" s="35"/>
    </row>
    <row r="16" spans="1:38" s="36" customFormat="1" x14ac:dyDescent="0.25">
      <c r="A16" s="571">
        <v>10</v>
      </c>
      <c r="B16" s="557" t="s">
        <v>15</v>
      </c>
      <c r="C16" s="37" t="s">
        <v>170</v>
      </c>
      <c r="D16" s="499" t="s">
        <v>171</v>
      </c>
      <c r="E16" s="651" t="s">
        <v>172</v>
      </c>
      <c r="F16" s="721" t="s">
        <v>157</v>
      </c>
      <c r="G16" s="76" t="s">
        <v>148</v>
      </c>
      <c r="H16" s="652">
        <v>0.2</v>
      </c>
      <c r="I16" s="652"/>
      <c r="J16" s="652"/>
      <c r="K16" s="652"/>
      <c r="L16" s="652">
        <v>0.7</v>
      </c>
      <c r="M16" s="652"/>
      <c r="N16" s="652">
        <v>0.1</v>
      </c>
      <c r="O16" s="652"/>
      <c r="P16" s="653"/>
      <c r="Q16" s="364"/>
      <c r="R16" s="401">
        <v>3637500</v>
      </c>
      <c r="S16" s="319">
        <v>42913</v>
      </c>
      <c r="T16" s="645" t="s">
        <v>97</v>
      </c>
      <c r="U16" s="654"/>
      <c r="V16" s="551">
        <f>727500+2546250</f>
        <v>3273750</v>
      </c>
      <c r="W16" s="655">
        <f t="shared" si="3"/>
        <v>0.9</v>
      </c>
      <c r="X16" s="149"/>
      <c r="Y16" s="402">
        <f>727500+2546250</f>
        <v>3273750</v>
      </c>
      <c r="Z16" s="656">
        <f t="shared" si="4"/>
        <v>0.9</v>
      </c>
      <c r="AA16" s="403"/>
      <c r="AB16" s="515">
        <f t="shared" si="5"/>
        <v>0</v>
      </c>
      <c r="AC16" s="403">
        <f t="shared" si="6"/>
        <v>363750</v>
      </c>
      <c r="AD16" s="469"/>
      <c r="AE16" s="484" t="s">
        <v>207</v>
      </c>
      <c r="AF16" s="34"/>
      <c r="AG16" s="34"/>
      <c r="AH16" s="34"/>
      <c r="AI16" s="35"/>
      <c r="AJ16" s="35"/>
      <c r="AK16" s="35"/>
      <c r="AL16" s="35"/>
    </row>
    <row r="17" spans="1:38" s="460" customFormat="1" ht="14.25" hidden="1" customHeight="1" x14ac:dyDescent="0.25">
      <c r="A17" s="573">
        <v>8</v>
      </c>
      <c r="B17" s="573" t="s">
        <v>15</v>
      </c>
      <c r="C17" s="574" t="s">
        <v>173</v>
      </c>
      <c r="D17" s="646" t="s">
        <v>174</v>
      </c>
      <c r="E17" s="692" t="s">
        <v>175</v>
      </c>
      <c r="F17" s="451" t="s">
        <v>157</v>
      </c>
      <c r="G17" s="418" t="s">
        <v>146</v>
      </c>
      <c r="H17" s="532">
        <v>0.3</v>
      </c>
      <c r="I17" s="532"/>
      <c r="J17" s="532"/>
      <c r="K17" s="532"/>
      <c r="L17" s="532"/>
      <c r="M17" s="532">
        <v>0.6</v>
      </c>
      <c r="N17" s="532">
        <v>0.1</v>
      </c>
      <c r="O17" s="532"/>
      <c r="P17" s="452"/>
      <c r="Q17" s="453"/>
      <c r="R17" s="454">
        <v>3723600</v>
      </c>
      <c r="S17" s="441">
        <v>42916</v>
      </c>
      <c r="T17" s="442" t="s">
        <v>97</v>
      </c>
      <c r="U17" s="455"/>
      <c r="V17" s="552">
        <f>1117080+2606520</f>
        <v>3723600</v>
      </c>
      <c r="W17" s="456">
        <f t="shared" si="3"/>
        <v>1</v>
      </c>
      <c r="X17" s="375"/>
      <c r="Y17" s="474">
        <f>1117080+2606520</f>
        <v>3723600</v>
      </c>
      <c r="Z17" s="456">
        <f t="shared" si="4"/>
        <v>1</v>
      </c>
      <c r="AA17" s="470"/>
      <c r="AB17" s="375">
        <f t="shared" ref="AB17:AB39" si="7">Y17-V17</f>
        <v>0</v>
      </c>
      <c r="AC17" s="375">
        <f t="shared" si="6"/>
        <v>0</v>
      </c>
      <c r="AD17" s="468"/>
      <c r="AE17" s="431" t="s">
        <v>207</v>
      </c>
      <c r="AF17" s="458"/>
      <c r="AG17" s="458"/>
      <c r="AH17" s="458"/>
      <c r="AI17" s="459"/>
      <c r="AJ17" s="459"/>
      <c r="AK17" s="459"/>
      <c r="AL17" s="459"/>
    </row>
    <row r="18" spans="1:38" s="412" customFormat="1" hidden="1" x14ac:dyDescent="0.25">
      <c r="A18" s="572">
        <v>9</v>
      </c>
      <c r="B18" s="572" t="s">
        <v>16</v>
      </c>
      <c r="C18" s="570" t="s">
        <v>177</v>
      </c>
      <c r="D18" s="502" t="s">
        <v>178</v>
      </c>
      <c r="E18" s="693" t="s">
        <v>126</v>
      </c>
      <c r="F18" s="464" t="s">
        <v>157</v>
      </c>
      <c r="G18" s="527" t="s">
        <v>146</v>
      </c>
      <c r="H18" s="658"/>
      <c r="I18" s="658"/>
      <c r="J18" s="658"/>
      <c r="K18" s="658"/>
      <c r="L18" s="658"/>
      <c r="M18" s="658">
        <v>1</v>
      </c>
      <c r="N18" s="658"/>
      <c r="O18" s="658"/>
      <c r="P18" s="659"/>
      <c r="Q18" s="404"/>
      <c r="R18" s="405">
        <v>65500</v>
      </c>
      <c r="S18" s="406">
        <v>42928</v>
      </c>
      <c r="T18" s="407" t="s">
        <v>141</v>
      </c>
      <c r="U18" s="465"/>
      <c r="V18" s="554">
        <v>65500</v>
      </c>
      <c r="W18" s="466">
        <f>V18/R18</f>
        <v>1</v>
      </c>
      <c r="X18" s="408"/>
      <c r="Y18" s="660">
        <v>65500</v>
      </c>
      <c r="Z18" s="409">
        <f t="shared" ref="Z18:Z39" si="8">Y18/R18</f>
        <v>1</v>
      </c>
      <c r="AA18" s="98"/>
      <c r="AB18" s="471">
        <f t="shared" si="7"/>
        <v>0</v>
      </c>
      <c r="AC18" s="467">
        <f t="shared" si="6"/>
        <v>0</v>
      </c>
      <c r="AD18" s="525"/>
      <c r="AE18" s="518" t="s">
        <v>205</v>
      </c>
      <c r="AF18" s="410"/>
      <c r="AG18" s="410"/>
      <c r="AH18" s="410"/>
      <c r="AI18" s="411"/>
      <c r="AJ18" s="411"/>
      <c r="AK18" s="411"/>
      <c r="AL18" s="411"/>
    </row>
    <row r="19" spans="1:38" s="36" customFormat="1" x14ac:dyDescent="0.25">
      <c r="A19" s="571">
        <v>11</v>
      </c>
      <c r="B19" s="557" t="s">
        <v>16</v>
      </c>
      <c r="C19" s="37" t="s">
        <v>179</v>
      </c>
      <c r="D19" s="501" t="s">
        <v>199</v>
      </c>
      <c r="E19" s="691" t="s">
        <v>158</v>
      </c>
      <c r="F19" s="296" t="s">
        <v>155</v>
      </c>
      <c r="G19" s="53" t="s">
        <v>150</v>
      </c>
      <c r="H19" s="387">
        <v>0.2</v>
      </c>
      <c r="I19" s="387"/>
      <c r="J19" s="387"/>
      <c r="K19" s="387"/>
      <c r="L19" s="387">
        <v>0.7</v>
      </c>
      <c r="M19" s="387"/>
      <c r="N19" s="387">
        <v>0.1</v>
      </c>
      <c r="O19" s="387"/>
      <c r="P19" s="260"/>
      <c r="Q19" s="364"/>
      <c r="R19" s="49">
        <v>3509250</v>
      </c>
      <c r="S19" s="138">
        <v>42929</v>
      </c>
      <c r="T19" s="673" t="s">
        <v>97</v>
      </c>
      <c r="U19" s="289"/>
      <c r="V19" s="555">
        <v>701850</v>
      </c>
      <c r="W19" s="46">
        <f t="shared" ref="W19:W39" si="9">V19/R19</f>
        <v>0.2</v>
      </c>
      <c r="X19" s="47"/>
      <c r="Y19" s="135">
        <v>701850</v>
      </c>
      <c r="Z19" s="290">
        <f t="shared" si="8"/>
        <v>0.2</v>
      </c>
      <c r="AA19" s="403"/>
      <c r="AB19" s="515">
        <f t="shared" si="7"/>
        <v>0</v>
      </c>
      <c r="AC19" s="517">
        <f t="shared" si="6"/>
        <v>2807400</v>
      </c>
      <c r="AD19" s="469"/>
      <c r="AE19" s="383" t="s">
        <v>205</v>
      </c>
      <c r="AF19" s="34"/>
      <c r="AG19" s="34"/>
      <c r="AH19" s="34"/>
      <c r="AI19" s="35"/>
      <c r="AJ19" s="35"/>
      <c r="AK19" s="35"/>
      <c r="AL19" s="35"/>
    </row>
    <row r="20" spans="1:38" s="36" customFormat="1" x14ac:dyDescent="0.25">
      <c r="A20" s="571">
        <v>12</v>
      </c>
      <c r="B20" s="557" t="s">
        <v>16</v>
      </c>
      <c r="C20" s="37" t="s">
        <v>179</v>
      </c>
      <c r="D20" s="501" t="s">
        <v>200</v>
      </c>
      <c r="E20" s="691" t="s">
        <v>158</v>
      </c>
      <c r="F20" s="296" t="s">
        <v>155</v>
      </c>
      <c r="G20" s="53" t="s">
        <v>150</v>
      </c>
      <c r="H20" s="387">
        <v>0.2</v>
      </c>
      <c r="I20" s="387"/>
      <c r="J20" s="387"/>
      <c r="K20" s="387"/>
      <c r="L20" s="387">
        <v>0.7</v>
      </c>
      <c r="M20" s="387"/>
      <c r="N20" s="387">
        <v>0.1</v>
      </c>
      <c r="O20" s="387"/>
      <c r="P20" s="260"/>
      <c r="Q20" s="364"/>
      <c r="R20" s="49">
        <v>840750</v>
      </c>
      <c r="S20" s="138">
        <v>42929</v>
      </c>
      <c r="T20" s="546" t="s">
        <v>97</v>
      </c>
      <c r="U20" s="289"/>
      <c r="V20" s="555">
        <v>168150</v>
      </c>
      <c r="W20" s="46">
        <f t="shared" si="9"/>
        <v>0.2</v>
      </c>
      <c r="X20" s="47"/>
      <c r="Y20" s="135">
        <v>168150</v>
      </c>
      <c r="Z20" s="290">
        <f t="shared" si="8"/>
        <v>0.2</v>
      </c>
      <c r="AA20" s="400"/>
      <c r="AB20" s="291">
        <f t="shared" si="7"/>
        <v>0</v>
      </c>
      <c r="AC20" s="400">
        <f t="shared" si="6"/>
        <v>672600</v>
      </c>
      <c r="AD20" s="469"/>
      <c r="AE20" s="383" t="s">
        <v>205</v>
      </c>
      <c r="AF20" s="34"/>
      <c r="AG20" s="34"/>
      <c r="AH20" s="34"/>
      <c r="AI20" s="35"/>
      <c r="AJ20" s="35"/>
      <c r="AK20" s="35"/>
      <c r="AL20" s="35"/>
    </row>
    <row r="21" spans="1:38" s="36" customFormat="1" x14ac:dyDescent="0.25">
      <c r="A21" s="571">
        <v>13</v>
      </c>
      <c r="B21" s="557" t="s">
        <v>16</v>
      </c>
      <c r="C21" s="37" t="s">
        <v>179</v>
      </c>
      <c r="D21" s="501" t="s">
        <v>227</v>
      </c>
      <c r="E21" s="691" t="s">
        <v>158</v>
      </c>
      <c r="F21" s="296" t="s">
        <v>155</v>
      </c>
      <c r="G21" s="53" t="s">
        <v>150</v>
      </c>
      <c r="H21" s="387">
        <v>0.2</v>
      </c>
      <c r="I21" s="387"/>
      <c r="J21" s="387">
        <v>0.7</v>
      </c>
      <c r="K21" s="387"/>
      <c r="L21" s="387"/>
      <c r="M21" s="387"/>
      <c r="N21" s="387">
        <v>0.1</v>
      </c>
      <c r="O21" s="387"/>
      <c r="P21" s="260"/>
      <c r="Q21" s="364"/>
      <c r="R21" s="49">
        <v>1280000</v>
      </c>
      <c r="S21" s="138">
        <v>42969</v>
      </c>
      <c r="T21" s="479" t="s">
        <v>97</v>
      </c>
      <c r="U21" s="289"/>
      <c r="V21" s="555">
        <v>0</v>
      </c>
      <c r="W21" s="46">
        <f t="shared" si="9"/>
        <v>0</v>
      </c>
      <c r="X21" s="47"/>
      <c r="Y21" s="135">
        <v>0</v>
      </c>
      <c r="Z21" s="290">
        <f t="shared" si="8"/>
        <v>0</v>
      </c>
      <c r="AA21" s="400"/>
      <c r="AB21" s="291">
        <f t="shared" si="7"/>
        <v>0</v>
      </c>
      <c r="AC21" s="400">
        <f t="shared" si="6"/>
        <v>1280000</v>
      </c>
      <c r="AD21" s="469"/>
      <c r="AE21" s="383"/>
      <c r="AF21" s="34"/>
      <c r="AG21" s="34"/>
      <c r="AH21" s="34"/>
      <c r="AI21" s="35"/>
      <c r="AJ21" s="35"/>
      <c r="AK21" s="35"/>
      <c r="AL21" s="35"/>
    </row>
    <row r="22" spans="1:38" s="36" customFormat="1" x14ac:dyDescent="0.25">
      <c r="A22" s="571">
        <v>14</v>
      </c>
      <c r="B22" s="557" t="s">
        <v>16</v>
      </c>
      <c r="C22" s="37" t="s">
        <v>180</v>
      </c>
      <c r="D22" s="501" t="s">
        <v>182</v>
      </c>
      <c r="E22" s="691" t="s">
        <v>181</v>
      </c>
      <c r="F22" s="296" t="s">
        <v>156</v>
      </c>
      <c r="G22" s="53" t="s">
        <v>148</v>
      </c>
      <c r="H22" s="387">
        <v>0.3</v>
      </c>
      <c r="I22" s="387"/>
      <c r="J22" s="387"/>
      <c r="K22" s="387"/>
      <c r="L22" s="387">
        <v>0.6</v>
      </c>
      <c r="M22" s="387"/>
      <c r="N22" s="387">
        <v>0.1</v>
      </c>
      <c r="O22" s="387"/>
      <c r="P22" s="260"/>
      <c r="Q22" s="364"/>
      <c r="R22" s="49">
        <v>515000</v>
      </c>
      <c r="S22" s="599">
        <v>42935</v>
      </c>
      <c r="T22" s="142" t="s">
        <v>97</v>
      </c>
      <c r="U22" s="289"/>
      <c r="V22" s="555">
        <f>154500+309000</f>
        <v>463500</v>
      </c>
      <c r="W22" s="46">
        <f t="shared" si="9"/>
        <v>0.9</v>
      </c>
      <c r="X22" s="47"/>
      <c r="Y22" s="135">
        <f>154500+309000</f>
        <v>463500</v>
      </c>
      <c r="Z22" s="290">
        <f t="shared" si="8"/>
        <v>0.9</v>
      </c>
      <c r="AA22" s="400"/>
      <c r="AB22" s="291">
        <f t="shared" si="7"/>
        <v>0</v>
      </c>
      <c r="AC22" s="400">
        <f t="shared" si="6"/>
        <v>51500</v>
      </c>
      <c r="AD22" s="469"/>
      <c r="AE22" s="383" t="s">
        <v>205</v>
      </c>
      <c r="AF22" s="34"/>
      <c r="AG22" s="34"/>
      <c r="AH22" s="34"/>
      <c r="AI22" s="35"/>
      <c r="AJ22" s="35"/>
      <c r="AK22" s="35"/>
      <c r="AL22" s="35"/>
    </row>
    <row r="23" spans="1:38" s="36" customFormat="1" x14ac:dyDescent="0.25">
      <c r="A23" s="571">
        <v>15</v>
      </c>
      <c r="B23" s="557" t="s">
        <v>16</v>
      </c>
      <c r="C23" s="37" t="s">
        <v>183</v>
      </c>
      <c r="D23" s="501" t="s">
        <v>188</v>
      </c>
      <c r="E23" s="691" t="s">
        <v>26</v>
      </c>
      <c r="F23" s="296" t="s">
        <v>157</v>
      </c>
      <c r="G23" s="53" t="s">
        <v>150</v>
      </c>
      <c r="H23" s="387">
        <v>0.2</v>
      </c>
      <c r="I23" s="387"/>
      <c r="J23" s="387"/>
      <c r="K23" s="387"/>
      <c r="L23" s="387">
        <v>0.7</v>
      </c>
      <c r="M23" s="387"/>
      <c r="N23" s="387">
        <v>0.1</v>
      </c>
      <c r="O23" s="387"/>
      <c r="P23" s="260"/>
      <c r="Q23" s="364"/>
      <c r="R23" s="49">
        <v>17600000</v>
      </c>
      <c r="S23" s="724">
        <v>42936</v>
      </c>
      <c r="T23" s="142" t="s">
        <v>97</v>
      </c>
      <c r="U23" s="289"/>
      <c r="V23" s="555">
        <v>3480000</v>
      </c>
      <c r="W23" s="46">
        <f t="shared" si="9"/>
        <v>0.19772727272727272</v>
      </c>
      <c r="X23" s="477"/>
      <c r="Y23" s="476">
        <v>3480000</v>
      </c>
      <c r="Z23" s="290">
        <f t="shared" si="8"/>
        <v>0.19772727272727272</v>
      </c>
      <c r="AA23" s="657"/>
      <c r="AB23" s="291">
        <f t="shared" si="7"/>
        <v>0</v>
      </c>
      <c r="AC23" s="470">
        <f t="shared" si="6"/>
        <v>14120000</v>
      </c>
      <c r="AD23" s="469"/>
      <c r="AE23" s="383"/>
      <c r="AF23" s="34"/>
      <c r="AG23" s="34"/>
      <c r="AH23" s="34"/>
      <c r="AI23" s="35"/>
      <c r="AJ23" s="35"/>
      <c r="AK23" s="35"/>
      <c r="AL23" s="35"/>
    </row>
    <row r="24" spans="1:38" s="460" customFormat="1" hidden="1" x14ac:dyDescent="0.25">
      <c r="A24" s="573">
        <v>13</v>
      </c>
      <c r="B24" s="573" t="s">
        <v>16</v>
      </c>
      <c r="C24" s="574" t="s">
        <v>184</v>
      </c>
      <c r="D24" s="503" t="s">
        <v>186</v>
      </c>
      <c r="E24" s="694" t="s">
        <v>185</v>
      </c>
      <c r="F24" s="451" t="s">
        <v>155</v>
      </c>
      <c r="G24" s="418" t="s">
        <v>146</v>
      </c>
      <c r="H24" s="532"/>
      <c r="I24" s="532"/>
      <c r="J24" s="532"/>
      <c r="K24" s="532"/>
      <c r="L24" s="532"/>
      <c r="M24" s="532"/>
      <c r="N24" s="532">
        <v>1</v>
      </c>
      <c r="O24" s="532"/>
      <c r="P24" s="452"/>
      <c r="Q24" s="453"/>
      <c r="R24" s="454">
        <v>850000</v>
      </c>
      <c r="S24" s="441">
        <v>42937</v>
      </c>
      <c r="T24" s="442" t="s">
        <v>97</v>
      </c>
      <c r="U24" s="455"/>
      <c r="V24" s="552">
        <v>850000</v>
      </c>
      <c r="W24" s="456">
        <f t="shared" si="9"/>
        <v>1</v>
      </c>
      <c r="X24" s="457"/>
      <c r="Y24" s="457">
        <v>850000</v>
      </c>
      <c r="Z24" s="456">
        <f t="shared" si="8"/>
        <v>1</v>
      </c>
      <c r="AA24" s="403"/>
      <c r="AB24" s="457">
        <f t="shared" si="7"/>
        <v>0</v>
      </c>
      <c r="AC24" s="457">
        <f t="shared" si="6"/>
        <v>0</v>
      </c>
      <c r="AD24" s="526"/>
      <c r="AE24" s="431" t="s">
        <v>205</v>
      </c>
      <c r="AF24" s="458"/>
      <c r="AG24" s="458"/>
      <c r="AH24" s="458"/>
      <c r="AI24" s="459"/>
      <c r="AJ24" s="459"/>
      <c r="AK24" s="459"/>
      <c r="AL24" s="459"/>
    </row>
    <row r="25" spans="1:38" s="36" customFormat="1" x14ac:dyDescent="0.25">
      <c r="A25" s="593">
        <v>16</v>
      </c>
      <c r="B25" s="611" t="s">
        <v>16</v>
      </c>
      <c r="C25" s="48" t="s">
        <v>187</v>
      </c>
      <c r="D25" s="501" t="s">
        <v>189</v>
      </c>
      <c r="E25" s="691" t="s">
        <v>172</v>
      </c>
      <c r="F25" s="385" t="s">
        <v>157</v>
      </c>
      <c r="G25" s="450" t="s">
        <v>148</v>
      </c>
      <c r="H25" s="533">
        <v>0.2</v>
      </c>
      <c r="I25" s="533"/>
      <c r="J25" s="533"/>
      <c r="K25" s="533"/>
      <c r="L25" s="533">
        <v>0.7</v>
      </c>
      <c r="M25" s="533"/>
      <c r="N25" s="533">
        <v>0.1</v>
      </c>
      <c r="O25" s="533"/>
      <c r="P25" s="627"/>
      <c r="Q25" s="364"/>
      <c r="R25" s="49">
        <v>790000</v>
      </c>
      <c r="S25" s="365">
        <v>42947</v>
      </c>
      <c r="T25" s="142" t="s">
        <v>97</v>
      </c>
      <c r="U25" s="141"/>
      <c r="V25" s="553">
        <f>158000+553000</f>
        <v>711000</v>
      </c>
      <c r="W25" s="46">
        <f t="shared" si="9"/>
        <v>0.9</v>
      </c>
      <c r="X25" s="475"/>
      <c r="Y25" s="612">
        <f>158000+553000</f>
        <v>711000</v>
      </c>
      <c r="Z25" s="290">
        <f t="shared" si="8"/>
        <v>0.9</v>
      </c>
      <c r="AA25" s="400"/>
      <c r="AB25" s="472">
        <f t="shared" si="7"/>
        <v>0</v>
      </c>
      <c r="AC25" s="610">
        <f t="shared" si="6"/>
        <v>79000</v>
      </c>
      <c r="AD25" s="469"/>
      <c r="AE25" s="386" t="s">
        <v>205</v>
      </c>
      <c r="AF25" s="34"/>
      <c r="AG25" s="34"/>
      <c r="AH25" s="34"/>
      <c r="AI25" s="35"/>
      <c r="AJ25" s="35"/>
      <c r="AK25" s="35"/>
      <c r="AL25" s="35"/>
    </row>
    <row r="26" spans="1:38" s="623" customFormat="1" x14ac:dyDescent="0.25">
      <c r="A26" s="571">
        <v>17</v>
      </c>
      <c r="B26" s="557" t="s">
        <v>16</v>
      </c>
      <c r="C26" s="37" t="s">
        <v>190</v>
      </c>
      <c r="D26" s="499" t="s">
        <v>191</v>
      </c>
      <c r="E26" s="505" t="s">
        <v>192</v>
      </c>
      <c r="F26" s="579" t="s">
        <v>157</v>
      </c>
      <c r="G26" s="136" t="s">
        <v>148</v>
      </c>
      <c r="H26" s="614">
        <v>0.2</v>
      </c>
      <c r="I26" s="614"/>
      <c r="J26" s="614"/>
      <c r="K26" s="614"/>
      <c r="L26" s="614">
        <v>0.7</v>
      </c>
      <c r="M26" s="614"/>
      <c r="N26" s="614">
        <v>0.1</v>
      </c>
      <c r="O26" s="614"/>
      <c r="P26" s="636"/>
      <c r="Q26" s="637"/>
      <c r="R26" s="136">
        <v>5297000</v>
      </c>
      <c r="S26" s="138">
        <v>42948</v>
      </c>
      <c r="T26" s="546" t="s">
        <v>97</v>
      </c>
      <c r="U26" s="289"/>
      <c r="V26" s="555">
        <f>1059400+3707900</f>
        <v>4767300</v>
      </c>
      <c r="W26" s="32">
        <f t="shared" si="9"/>
        <v>0.9</v>
      </c>
      <c r="X26" s="33"/>
      <c r="Y26" s="134">
        <f>1059400+3707900</f>
        <v>4767300</v>
      </c>
      <c r="Z26" s="606">
        <f t="shared" si="8"/>
        <v>0.9</v>
      </c>
      <c r="AA26" s="588"/>
      <c r="AB26" s="292">
        <f t="shared" si="7"/>
        <v>0</v>
      </c>
      <c r="AC26" s="588">
        <f t="shared" si="6"/>
        <v>529700</v>
      </c>
      <c r="AD26" s="589" t="s">
        <v>239</v>
      </c>
      <c r="AE26" s="638" t="s">
        <v>205</v>
      </c>
      <c r="AF26" s="621"/>
      <c r="AG26" s="621"/>
      <c r="AH26" s="621"/>
      <c r="AI26" s="622"/>
      <c r="AJ26" s="622"/>
      <c r="AK26" s="622"/>
      <c r="AL26" s="622"/>
    </row>
    <row r="27" spans="1:38" s="623" customFormat="1" x14ac:dyDescent="0.25">
      <c r="A27" s="571">
        <v>18</v>
      </c>
      <c r="B27" s="557" t="s">
        <v>16</v>
      </c>
      <c r="C27" s="37" t="s">
        <v>221</v>
      </c>
      <c r="D27" s="499" t="s">
        <v>223</v>
      </c>
      <c r="E27" s="505" t="s">
        <v>222</v>
      </c>
      <c r="F27" s="579" t="s">
        <v>155</v>
      </c>
      <c r="G27" s="136" t="s">
        <v>176</v>
      </c>
      <c r="H27" s="614"/>
      <c r="I27" s="614"/>
      <c r="J27" s="614"/>
      <c r="K27" s="614"/>
      <c r="L27" s="614">
        <v>1</v>
      </c>
      <c r="M27" s="614"/>
      <c r="N27" s="614"/>
      <c r="O27" s="614"/>
      <c r="P27" s="636"/>
      <c r="Q27" s="637"/>
      <c r="R27" s="136">
        <v>2300000</v>
      </c>
      <c r="S27" s="138">
        <v>42948</v>
      </c>
      <c r="T27" s="546" t="s">
        <v>114</v>
      </c>
      <c r="U27" s="289"/>
      <c r="V27" s="555">
        <v>0</v>
      </c>
      <c r="W27" s="32">
        <f t="shared" si="9"/>
        <v>0</v>
      </c>
      <c r="X27" s="33"/>
      <c r="Y27" s="134">
        <v>0</v>
      </c>
      <c r="Z27" s="606">
        <f t="shared" si="8"/>
        <v>0</v>
      </c>
      <c r="AA27" s="588"/>
      <c r="AB27" s="292">
        <f t="shared" si="7"/>
        <v>0</v>
      </c>
      <c r="AC27" s="588">
        <f t="shared" si="6"/>
        <v>2300000</v>
      </c>
      <c r="AD27" s="589"/>
      <c r="AE27" s="638"/>
      <c r="AF27" s="621"/>
      <c r="AG27" s="621"/>
      <c r="AH27" s="621"/>
      <c r="AI27" s="622"/>
      <c r="AJ27" s="622"/>
      <c r="AK27" s="622"/>
      <c r="AL27" s="622"/>
    </row>
    <row r="28" spans="1:38" s="623" customFormat="1" x14ac:dyDescent="0.25">
      <c r="A28" s="571">
        <v>19</v>
      </c>
      <c r="B28" s="557" t="s">
        <v>16</v>
      </c>
      <c r="C28" s="37" t="s">
        <v>193</v>
      </c>
      <c r="D28" s="499" t="s">
        <v>201</v>
      </c>
      <c r="E28" s="505" t="s">
        <v>202</v>
      </c>
      <c r="F28" s="579" t="s">
        <v>157</v>
      </c>
      <c r="G28" s="136" t="s">
        <v>148</v>
      </c>
      <c r="H28" s="614">
        <v>0.3</v>
      </c>
      <c r="I28" s="614"/>
      <c r="J28" s="614"/>
      <c r="K28" s="614"/>
      <c r="L28" s="614">
        <v>0.6</v>
      </c>
      <c r="M28" s="614"/>
      <c r="N28" s="614">
        <v>0.1</v>
      </c>
      <c r="O28" s="614"/>
      <c r="P28" s="636"/>
      <c r="Q28" s="637"/>
      <c r="R28" s="136">
        <v>2230000</v>
      </c>
      <c r="S28" s="138">
        <v>42949</v>
      </c>
      <c r="T28" s="546" t="s">
        <v>97</v>
      </c>
      <c r="U28" s="289"/>
      <c r="V28" s="555">
        <v>669000</v>
      </c>
      <c r="W28" s="32">
        <f t="shared" si="9"/>
        <v>0.3</v>
      </c>
      <c r="X28" s="33"/>
      <c r="Y28" s="134">
        <v>669000</v>
      </c>
      <c r="Z28" s="606">
        <f t="shared" si="8"/>
        <v>0.3</v>
      </c>
      <c r="AA28" s="588"/>
      <c r="AB28" s="292">
        <f t="shared" si="7"/>
        <v>0</v>
      </c>
      <c r="AC28" s="588">
        <f t="shared" si="6"/>
        <v>1561000</v>
      </c>
      <c r="AD28" s="589" t="s">
        <v>240</v>
      </c>
      <c r="AE28" s="638" t="s">
        <v>205</v>
      </c>
      <c r="AF28" s="621"/>
      <c r="AG28" s="621"/>
      <c r="AH28" s="621"/>
      <c r="AI28" s="622"/>
      <c r="AJ28" s="622"/>
      <c r="AK28" s="622"/>
      <c r="AL28" s="622"/>
    </row>
    <row r="29" spans="1:38" s="460" customFormat="1" hidden="1" x14ac:dyDescent="0.25">
      <c r="A29" s="573">
        <v>18</v>
      </c>
      <c r="B29" s="573" t="s">
        <v>16</v>
      </c>
      <c r="C29" s="574" t="s">
        <v>194</v>
      </c>
      <c r="D29" s="697" t="s">
        <v>195</v>
      </c>
      <c r="E29" s="628" t="s">
        <v>196</v>
      </c>
      <c r="F29" s="629" t="s">
        <v>155</v>
      </c>
      <c r="G29" s="630" t="s">
        <v>146</v>
      </c>
      <c r="H29" s="631"/>
      <c r="I29" s="631"/>
      <c r="J29" s="631"/>
      <c r="K29" s="631"/>
      <c r="L29" s="631"/>
      <c r="M29" s="631"/>
      <c r="N29" s="631">
        <v>1</v>
      </c>
      <c r="O29" s="631"/>
      <c r="P29" s="632"/>
      <c r="Q29" s="453"/>
      <c r="R29" s="630">
        <v>932040</v>
      </c>
      <c r="S29" s="633">
        <v>42950</v>
      </c>
      <c r="T29" s="634" t="s">
        <v>97</v>
      </c>
      <c r="U29" s="461"/>
      <c r="V29" s="433">
        <v>932040</v>
      </c>
      <c r="W29" s="443">
        <f t="shared" si="9"/>
        <v>1</v>
      </c>
      <c r="X29" s="462"/>
      <c r="Y29" s="462">
        <v>932040</v>
      </c>
      <c r="Z29" s="443">
        <f t="shared" si="8"/>
        <v>1</v>
      </c>
      <c r="AA29" s="403"/>
      <c r="AB29" s="462">
        <f t="shared" si="7"/>
        <v>0</v>
      </c>
      <c r="AC29" s="462">
        <f t="shared" si="6"/>
        <v>0</v>
      </c>
      <c r="AD29" s="526"/>
      <c r="AE29" s="635" t="s">
        <v>205</v>
      </c>
      <c r="AF29" s="458"/>
      <c r="AG29" s="458"/>
      <c r="AH29" s="458"/>
      <c r="AI29" s="459"/>
      <c r="AJ29" s="459"/>
      <c r="AK29" s="459"/>
      <c r="AL29" s="459"/>
    </row>
    <row r="30" spans="1:38" s="623" customFormat="1" x14ac:dyDescent="0.25">
      <c r="A30" s="571">
        <v>20</v>
      </c>
      <c r="B30" s="557" t="s">
        <v>16</v>
      </c>
      <c r="C30" s="37" t="s">
        <v>203</v>
      </c>
      <c r="D30" s="499" t="s">
        <v>204</v>
      </c>
      <c r="E30" s="505" t="s">
        <v>140</v>
      </c>
      <c r="F30" s="579" t="s">
        <v>156</v>
      </c>
      <c r="G30" s="136" t="s">
        <v>148</v>
      </c>
      <c r="H30" s="614">
        <v>0.3</v>
      </c>
      <c r="I30" s="614"/>
      <c r="J30" s="614"/>
      <c r="K30" s="614"/>
      <c r="L30" s="614">
        <v>0.5</v>
      </c>
      <c r="M30" s="614"/>
      <c r="N30" s="614">
        <v>0.1</v>
      </c>
      <c r="O30" s="614">
        <v>0.1</v>
      </c>
      <c r="P30" s="624"/>
      <c r="Q30" s="625"/>
      <c r="R30" s="136">
        <v>16197614.039999999</v>
      </c>
      <c r="S30" s="138">
        <v>42950</v>
      </c>
      <c r="T30" s="546" t="s">
        <v>97</v>
      </c>
      <c r="U30" s="289"/>
      <c r="V30" s="555">
        <f>4859284.21+8098807.02</f>
        <v>12958091.23</v>
      </c>
      <c r="W30" s="32">
        <f>V30/R30</f>
        <v>0.79999999987652515</v>
      </c>
      <c r="X30" s="33"/>
      <c r="Y30" s="134">
        <f>4859284.21+8098807.02</f>
        <v>12958091.23</v>
      </c>
      <c r="Z30" s="606">
        <f t="shared" si="8"/>
        <v>0.79999999987652515</v>
      </c>
      <c r="AA30" s="588"/>
      <c r="AB30" s="292">
        <f t="shared" si="7"/>
        <v>0</v>
      </c>
      <c r="AC30" s="588">
        <f t="shared" si="6"/>
        <v>3239522.8099999987</v>
      </c>
      <c r="AD30" s="589" t="s">
        <v>241</v>
      </c>
      <c r="AE30" s="626" t="s">
        <v>205</v>
      </c>
      <c r="AF30" s="621"/>
      <c r="AG30" s="621"/>
      <c r="AH30" s="621"/>
      <c r="AI30" s="622"/>
      <c r="AJ30" s="622"/>
      <c r="AK30" s="622"/>
      <c r="AL30" s="622"/>
    </row>
    <row r="31" spans="1:38" s="623" customFormat="1" ht="15.75" customHeight="1" x14ac:dyDescent="0.25">
      <c r="A31" s="571">
        <v>21</v>
      </c>
      <c r="B31" s="557" t="s">
        <v>16</v>
      </c>
      <c r="C31" s="647" t="s">
        <v>208</v>
      </c>
      <c r="D31" s="698" t="s">
        <v>210</v>
      </c>
      <c r="E31" s="605" t="s">
        <v>142</v>
      </c>
      <c r="F31" s="579" t="s">
        <v>156</v>
      </c>
      <c r="G31" s="136" t="s">
        <v>148</v>
      </c>
      <c r="H31" s="537">
        <v>0.3</v>
      </c>
      <c r="I31" s="537"/>
      <c r="J31" s="537"/>
      <c r="K31" s="537"/>
      <c r="L31" s="614">
        <v>0.5</v>
      </c>
      <c r="M31" s="614"/>
      <c r="N31" s="614">
        <v>0.1</v>
      </c>
      <c r="O31" s="614">
        <v>0.1</v>
      </c>
      <c r="P31" s="615"/>
      <c r="Q31" s="616">
        <f>SUM(R9:R29)</f>
        <v>65631168</v>
      </c>
      <c r="R31" s="617">
        <v>3510883.9</v>
      </c>
      <c r="S31" s="138">
        <v>42951</v>
      </c>
      <c r="T31" s="546" t="s">
        <v>97</v>
      </c>
      <c r="U31" s="618"/>
      <c r="V31" s="619">
        <f>1053265.17+1755442+351088.39</f>
        <v>3159795.56</v>
      </c>
      <c r="W31" s="32">
        <f t="shared" si="9"/>
        <v>0.90000001424142795</v>
      </c>
      <c r="X31" s="134"/>
      <c r="Y31" s="134">
        <f>1053265.17+1755442+351088.39</f>
        <v>3159795.56</v>
      </c>
      <c r="Z31" s="606">
        <f t="shared" si="8"/>
        <v>0.90000001424142795</v>
      </c>
      <c r="AA31" s="588"/>
      <c r="AB31" s="292">
        <f t="shared" si="7"/>
        <v>0</v>
      </c>
      <c r="AC31" s="588">
        <f t="shared" si="6"/>
        <v>351088.33999999985</v>
      </c>
      <c r="AD31" s="589"/>
      <c r="AE31" s="620"/>
      <c r="AF31" s="621"/>
      <c r="AG31" s="621"/>
      <c r="AH31" s="621"/>
      <c r="AI31" s="622"/>
      <c r="AJ31" s="622"/>
      <c r="AK31" s="622"/>
      <c r="AL31" s="622"/>
    </row>
    <row r="32" spans="1:38" s="609" customFormat="1" x14ac:dyDescent="0.25">
      <c r="A32" s="571">
        <v>22</v>
      </c>
      <c r="B32" s="496" t="s">
        <v>16</v>
      </c>
      <c r="C32" s="647" t="s">
        <v>209</v>
      </c>
      <c r="D32" s="698" t="s">
        <v>211</v>
      </c>
      <c r="E32" s="605" t="s">
        <v>142</v>
      </c>
      <c r="F32" s="579" t="s">
        <v>156</v>
      </c>
      <c r="G32" s="136" t="s">
        <v>148</v>
      </c>
      <c r="H32" s="581">
        <v>0.3</v>
      </c>
      <c r="I32" s="581"/>
      <c r="J32" s="581"/>
      <c r="K32" s="581"/>
      <c r="L32" s="581">
        <v>0.5</v>
      </c>
      <c r="M32" s="581"/>
      <c r="N32" s="581">
        <v>0.1</v>
      </c>
      <c r="O32" s="581">
        <v>0.1</v>
      </c>
      <c r="P32" s="582"/>
      <c r="Q32" s="583"/>
      <c r="R32" s="580">
        <v>10445343.699999999</v>
      </c>
      <c r="S32" s="138">
        <v>42951</v>
      </c>
      <c r="T32" s="546" t="s">
        <v>97</v>
      </c>
      <c r="U32" s="139"/>
      <c r="V32" s="585">
        <f>3133603.11+5222671.85+1044534.37</f>
        <v>9400809.3299999982</v>
      </c>
      <c r="W32" s="32">
        <f t="shared" si="9"/>
        <v>0.89999999999999991</v>
      </c>
      <c r="X32" s="140"/>
      <c r="Y32" s="140">
        <f>3133603.11+5222671.85+1044534.37</f>
        <v>9400809.3299999982</v>
      </c>
      <c r="Z32" s="606">
        <f t="shared" si="8"/>
        <v>0.89999999999999991</v>
      </c>
      <c r="AA32" s="644"/>
      <c r="AB32" s="292">
        <f t="shared" si="7"/>
        <v>0</v>
      </c>
      <c r="AC32" s="588">
        <f t="shared" si="6"/>
        <v>1044534.370000001</v>
      </c>
      <c r="AD32" s="613"/>
      <c r="AE32" s="590"/>
      <c r="AF32" s="607"/>
      <c r="AG32" s="607"/>
      <c r="AH32" s="607"/>
      <c r="AI32" s="608"/>
      <c r="AJ32" s="608"/>
      <c r="AK32" s="608"/>
      <c r="AL32" s="608"/>
    </row>
    <row r="33" spans="1:38" s="609" customFormat="1" x14ac:dyDescent="0.25">
      <c r="A33" s="571">
        <v>23</v>
      </c>
      <c r="B33" s="496" t="s">
        <v>16</v>
      </c>
      <c r="C33" s="647" t="s">
        <v>218</v>
      </c>
      <c r="D33" s="698" t="s">
        <v>220</v>
      </c>
      <c r="E33" s="605" t="s">
        <v>214</v>
      </c>
      <c r="F33" s="579" t="s">
        <v>157</v>
      </c>
      <c r="G33" s="136" t="s">
        <v>148</v>
      </c>
      <c r="H33" s="581">
        <v>0.3</v>
      </c>
      <c r="I33" s="581"/>
      <c r="J33" s="581">
        <v>0.6</v>
      </c>
      <c r="K33" s="581"/>
      <c r="L33" s="581"/>
      <c r="M33" s="581"/>
      <c r="N33" s="581">
        <v>0.1</v>
      </c>
      <c r="O33" s="581"/>
      <c r="P33" s="582"/>
      <c r="Q33" s="583"/>
      <c r="R33" s="580">
        <v>2102000</v>
      </c>
      <c r="S33" s="138">
        <v>42963</v>
      </c>
      <c r="T33" s="546" t="s">
        <v>97</v>
      </c>
      <c r="U33" s="139"/>
      <c r="V33" s="585">
        <f>630600+1261200</f>
        <v>1891800</v>
      </c>
      <c r="W33" s="32">
        <f t="shared" si="9"/>
        <v>0.9</v>
      </c>
      <c r="X33" s="140"/>
      <c r="Y33" s="140">
        <f>630600+1261200</f>
        <v>1891800</v>
      </c>
      <c r="Z33" s="606">
        <f t="shared" si="8"/>
        <v>0.9</v>
      </c>
      <c r="AA33" s="644"/>
      <c r="AB33" s="292">
        <f t="shared" si="7"/>
        <v>0</v>
      </c>
      <c r="AC33" s="588">
        <f t="shared" si="6"/>
        <v>210200</v>
      </c>
      <c r="AD33" s="589" t="s">
        <v>242</v>
      </c>
      <c r="AE33" s="590"/>
      <c r="AF33" s="607"/>
      <c r="AG33" s="607"/>
      <c r="AH33" s="607"/>
      <c r="AI33" s="608"/>
      <c r="AJ33" s="608"/>
      <c r="AK33" s="608"/>
      <c r="AL33" s="608"/>
    </row>
    <row r="34" spans="1:38" s="609" customFormat="1" x14ac:dyDescent="0.25">
      <c r="A34" s="571">
        <v>24</v>
      </c>
      <c r="B34" s="496" t="s">
        <v>16</v>
      </c>
      <c r="C34" s="647" t="s">
        <v>212</v>
      </c>
      <c r="D34" s="698" t="s">
        <v>213</v>
      </c>
      <c r="E34" s="605" t="s">
        <v>104</v>
      </c>
      <c r="F34" s="579" t="s">
        <v>156</v>
      </c>
      <c r="G34" s="136" t="s">
        <v>148</v>
      </c>
      <c r="H34" s="581">
        <v>0.3</v>
      </c>
      <c r="I34" s="581"/>
      <c r="J34" s="581"/>
      <c r="K34" s="581"/>
      <c r="L34" s="581">
        <v>0.5</v>
      </c>
      <c r="M34" s="581"/>
      <c r="N34" s="581">
        <v>0.1</v>
      </c>
      <c r="O34" s="581">
        <v>0.1</v>
      </c>
      <c r="P34" s="582"/>
      <c r="Q34" s="583"/>
      <c r="R34" s="580">
        <v>18200000</v>
      </c>
      <c r="S34" s="138">
        <v>42970</v>
      </c>
      <c r="T34" s="546" t="s">
        <v>97</v>
      </c>
      <c r="U34" s="139"/>
      <c r="V34" s="585">
        <f>5460000+9100000</f>
        <v>14560000</v>
      </c>
      <c r="W34" s="32">
        <f t="shared" si="9"/>
        <v>0.8</v>
      </c>
      <c r="X34" s="140"/>
      <c r="Y34" s="140">
        <f>5460000+9100000</f>
        <v>14560000</v>
      </c>
      <c r="Z34" s="606">
        <f t="shared" si="8"/>
        <v>0.8</v>
      </c>
      <c r="AA34" s="644"/>
      <c r="AB34" s="292">
        <f t="shared" si="7"/>
        <v>0</v>
      </c>
      <c r="AC34" s="588">
        <f t="shared" si="6"/>
        <v>3640000</v>
      </c>
      <c r="AD34" s="589"/>
      <c r="AE34" s="590"/>
      <c r="AF34" s="607"/>
      <c r="AG34" s="607"/>
      <c r="AH34" s="607"/>
      <c r="AI34" s="608"/>
      <c r="AJ34" s="608"/>
      <c r="AK34" s="608"/>
      <c r="AL34" s="608"/>
    </row>
    <row r="35" spans="1:38" s="609" customFormat="1" ht="14.25" customHeight="1" x14ac:dyDescent="0.25">
      <c r="A35" s="571">
        <v>25</v>
      </c>
      <c r="B35" s="496" t="s">
        <v>16</v>
      </c>
      <c r="C35" s="647" t="s">
        <v>215</v>
      </c>
      <c r="D35" s="698" t="s">
        <v>216</v>
      </c>
      <c r="E35" s="605" t="s">
        <v>214</v>
      </c>
      <c r="F35" s="579" t="s">
        <v>157</v>
      </c>
      <c r="G35" s="136" t="s">
        <v>148</v>
      </c>
      <c r="H35" s="581">
        <v>0.3</v>
      </c>
      <c r="I35" s="581"/>
      <c r="J35" s="581">
        <v>0.6</v>
      </c>
      <c r="K35" s="581"/>
      <c r="L35" s="581"/>
      <c r="M35" s="581"/>
      <c r="N35" s="581">
        <v>0.1</v>
      </c>
      <c r="O35" s="581"/>
      <c r="P35" s="582"/>
      <c r="Q35" s="583"/>
      <c r="R35" s="580">
        <v>5245900</v>
      </c>
      <c r="S35" s="138">
        <v>42970</v>
      </c>
      <c r="T35" s="546" t="s">
        <v>97</v>
      </c>
      <c r="U35" s="139"/>
      <c r="V35" s="585">
        <f>1573770+3147540</f>
        <v>4721310</v>
      </c>
      <c r="W35" s="586">
        <f t="shared" si="9"/>
        <v>0.9</v>
      </c>
      <c r="X35" s="140"/>
      <c r="Y35" s="140">
        <f>1573770+3147540</f>
        <v>4721310</v>
      </c>
      <c r="Z35" s="606">
        <f t="shared" si="8"/>
        <v>0.9</v>
      </c>
      <c r="AA35" s="644"/>
      <c r="AB35" s="292">
        <f t="shared" si="7"/>
        <v>0</v>
      </c>
      <c r="AC35" s="588">
        <f t="shared" si="6"/>
        <v>524590</v>
      </c>
      <c r="AD35" s="589"/>
      <c r="AE35" s="590"/>
      <c r="AF35" s="607"/>
      <c r="AG35" s="607"/>
      <c r="AH35" s="607"/>
      <c r="AI35" s="608"/>
      <c r="AJ35" s="608"/>
      <c r="AK35" s="608"/>
      <c r="AL35" s="608"/>
    </row>
    <row r="36" spans="1:38" x14ac:dyDescent="0.25">
      <c r="A36" s="594">
        <v>26</v>
      </c>
      <c r="B36" s="595" t="s">
        <v>16</v>
      </c>
      <c r="C36" s="648" t="s">
        <v>217</v>
      </c>
      <c r="D36" s="699" t="s">
        <v>219</v>
      </c>
      <c r="E36" s="596" t="s">
        <v>214</v>
      </c>
      <c r="F36" s="463" t="s">
        <v>157</v>
      </c>
      <c r="G36" s="401" t="s">
        <v>148</v>
      </c>
      <c r="H36" s="534">
        <v>0.3</v>
      </c>
      <c r="I36" s="534"/>
      <c r="J36" s="534">
        <v>0.6</v>
      </c>
      <c r="K36" s="534"/>
      <c r="L36" s="534"/>
      <c r="M36" s="534"/>
      <c r="N36" s="534">
        <v>0.1</v>
      </c>
      <c r="O36" s="534"/>
      <c r="P36" s="597"/>
      <c r="Q36" s="598"/>
      <c r="R36" s="528">
        <v>1625000</v>
      </c>
      <c r="S36" s="599">
        <v>42970</v>
      </c>
      <c r="T36" s="479" t="s">
        <v>97</v>
      </c>
      <c r="U36" s="600"/>
      <c r="V36" s="601">
        <v>487500</v>
      </c>
      <c r="W36" s="148">
        <f t="shared" si="9"/>
        <v>0.3</v>
      </c>
      <c r="X36" s="602"/>
      <c r="Y36" s="602">
        <v>487500</v>
      </c>
      <c r="Z36" s="603">
        <f t="shared" si="8"/>
        <v>0.3</v>
      </c>
      <c r="AB36" s="74">
        <f t="shared" si="7"/>
        <v>0</v>
      </c>
      <c r="AC36" s="106">
        <f t="shared" si="6"/>
        <v>1137500</v>
      </c>
      <c r="AD36" s="469" t="s">
        <v>243</v>
      </c>
      <c r="AE36" s="604"/>
    </row>
    <row r="37" spans="1:38" s="435" customFormat="1" hidden="1" x14ac:dyDescent="0.25">
      <c r="A37" s="573">
        <v>26</v>
      </c>
      <c r="B37" s="575" t="s">
        <v>16</v>
      </c>
      <c r="C37" s="649" t="s">
        <v>228</v>
      </c>
      <c r="D37" s="700" t="s">
        <v>229</v>
      </c>
      <c r="E37" s="506" t="s">
        <v>126</v>
      </c>
      <c r="F37" s="436" t="s">
        <v>157</v>
      </c>
      <c r="G37" s="439" t="s">
        <v>146</v>
      </c>
      <c r="H37" s="438"/>
      <c r="I37" s="438"/>
      <c r="J37" s="438"/>
      <c r="K37" s="438"/>
      <c r="L37" s="438"/>
      <c r="M37" s="438"/>
      <c r="N37" s="438">
        <v>1</v>
      </c>
      <c r="O37" s="438"/>
      <c r="P37" s="437"/>
      <c r="Q37" s="508"/>
      <c r="R37" s="439">
        <v>65000</v>
      </c>
      <c r="S37" s="441">
        <v>42986</v>
      </c>
      <c r="T37" s="442" t="s">
        <v>141</v>
      </c>
      <c r="U37" s="440"/>
      <c r="V37" s="556">
        <v>65000</v>
      </c>
      <c r="W37" s="443">
        <f t="shared" si="9"/>
        <v>1</v>
      </c>
      <c r="X37" s="440"/>
      <c r="Y37" s="440">
        <v>65000</v>
      </c>
      <c r="Z37" s="443">
        <f t="shared" si="8"/>
        <v>1</v>
      </c>
      <c r="AA37" s="449"/>
      <c r="AB37" s="473">
        <f t="shared" si="7"/>
        <v>0</v>
      </c>
      <c r="AC37" s="462">
        <f t="shared" si="6"/>
        <v>0</v>
      </c>
      <c r="AD37" s="444"/>
      <c r="AE37" s="509"/>
      <c r="AF37" s="433"/>
      <c r="AG37" s="433"/>
      <c r="AH37" s="433"/>
      <c r="AI37" s="434"/>
      <c r="AJ37" s="434"/>
      <c r="AK37" s="434"/>
      <c r="AL37" s="434"/>
    </row>
    <row r="38" spans="1:38" s="592" customFormat="1" x14ac:dyDescent="0.25">
      <c r="A38" s="576">
        <v>27</v>
      </c>
      <c r="B38" s="577" t="s">
        <v>16</v>
      </c>
      <c r="C38" s="650" t="s">
        <v>231</v>
      </c>
      <c r="D38" s="701" t="s">
        <v>237</v>
      </c>
      <c r="E38" s="578" t="s">
        <v>232</v>
      </c>
      <c r="F38" s="579" t="s">
        <v>155</v>
      </c>
      <c r="G38" s="580" t="s">
        <v>148</v>
      </c>
      <c r="H38" s="581">
        <v>0.3</v>
      </c>
      <c r="I38" s="581"/>
      <c r="J38" s="581"/>
      <c r="K38" s="581"/>
      <c r="L38" s="581">
        <v>0.6</v>
      </c>
      <c r="M38" s="581"/>
      <c r="N38" s="581">
        <v>0.1</v>
      </c>
      <c r="O38" s="581"/>
      <c r="P38" s="582"/>
      <c r="Q38" s="583"/>
      <c r="R38" s="580">
        <v>214500</v>
      </c>
      <c r="S38" s="584">
        <v>42991</v>
      </c>
      <c r="T38" s="546" t="s">
        <v>97</v>
      </c>
      <c r="U38" s="139"/>
      <c r="V38" s="585">
        <v>64350</v>
      </c>
      <c r="W38" s="586">
        <f t="shared" si="9"/>
        <v>0.3</v>
      </c>
      <c r="X38" s="140"/>
      <c r="Y38" s="140">
        <v>64350</v>
      </c>
      <c r="Z38" s="587">
        <f t="shared" si="8"/>
        <v>0.3</v>
      </c>
      <c r="AA38" s="644"/>
      <c r="AB38" s="588">
        <f t="shared" si="7"/>
        <v>0</v>
      </c>
      <c r="AC38" s="588">
        <f t="shared" si="6"/>
        <v>150150</v>
      </c>
      <c r="AD38" s="589" t="s">
        <v>244</v>
      </c>
      <c r="AE38" s="590"/>
      <c r="AF38" s="552"/>
      <c r="AG38" s="552"/>
      <c r="AH38" s="552"/>
      <c r="AI38" s="591"/>
      <c r="AJ38" s="591"/>
      <c r="AK38" s="591"/>
      <c r="AL38" s="591"/>
    </row>
    <row r="39" spans="1:38" s="609" customFormat="1" x14ac:dyDescent="0.25">
      <c r="A39" s="639">
        <v>28</v>
      </c>
      <c r="B39" s="640" t="s">
        <v>16</v>
      </c>
      <c r="C39" s="37" t="s">
        <v>224</v>
      </c>
      <c r="D39" s="499" t="s">
        <v>225</v>
      </c>
      <c r="E39" s="687" t="s">
        <v>226</v>
      </c>
      <c r="F39" s="136" t="s">
        <v>157</v>
      </c>
      <c r="G39" s="580" t="s">
        <v>150</v>
      </c>
      <c r="H39" s="641"/>
      <c r="I39" s="641"/>
      <c r="J39" s="641"/>
      <c r="K39" s="641"/>
      <c r="L39" s="641"/>
      <c r="M39" s="641"/>
      <c r="N39" s="641">
        <v>1</v>
      </c>
      <c r="O39" s="641"/>
      <c r="P39" s="582"/>
      <c r="Q39" s="583"/>
      <c r="R39" s="580">
        <v>680000</v>
      </c>
      <c r="S39" s="138">
        <v>42993</v>
      </c>
      <c r="T39" s="559" t="s">
        <v>141</v>
      </c>
      <c r="U39" s="642"/>
      <c r="V39" s="585">
        <v>0</v>
      </c>
      <c r="W39" s="139">
        <f t="shared" si="9"/>
        <v>0</v>
      </c>
      <c r="X39" s="643"/>
      <c r="Y39" s="140">
        <v>0</v>
      </c>
      <c r="Z39" s="140">
        <f t="shared" si="8"/>
        <v>0</v>
      </c>
      <c r="AA39" s="644"/>
      <c r="AB39" s="644">
        <f t="shared" si="7"/>
        <v>0</v>
      </c>
      <c r="AC39" s="644">
        <f t="shared" si="6"/>
        <v>680000</v>
      </c>
      <c r="AD39" s="613"/>
      <c r="AE39" s="590"/>
      <c r="AF39" s="607"/>
      <c r="AG39" s="607"/>
      <c r="AH39" s="607"/>
      <c r="AI39" s="608"/>
      <c r="AJ39" s="608"/>
      <c r="AK39" s="608"/>
      <c r="AL39" s="608"/>
    </row>
    <row r="40" spans="1:38" x14ac:dyDescent="0.25">
      <c r="A40" s="676">
        <v>29</v>
      </c>
      <c r="B40" s="677" t="s">
        <v>17</v>
      </c>
      <c r="C40" s="678" t="s">
        <v>233</v>
      </c>
      <c r="D40" s="702" t="s">
        <v>235</v>
      </c>
      <c r="E40" s="695" t="s">
        <v>230</v>
      </c>
      <c r="F40" s="679" t="s">
        <v>156</v>
      </c>
      <c r="G40" s="680" t="s">
        <v>148</v>
      </c>
      <c r="H40" s="681">
        <v>0.2</v>
      </c>
      <c r="I40" s="681"/>
      <c r="J40" s="681"/>
      <c r="K40" s="681"/>
      <c r="L40" s="681">
        <v>0.7</v>
      </c>
      <c r="M40" s="681"/>
      <c r="N40" s="681">
        <v>0.1</v>
      </c>
      <c r="O40" s="681"/>
      <c r="P40" s="680"/>
      <c r="Q40" s="682"/>
      <c r="R40" s="704">
        <v>2400000</v>
      </c>
      <c r="S40" s="138">
        <v>43025</v>
      </c>
      <c r="T40" s="546" t="s">
        <v>97</v>
      </c>
      <c r="U40" s="707"/>
      <c r="V40" s="139">
        <v>480000</v>
      </c>
      <c r="W40" s="708">
        <f>V40/R40</f>
        <v>0.2</v>
      </c>
      <c r="X40" s="709"/>
      <c r="Y40" s="140">
        <v>480000</v>
      </c>
      <c r="Z40" s="562">
        <f>Y40/R40</f>
        <v>0.2</v>
      </c>
      <c r="AA40" s="664"/>
      <c r="AB40" s="644">
        <v>0</v>
      </c>
      <c r="AC40" s="644">
        <f t="shared" si="6"/>
        <v>1920000</v>
      </c>
      <c r="AD40" s="613"/>
      <c r="AE40" s="613"/>
    </row>
    <row r="41" spans="1:38" x14ac:dyDescent="0.25">
      <c r="A41" s="683">
        <v>30</v>
      </c>
      <c r="B41" s="677" t="s">
        <v>17</v>
      </c>
      <c r="C41" s="678" t="s">
        <v>234</v>
      </c>
      <c r="D41" s="702" t="s">
        <v>236</v>
      </c>
      <c r="E41" s="695" t="s">
        <v>26</v>
      </c>
      <c r="F41" s="679" t="s">
        <v>157</v>
      </c>
      <c r="G41" s="680" t="s">
        <v>148</v>
      </c>
      <c r="H41" s="681"/>
      <c r="I41" s="681"/>
      <c r="J41" s="681"/>
      <c r="K41" s="681"/>
      <c r="L41" s="681"/>
      <c r="M41" s="681"/>
      <c r="N41" s="681">
        <v>1</v>
      </c>
      <c r="O41" s="681"/>
      <c r="P41" s="680"/>
      <c r="Q41" s="682"/>
      <c r="R41" s="704">
        <v>70000</v>
      </c>
      <c r="S41" s="138">
        <v>43028</v>
      </c>
      <c r="T41" s="546" t="s">
        <v>97</v>
      </c>
      <c r="U41" s="707"/>
      <c r="V41" s="139">
        <v>0</v>
      </c>
      <c r="W41" s="139">
        <v>0</v>
      </c>
      <c r="X41" s="709"/>
      <c r="Y41" s="140">
        <v>0</v>
      </c>
      <c r="Z41" s="140">
        <v>0</v>
      </c>
      <c r="AA41" s="710"/>
      <c r="AB41" s="644">
        <v>0</v>
      </c>
      <c r="AC41" s="644">
        <f t="shared" si="6"/>
        <v>70000</v>
      </c>
      <c r="AD41" s="589" t="s">
        <v>245</v>
      </c>
      <c r="AE41" s="613"/>
    </row>
    <row r="42" spans="1:38" x14ac:dyDescent="0.25">
      <c r="A42" s="683">
        <v>31</v>
      </c>
      <c r="B42" s="677"/>
      <c r="C42" s="684" t="s">
        <v>249</v>
      </c>
      <c r="D42" s="702" t="s">
        <v>250</v>
      </c>
      <c r="E42" s="695" t="s">
        <v>248</v>
      </c>
      <c r="F42" s="679" t="s">
        <v>156</v>
      </c>
      <c r="G42" s="680" t="s">
        <v>176</v>
      </c>
      <c r="H42" s="681"/>
      <c r="I42" s="681"/>
      <c r="J42" s="681"/>
      <c r="K42" s="681"/>
      <c r="L42" s="681"/>
      <c r="M42" s="681"/>
      <c r="N42" s="681">
        <v>1</v>
      </c>
      <c r="O42" s="681"/>
      <c r="P42" s="680"/>
      <c r="Q42" s="682"/>
      <c r="R42" s="704">
        <v>100000</v>
      </c>
      <c r="S42" s="138">
        <v>43061</v>
      </c>
      <c r="T42" s="546" t="s">
        <v>97</v>
      </c>
      <c r="U42" s="707"/>
      <c r="V42" s="139">
        <v>0</v>
      </c>
      <c r="W42" s="139">
        <v>0</v>
      </c>
      <c r="X42" s="709"/>
      <c r="Y42" s="140">
        <v>0</v>
      </c>
      <c r="Z42" s="140">
        <v>0</v>
      </c>
      <c r="AA42" s="710"/>
      <c r="AB42" s="644">
        <v>0</v>
      </c>
      <c r="AC42" s="644">
        <f t="shared" si="6"/>
        <v>100000</v>
      </c>
      <c r="AD42" s="613"/>
      <c r="AE42" s="613"/>
    </row>
    <row r="43" spans="1:38" x14ac:dyDescent="0.25">
      <c r="A43" s="677"/>
      <c r="B43" s="677"/>
      <c r="C43" s="677"/>
      <c r="D43" s="703"/>
      <c r="E43" s="696"/>
      <c r="F43" s="685"/>
      <c r="G43" s="676"/>
      <c r="H43" s="681"/>
      <c r="I43" s="681"/>
      <c r="J43" s="681"/>
      <c r="K43" s="681"/>
      <c r="L43" s="681"/>
      <c r="M43" s="681"/>
      <c r="N43" s="681"/>
      <c r="O43" s="681"/>
      <c r="P43" s="676"/>
      <c r="Q43" s="682"/>
      <c r="R43" s="705"/>
      <c r="S43" s="706"/>
      <c r="T43" s="559"/>
      <c r="U43" s="546"/>
      <c r="V43" s="613"/>
      <c r="W43" s="613"/>
      <c r="X43" s="521"/>
      <c r="Y43" s="613"/>
      <c r="Z43" s="613"/>
      <c r="AA43" s="521"/>
      <c r="AB43" s="613"/>
      <c r="AC43" s="613"/>
      <c r="AD43" s="613"/>
      <c r="AE43" s="613"/>
    </row>
    <row r="44" spans="1:38" x14ac:dyDescent="0.25">
      <c r="A44" s="677"/>
      <c r="B44" s="677"/>
      <c r="C44" s="686"/>
      <c r="D44" s="703"/>
      <c r="E44" s="696"/>
      <c r="F44" s="685"/>
      <c r="G44" s="680"/>
      <c r="H44" s="711"/>
      <c r="I44" s="711"/>
      <c r="J44" s="711"/>
      <c r="K44" s="711"/>
      <c r="L44" s="711"/>
      <c r="M44" s="711"/>
      <c r="N44" s="711"/>
      <c r="O44" s="711"/>
      <c r="P44" s="712"/>
      <c r="Q44" s="713"/>
      <c r="R44" s="714"/>
      <c r="S44" s="706"/>
      <c r="T44" s="559"/>
      <c r="U44" s="559"/>
      <c r="V44" s="613"/>
      <c r="W44" s="613"/>
      <c r="X44" s="613"/>
      <c r="Y44" s="613"/>
      <c r="Z44" s="613"/>
      <c r="AA44" s="613"/>
      <c r="AB44" s="613"/>
      <c r="AC44" s="613"/>
      <c r="AD44" s="613"/>
      <c r="AE44" s="613"/>
    </row>
    <row r="45" spans="1:38" x14ac:dyDescent="0.25">
      <c r="A45" s="27"/>
      <c r="B45" s="27"/>
      <c r="C45" s="28"/>
      <c r="D45" s="29"/>
      <c r="E45" s="29"/>
      <c r="F45" s="29"/>
      <c r="G45" s="145"/>
      <c r="H45" s="716"/>
      <c r="I45" s="716"/>
      <c r="J45" s="716"/>
      <c r="K45" s="716"/>
      <c r="L45" s="716"/>
      <c r="M45" s="716"/>
      <c r="N45" s="716"/>
      <c r="O45" s="716"/>
      <c r="P45" s="717"/>
      <c r="Q45" s="717"/>
      <c r="R45" s="717"/>
      <c r="S45" s="30"/>
      <c r="T45" s="29"/>
      <c r="U45" s="29"/>
      <c r="W45" s="2"/>
      <c r="X45" s="2"/>
      <c r="Y45" s="2"/>
      <c r="Z45" s="2"/>
      <c r="AA45" s="2"/>
      <c r="AB45" s="2"/>
      <c r="AC45" s="2"/>
      <c r="AD45" s="2"/>
    </row>
    <row r="46" spans="1:38" x14ac:dyDescent="0.25">
      <c r="A46" s="27"/>
      <c r="B46" s="27"/>
      <c r="C46" s="28"/>
      <c r="D46" s="29"/>
      <c r="E46" s="29"/>
      <c r="F46" s="29"/>
      <c r="G46" s="145"/>
      <c r="H46" s="716"/>
      <c r="I46" s="716"/>
      <c r="J46" s="716"/>
      <c r="K46" s="716"/>
      <c r="L46" s="716"/>
      <c r="M46" s="716"/>
      <c r="N46" s="716"/>
      <c r="O46" s="716"/>
      <c r="P46" s="717"/>
      <c r="Q46" s="717"/>
      <c r="R46" s="717"/>
      <c r="S46" s="30"/>
      <c r="T46" s="29"/>
      <c r="U46" s="29"/>
      <c r="W46" s="2"/>
      <c r="X46" s="2"/>
      <c r="Y46" s="2"/>
      <c r="Z46" s="2"/>
      <c r="AA46" s="2"/>
      <c r="AB46" s="2">
        <v>43949528.32</v>
      </c>
      <c r="AC46" s="2"/>
      <c r="AD46" s="2"/>
    </row>
    <row r="47" spans="1:38" x14ac:dyDescent="0.25">
      <c r="A47" s="27"/>
      <c r="B47" s="27"/>
      <c r="C47" s="28"/>
      <c r="D47" s="29"/>
      <c r="E47" s="29"/>
      <c r="F47" s="29"/>
      <c r="G47" s="145"/>
      <c r="H47" s="716"/>
      <c r="I47" s="716"/>
      <c r="J47" s="716"/>
      <c r="K47" s="716"/>
      <c r="L47" s="716"/>
      <c r="M47" s="716"/>
      <c r="N47" s="716"/>
      <c r="O47" s="716"/>
      <c r="P47" s="717"/>
      <c r="Q47" s="717" t="s">
        <v>166</v>
      </c>
      <c r="R47" s="717"/>
      <c r="S47" s="30"/>
      <c r="T47" s="29"/>
      <c r="U47" s="29"/>
      <c r="W47" s="2"/>
      <c r="X47" s="2"/>
      <c r="Y47" s="2"/>
      <c r="Z47" s="2"/>
      <c r="AA47" s="2"/>
      <c r="AB47" s="2"/>
      <c r="AC47" s="2"/>
      <c r="AD47" s="2"/>
    </row>
    <row r="48" spans="1:38" x14ac:dyDescent="0.25">
      <c r="A48" s="27"/>
      <c r="B48" s="27"/>
      <c r="C48" s="28"/>
      <c r="D48" s="29"/>
      <c r="E48" s="29"/>
      <c r="F48" s="29"/>
      <c r="G48" s="145"/>
      <c r="H48" s="716"/>
      <c r="I48" s="716"/>
      <c r="J48" s="716"/>
      <c r="K48" s="716"/>
      <c r="L48" s="716"/>
      <c r="M48" s="716"/>
      <c r="N48" s="716"/>
      <c r="O48" s="716"/>
      <c r="P48" s="717"/>
      <c r="Q48" s="717"/>
      <c r="R48" s="717"/>
      <c r="S48" s="30"/>
      <c r="T48" s="29"/>
      <c r="U48" s="29"/>
      <c r="W48" s="2"/>
      <c r="X48" s="2"/>
      <c r="Y48" s="2"/>
      <c r="Z48" s="2"/>
      <c r="AA48" s="2"/>
      <c r="AB48" s="2"/>
      <c r="AC48" s="2"/>
      <c r="AD48" s="2"/>
    </row>
    <row r="49" spans="1:30" x14ac:dyDescent="0.25">
      <c r="A49" s="27"/>
      <c r="B49" s="27"/>
      <c r="C49" s="28"/>
      <c r="D49" s="29"/>
      <c r="E49" s="29"/>
      <c r="F49" s="29"/>
      <c r="G49" s="145"/>
      <c r="H49" s="716"/>
      <c r="I49" s="716"/>
      <c r="J49" s="716"/>
      <c r="K49" s="716"/>
      <c r="L49" s="716"/>
      <c r="M49" s="716"/>
      <c r="N49" s="716"/>
      <c r="O49" s="716"/>
      <c r="P49" s="717"/>
      <c r="Q49" s="717"/>
      <c r="R49" s="717"/>
      <c r="S49" s="30"/>
      <c r="T49" s="29"/>
      <c r="U49" s="29"/>
      <c r="W49" s="2"/>
      <c r="X49" s="2"/>
      <c r="Y49" s="2"/>
      <c r="Z49" s="2"/>
      <c r="AA49" s="2"/>
      <c r="AB49" s="2"/>
      <c r="AC49" s="2"/>
      <c r="AD49" s="2"/>
    </row>
    <row r="50" spans="1:30" x14ac:dyDescent="0.25">
      <c r="A50" s="27"/>
      <c r="B50" s="27"/>
      <c r="C50" s="28"/>
      <c r="D50" s="29"/>
      <c r="E50" s="29"/>
      <c r="F50" s="29"/>
      <c r="G50" s="145"/>
      <c r="H50" s="716"/>
      <c r="I50" s="716"/>
      <c r="J50" s="716"/>
      <c r="K50" s="716"/>
      <c r="L50" s="716"/>
      <c r="M50" s="716"/>
      <c r="N50" s="716"/>
      <c r="O50" s="716"/>
      <c r="P50" s="717"/>
      <c r="Q50" s="717"/>
      <c r="R50" s="717"/>
      <c r="S50" s="30"/>
      <c r="T50" s="29"/>
      <c r="U50" s="29"/>
      <c r="W50" s="2"/>
      <c r="X50" s="2"/>
      <c r="Y50" s="2"/>
      <c r="Z50" s="2"/>
      <c r="AA50" s="2"/>
      <c r="AB50" s="2"/>
      <c r="AC50" s="2"/>
      <c r="AD50" s="2"/>
    </row>
    <row r="51" spans="1:30" x14ac:dyDescent="0.25">
      <c r="A51" s="27"/>
      <c r="B51" s="27"/>
      <c r="C51" s="28"/>
      <c r="D51" s="29"/>
      <c r="E51" s="29"/>
      <c r="F51" s="29"/>
      <c r="G51" s="145"/>
      <c r="H51" s="716"/>
      <c r="I51" s="716"/>
      <c r="J51" s="716"/>
      <c r="K51" s="716"/>
      <c r="L51" s="716"/>
      <c r="M51" s="716"/>
      <c r="N51" s="716"/>
      <c r="O51" s="716"/>
      <c r="P51" s="717"/>
      <c r="Q51" s="717"/>
      <c r="R51" s="717"/>
      <c r="S51" s="30"/>
      <c r="T51" s="29"/>
      <c r="U51" s="29"/>
      <c r="W51" s="2"/>
      <c r="X51" s="2"/>
      <c r="Y51" s="2"/>
      <c r="Z51" s="2"/>
      <c r="AA51" s="2"/>
      <c r="AB51" s="2"/>
      <c r="AC51" s="2"/>
      <c r="AD51" s="2"/>
    </row>
    <row r="52" spans="1:30" x14ac:dyDescent="0.25">
      <c r="A52" s="27"/>
      <c r="B52" s="27"/>
      <c r="C52" s="28"/>
      <c r="D52" s="29"/>
      <c r="E52" s="29"/>
      <c r="F52" s="29"/>
      <c r="G52" s="145"/>
      <c r="H52" s="716"/>
      <c r="I52" s="716"/>
      <c r="J52" s="716"/>
      <c r="K52" s="716"/>
      <c r="L52" s="716"/>
      <c r="M52" s="716"/>
      <c r="N52" s="716"/>
      <c r="O52" s="716"/>
      <c r="P52" s="717"/>
      <c r="Q52" s="717"/>
      <c r="R52" s="717"/>
      <c r="S52" s="30"/>
      <c r="T52" s="29"/>
      <c r="U52" s="29"/>
      <c r="W52" s="2"/>
      <c r="X52" s="2"/>
      <c r="Y52" s="2"/>
      <c r="Z52" s="2"/>
      <c r="AA52" s="2"/>
      <c r="AB52" s="2"/>
      <c r="AC52" s="2"/>
      <c r="AD52" s="2"/>
    </row>
    <row r="53" spans="1:30" x14ac:dyDescent="0.25">
      <c r="A53" s="27"/>
      <c r="B53" s="27"/>
      <c r="C53" s="28"/>
      <c r="D53" s="29"/>
      <c r="E53" s="29"/>
      <c r="F53" s="29"/>
      <c r="G53" s="145"/>
      <c r="H53" s="716"/>
      <c r="I53" s="716"/>
      <c r="J53" s="716"/>
      <c r="K53" s="716"/>
      <c r="L53" s="716"/>
      <c r="M53" s="716"/>
      <c r="N53" s="716"/>
      <c r="O53" s="716"/>
      <c r="P53" s="717"/>
      <c r="Q53" s="717"/>
      <c r="R53" s="717"/>
      <c r="S53" s="30"/>
      <c r="T53" s="29"/>
      <c r="U53" s="29"/>
      <c r="W53" s="2"/>
      <c r="X53" s="2"/>
      <c r="Y53" s="2"/>
      <c r="Z53" s="2"/>
      <c r="AA53" s="2"/>
      <c r="AB53" s="2"/>
      <c r="AC53" s="2"/>
      <c r="AD53" s="2"/>
    </row>
    <row r="54" spans="1:30" x14ac:dyDescent="0.25">
      <c r="A54" s="27"/>
      <c r="B54" s="27"/>
      <c r="C54" s="28"/>
      <c r="D54" s="29"/>
      <c r="E54" s="29"/>
      <c r="F54" s="29"/>
      <c r="G54" s="145"/>
      <c r="H54" s="716"/>
      <c r="I54" s="716"/>
      <c r="J54" s="716"/>
      <c r="K54" s="716"/>
      <c r="L54" s="716"/>
      <c r="M54" s="716"/>
      <c r="N54" s="716"/>
      <c r="O54" s="716"/>
      <c r="P54" s="717"/>
      <c r="Q54" s="717"/>
      <c r="R54" s="717"/>
      <c r="S54" s="30"/>
      <c r="T54" s="29"/>
      <c r="U54" s="29"/>
      <c r="W54" s="2"/>
      <c r="X54" s="2"/>
      <c r="Y54" s="2"/>
      <c r="Z54" s="2"/>
      <c r="AA54" s="2"/>
      <c r="AB54" s="2"/>
      <c r="AC54" s="2"/>
      <c r="AD54" s="2"/>
    </row>
    <row r="55" spans="1:30" x14ac:dyDescent="0.25">
      <c r="A55" s="27"/>
      <c r="B55" s="27"/>
      <c r="C55" s="28"/>
      <c r="D55" s="29"/>
      <c r="E55" s="29"/>
      <c r="F55" s="29"/>
      <c r="G55" s="145"/>
      <c r="H55" s="716"/>
      <c r="I55" s="716"/>
      <c r="J55" s="716"/>
      <c r="K55" s="716"/>
      <c r="L55" s="716"/>
      <c r="M55" s="716"/>
      <c r="N55" s="716"/>
      <c r="O55" s="716"/>
      <c r="P55" s="717"/>
      <c r="Q55" s="717"/>
      <c r="R55" s="717"/>
      <c r="S55" s="30"/>
      <c r="T55" s="29"/>
      <c r="U55" s="29"/>
      <c r="W55" s="2"/>
      <c r="X55" s="2"/>
      <c r="Y55" s="2"/>
      <c r="Z55" s="2"/>
      <c r="AA55" s="2"/>
      <c r="AB55" s="2"/>
      <c r="AC55" s="2"/>
      <c r="AD55" s="2"/>
    </row>
    <row r="56" spans="1:30" x14ac:dyDescent="0.25">
      <c r="A56" s="27"/>
      <c r="B56" s="27"/>
      <c r="C56" s="28"/>
      <c r="D56" s="29"/>
      <c r="E56" s="29"/>
      <c r="F56" s="29"/>
      <c r="G56" s="145"/>
      <c r="H56" s="716"/>
      <c r="I56" s="716"/>
      <c r="J56" s="716"/>
      <c r="K56" s="716"/>
      <c r="L56" s="716"/>
      <c r="M56" s="716"/>
      <c r="N56" s="716"/>
      <c r="O56" s="716"/>
      <c r="P56" s="718"/>
      <c r="Q56" s="717"/>
      <c r="R56" s="717"/>
      <c r="S56" s="30"/>
      <c r="T56" s="29"/>
      <c r="U56" s="29"/>
      <c r="W56" s="2"/>
      <c r="X56" s="2"/>
      <c r="Y56" s="2"/>
      <c r="Z56" s="2"/>
      <c r="AA56" s="2"/>
      <c r="AB56" s="2"/>
      <c r="AC56" s="2"/>
      <c r="AD56" s="2"/>
    </row>
    <row r="57" spans="1:30" x14ac:dyDescent="0.25">
      <c r="A57" s="27"/>
      <c r="B57" s="27"/>
      <c r="C57" s="28"/>
      <c r="D57" s="29"/>
      <c r="E57" s="29"/>
      <c r="F57" s="29"/>
      <c r="G57" s="145"/>
      <c r="H57" s="716"/>
      <c r="I57" s="716"/>
      <c r="J57" s="716"/>
      <c r="K57" s="716"/>
      <c r="L57" s="716"/>
      <c r="M57" s="716"/>
      <c r="N57" s="716"/>
      <c r="O57" s="716"/>
      <c r="P57" s="718"/>
      <c r="Q57" s="717"/>
      <c r="R57" s="717"/>
      <c r="S57" s="30"/>
      <c r="T57" s="29"/>
      <c r="U57" s="29"/>
      <c r="W57" s="2"/>
      <c r="X57" s="2"/>
      <c r="Y57" s="2"/>
      <c r="Z57" s="2"/>
      <c r="AA57" s="675"/>
      <c r="AB57" s="2"/>
      <c r="AC57" s="2"/>
      <c r="AD57" s="2"/>
    </row>
    <row r="58" spans="1:30" x14ac:dyDescent="0.25">
      <c r="A58" s="27"/>
      <c r="B58" s="27"/>
      <c r="C58" s="28"/>
      <c r="D58" s="29"/>
      <c r="E58" s="29"/>
      <c r="F58" s="29"/>
      <c r="G58" s="145"/>
      <c r="H58" s="716"/>
      <c r="I58" s="716"/>
      <c r="J58" s="716"/>
      <c r="K58" s="716"/>
      <c r="L58" s="716"/>
      <c r="M58" s="716"/>
      <c r="N58" s="716"/>
      <c r="O58" s="716"/>
      <c r="P58" s="717"/>
      <c r="Q58" s="717"/>
      <c r="R58" s="717"/>
      <c r="S58" s="30"/>
      <c r="T58" s="29"/>
      <c r="U58" s="29"/>
      <c r="W58" s="2"/>
      <c r="X58" s="2"/>
      <c r="Y58" s="2"/>
      <c r="Z58" s="2"/>
      <c r="AA58" s="675"/>
      <c r="AB58" s="2"/>
      <c r="AC58" s="2"/>
      <c r="AD58" s="2"/>
    </row>
    <row r="59" spans="1:30" x14ac:dyDescent="0.25">
      <c r="A59" s="27"/>
      <c r="B59" s="27"/>
      <c r="C59" s="28"/>
      <c r="D59" s="29"/>
      <c r="E59" s="29"/>
      <c r="F59" s="29"/>
      <c r="G59" s="145"/>
      <c r="H59" s="716"/>
      <c r="I59" s="716"/>
      <c r="J59" s="716"/>
      <c r="K59" s="716"/>
      <c r="L59" s="716"/>
      <c r="M59" s="716"/>
      <c r="N59" s="716"/>
      <c r="O59" s="716"/>
      <c r="P59" s="717"/>
      <c r="Q59" s="717"/>
      <c r="R59" s="717"/>
      <c r="S59" s="30"/>
      <c r="T59" s="29"/>
      <c r="U59" s="29"/>
      <c r="W59" s="2"/>
      <c r="X59" s="2"/>
      <c r="Y59" s="2"/>
      <c r="Z59" s="2"/>
      <c r="AA59" s="675"/>
      <c r="AB59" s="2"/>
      <c r="AC59" s="2"/>
      <c r="AD59" s="2"/>
    </row>
    <row r="60" spans="1:30" x14ac:dyDescent="0.25">
      <c r="A60" s="27"/>
      <c r="B60" s="27"/>
      <c r="C60" s="28"/>
      <c r="D60" s="29"/>
      <c r="E60" s="29"/>
      <c r="F60" s="29"/>
      <c r="G60" s="145"/>
      <c r="H60" s="716"/>
      <c r="I60" s="716"/>
      <c r="J60" s="716"/>
      <c r="K60" s="716"/>
      <c r="L60" s="716"/>
      <c r="M60" s="716"/>
      <c r="N60" s="716"/>
      <c r="O60" s="716"/>
      <c r="P60" s="717"/>
      <c r="Q60" s="717"/>
      <c r="R60" s="717"/>
      <c r="S60" s="30"/>
      <c r="T60" s="29"/>
      <c r="U60" s="29"/>
      <c r="W60" s="2"/>
      <c r="X60" s="2"/>
      <c r="Y60" s="2"/>
      <c r="Z60" s="2"/>
      <c r="AA60" s="675"/>
      <c r="AB60" s="2"/>
      <c r="AC60" s="2"/>
      <c r="AD60" s="2"/>
    </row>
    <row r="61" spans="1:30" x14ac:dyDescent="0.25">
      <c r="A61" s="27"/>
      <c r="B61" s="27"/>
      <c r="C61" s="28"/>
      <c r="D61" s="29"/>
      <c r="E61" s="29"/>
      <c r="F61" s="29"/>
      <c r="G61" s="145"/>
      <c r="H61" s="716"/>
      <c r="I61" s="716"/>
      <c r="J61" s="716"/>
      <c r="K61" s="716"/>
      <c r="L61" s="716"/>
      <c r="M61" s="716"/>
      <c r="N61" s="716"/>
      <c r="O61" s="716"/>
      <c r="P61" s="717"/>
      <c r="Q61" s="717"/>
      <c r="R61" s="717"/>
      <c r="S61" s="30"/>
      <c r="T61" s="29"/>
      <c r="U61" s="29"/>
      <c r="W61" s="2"/>
      <c r="X61" s="2"/>
      <c r="Y61" s="2"/>
      <c r="Z61" s="2"/>
      <c r="AA61" s="675"/>
      <c r="AB61" s="2"/>
      <c r="AC61" s="2"/>
      <c r="AD61" s="2"/>
    </row>
    <row r="62" spans="1:30" x14ac:dyDescent="0.25">
      <c r="A62" s="27"/>
      <c r="B62" s="27"/>
      <c r="C62" s="28"/>
      <c r="D62" s="29"/>
      <c r="E62" s="29"/>
      <c r="F62" s="29"/>
      <c r="G62" s="145"/>
      <c r="H62" s="716"/>
      <c r="I62" s="716"/>
      <c r="J62" s="716"/>
      <c r="K62" s="716"/>
      <c r="L62" s="716"/>
      <c r="M62" s="716"/>
      <c r="N62" s="716"/>
      <c r="O62" s="716"/>
      <c r="P62" s="717"/>
      <c r="Q62" s="717"/>
      <c r="R62" s="717"/>
      <c r="S62" s="30"/>
      <c r="T62" s="29"/>
      <c r="U62" s="29"/>
      <c r="W62" s="2"/>
      <c r="X62" s="2"/>
      <c r="Y62" s="2"/>
      <c r="Z62" s="2"/>
      <c r="AA62" s="675"/>
      <c r="AB62" s="2"/>
      <c r="AC62" s="2"/>
      <c r="AD62" s="2"/>
    </row>
    <row r="63" spans="1:30" x14ac:dyDescent="0.25">
      <c r="A63" s="27"/>
      <c r="B63" s="27"/>
      <c r="C63" s="28"/>
      <c r="D63" s="29"/>
      <c r="E63" s="29"/>
      <c r="F63" s="29"/>
      <c r="G63" s="145"/>
      <c r="H63" s="716"/>
      <c r="I63" s="716"/>
      <c r="J63" s="716"/>
      <c r="K63" s="716"/>
      <c r="L63" s="716"/>
      <c r="M63" s="716"/>
      <c r="N63" s="716"/>
      <c r="O63" s="716"/>
      <c r="P63" s="717"/>
      <c r="Q63" s="717"/>
      <c r="R63" s="717"/>
      <c r="S63" s="30"/>
      <c r="T63" s="29"/>
      <c r="U63" s="29"/>
      <c r="W63" s="604"/>
    </row>
    <row r="64" spans="1:30" x14ac:dyDescent="0.25">
      <c r="A64" s="27"/>
      <c r="B64" s="27"/>
      <c r="C64" s="28"/>
      <c r="D64" s="29"/>
      <c r="E64" s="29"/>
      <c r="F64" s="29"/>
      <c r="G64" s="145"/>
      <c r="H64" s="716"/>
      <c r="I64" s="716"/>
      <c r="J64" s="716"/>
      <c r="K64" s="716"/>
      <c r="L64" s="716"/>
      <c r="M64" s="716"/>
      <c r="N64" s="716"/>
      <c r="O64" s="716"/>
      <c r="P64" s="717"/>
      <c r="Q64" s="717"/>
      <c r="R64" s="717"/>
      <c r="S64" s="30"/>
      <c r="T64" s="29"/>
      <c r="U64" s="29"/>
      <c r="W64" s="604"/>
    </row>
    <row r="65" spans="1:23" x14ac:dyDescent="0.25">
      <c r="A65" s="27"/>
      <c r="B65" s="27"/>
      <c r="C65" s="28"/>
      <c r="D65" s="29"/>
      <c r="E65" s="29"/>
      <c r="F65" s="29"/>
      <c r="G65" s="145"/>
      <c r="H65" s="716"/>
      <c r="I65" s="716"/>
      <c r="J65" s="716"/>
      <c r="K65" s="716"/>
      <c r="L65" s="716"/>
      <c r="M65" s="716"/>
      <c r="N65" s="716"/>
      <c r="O65" s="716"/>
      <c r="P65" s="717"/>
      <c r="Q65" s="717"/>
      <c r="R65" s="717"/>
      <c r="S65" s="30"/>
      <c r="T65" s="29"/>
      <c r="U65" s="29"/>
      <c r="W65" s="604"/>
    </row>
    <row r="66" spans="1:23" x14ac:dyDescent="0.25">
      <c r="A66" s="27"/>
      <c r="B66" s="27"/>
      <c r="C66" s="28"/>
      <c r="D66" s="29"/>
      <c r="E66" s="29"/>
      <c r="F66" s="29"/>
      <c r="G66" s="145"/>
      <c r="H66" s="716"/>
      <c r="I66" s="716"/>
      <c r="J66" s="716"/>
      <c r="K66" s="716"/>
      <c r="L66" s="716"/>
      <c r="M66" s="716"/>
      <c r="N66" s="716"/>
      <c r="O66" s="716"/>
      <c r="P66" s="717"/>
      <c r="Q66" s="717"/>
      <c r="R66" s="717"/>
      <c r="S66" s="30"/>
      <c r="T66" s="29"/>
      <c r="U66" s="29"/>
      <c r="W66" s="604"/>
    </row>
    <row r="67" spans="1:23" x14ac:dyDescent="0.25">
      <c r="A67" s="27"/>
      <c r="B67" s="27"/>
      <c r="C67" s="28"/>
      <c r="D67" s="29"/>
      <c r="E67" s="29"/>
      <c r="F67" s="29"/>
      <c r="G67" s="145"/>
      <c r="H67" s="716"/>
      <c r="I67" s="716"/>
      <c r="J67" s="716"/>
      <c r="K67" s="716"/>
      <c r="L67" s="716"/>
      <c r="M67" s="716"/>
      <c r="N67" s="716"/>
      <c r="O67" s="716"/>
      <c r="P67" s="717"/>
      <c r="Q67" s="717"/>
      <c r="R67" s="717"/>
      <c r="S67" s="30"/>
      <c r="T67" s="29"/>
      <c r="U67" s="29"/>
      <c r="W67" s="604"/>
    </row>
    <row r="68" spans="1:23" x14ac:dyDescent="0.25">
      <c r="A68" s="27"/>
      <c r="B68" s="27"/>
      <c r="C68" s="28"/>
      <c r="D68" s="29"/>
      <c r="E68" s="29"/>
      <c r="F68" s="29"/>
      <c r="G68" s="145"/>
      <c r="H68" s="716"/>
      <c r="I68" s="716"/>
      <c r="J68" s="716"/>
      <c r="K68" s="716"/>
      <c r="L68" s="716"/>
      <c r="M68" s="716"/>
      <c r="N68" s="716"/>
      <c r="O68" s="716"/>
      <c r="P68" s="717"/>
      <c r="Q68" s="717"/>
      <c r="R68" s="717"/>
      <c r="S68" s="30"/>
      <c r="T68" s="29"/>
      <c r="U68" s="29"/>
      <c r="W68" s="604"/>
    </row>
    <row r="69" spans="1:23" x14ac:dyDescent="0.25">
      <c r="A69" s="27"/>
      <c r="B69" s="27"/>
      <c r="C69" s="28"/>
      <c r="D69" s="29"/>
      <c r="E69" s="29"/>
      <c r="F69" s="29"/>
      <c r="G69" s="145"/>
      <c r="H69" s="716"/>
      <c r="I69" s="716"/>
      <c r="J69" s="716"/>
      <c r="K69" s="716"/>
      <c r="L69" s="716"/>
      <c r="M69" s="716"/>
      <c r="N69" s="716"/>
      <c r="O69" s="716"/>
      <c r="P69" s="717"/>
      <c r="Q69" s="717"/>
      <c r="R69" s="717"/>
      <c r="S69" s="30"/>
      <c r="T69" s="29"/>
      <c r="U69" s="29"/>
      <c r="W69" s="604"/>
    </row>
    <row r="70" spans="1:23" x14ac:dyDescent="0.25">
      <c r="A70" s="27"/>
      <c r="B70" s="27"/>
      <c r="C70" s="28"/>
      <c r="D70" s="29"/>
      <c r="E70" s="29"/>
      <c r="F70" s="29"/>
      <c r="G70" s="2"/>
      <c r="H70" s="719"/>
      <c r="I70" s="719"/>
      <c r="J70" s="719"/>
      <c r="K70" s="719"/>
      <c r="L70" s="719"/>
      <c r="M70" s="719"/>
      <c r="N70" s="719"/>
      <c r="O70" s="719"/>
      <c r="P70" s="717"/>
      <c r="Q70" s="717"/>
      <c r="R70" s="717"/>
      <c r="S70" s="30"/>
      <c r="T70" s="29"/>
      <c r="U70" s="29"/>
      <c r="W70" s="604"/>
    </row>
    <row r="71" spans="1:23" x14ac:dyDescent="0.25">
      <c r="A71" s="27"/>
      <c r="B71" s="27"/>
      <c r="C71" s="28"/>
      <c r="D71" s="29"/>
      <c r="E71" s="29"/>
      <c r="F71" s="29"/>
      <c r="G71" s="2"/>
      <c r="H71" s="674"/>
      <c r="I71" s="674"/>
      <c r="J71" s="674"/>
      <c r="K71" s="674"/>
      <c r="L71" s="674"/>
      <c r="M71" s="674"/>
      <c r="N71" s="674"/>
      <c r="O71" s="674"/>
      <c r="P71" s="2"/>
      <c r="Q71" s="2"/>
      <c r="R71" s="2"/>
      <c r="S71" s="30"/>
      <c r="T71" s="29"/>
      <c r="U71" s="29"/>
      <c r="W71" s="604"/>
    </row>
    <row r="72" spans="1:23" x14ac:dyDescent="0.25">
      <c r="A72" s="27"/>
      <c r="B72" s="27"/>
      <c r="C72" s="28"/>
      <c r="D72" s="29"/>
      <c r="E72" s="29"/>
      <c r="F72" s="29"/>
      <c r="G72" s="2"/>
      <c r="H72" s="674"/>
      <c r="I72" s="674"/>
      <c r="J72" s="674"/>
      <c r="K72" s="674"/>
      <c r="L72" s="674"/>
      <c r="M72" s="674"/>
      <c r="N72" s="674"/>
      <c r="O72" s="674"/>
      <c r="P72" s="2"/>
      <c r="Q72" s="2"/>
      <c r="R72" s="2"/>
      <c r="S72" s="30"/>
      <c r="T72" s="29"/>
      <c r="U72" s="29"/>
      <c r="W72" s="604"/>
    </row>
    <row r="73" spans="1:23" x14ac:dyDescent="0.25">
      <c r="A73" s="27"/>
      <c r="B73" s="27"/>
      <c r="C73" s="28"/>
      <c r="D73" s="29"/>
      <c r="E73" s="29"/>
      <c r="F73" s="29"/>
      <c r="G73" s="2"/>
      <c r="H73" s="674"/>
      <c r="I73" s="674"/>
      <c r="J73" s="674"/>
      <c r="K73" s="674"/>
      <c r="L73" s="674"/>
      <c r="M73" s="674"/>
      <c r="N73" s="674"/>
      <c r="O73" s="674"/>
      <c r="P73" s="2"/>
      <c r="Q73" s="2"/>
      <c r="R73" s="2"/>
      <c r="S73" s="30"/>
      <c r="T73" s="29"/>
      <c r="U73" s="29"/>
      <c r="W73" s="604"/>
    </row>
    <row r="74" spans="1:23" x14ac:dyDescent="0.25">
      <c r="A74" s="27"/>
      <c r="B74" s="27"/>
      <c r="C74" s="28"/>
      <c r="D74" s="29"/>
      <c r="E74" s="29"/>
      <c r="F74" s="29"/>
      <c r="G74" s="2"/>
      <c r="H74" s="674"/>
      <c r="I74" s="674"/>
      <c r="J74" s="674"/>
      <c r="K74" s="674"/>
      <c r="L74" s="674"/>
      <c r="M74" s="674"/>
      <c r="N74" s="674"/>
      <c r="O74" s="674"/>
      <c r="P74" s="2"/>
      <c r="Q74" s="2"/>
      <c r="R74" s="2"/>
      <c r="S74" s="30"/>
      <c r="T74" s="29"/>
      <c r="U74" s="29"/>
      <c r="W74" s="604"/>
    </row>
    <row r="75" spans="1:23" x14ac:dyDescent="0.25">
      <c r="A75" s="27"/>
      <c r="B75" s="27"/>
      <c r="C75" s="28"/>
      <c r="D75" s="29"/>
      <c r="E75" s="29"/>
      <c r="F75" s="29"/>
      <c r="G75" s="2"/>
      <c r="H75" s="674"/>
      <c r="I75" s="674"/>
      <c r="J75" s="674"/>
      <c r="K75" s="674"/>
      <c r="L75" s="674"/>
      <c r="M75" s="674"/>
      <c r="N75" s="674"/>
      <c r="O75" s="674"/>
      <c r="P75" s="2"/>
      <c r="Q75" s="2"/>
      <c r="R75" s="2"/>
      <c r="S75" s="30"/>
      <c r="T75" s="29"/>
      <c r="U75" s="29"/>
      <c r="W75" s="604"/>
    </row>
    <row r="76" spans="1:23" x14ac:dyDescent="0.25">
      <c r="A76" s="27"/>
      <c r="B76" s="27"/>
      <c r="C76" s="28"/>
      <c r="D76" s="29"/>
      <c r="E76" s="29"/>
      <c r="F76" s="29"/>
      <c r="G76" s="2"/>
      <c r="H76" s="674"/>
      <c r="I76" s="674"/>
      <c r="J76" s="674"/>
      <c r="K76" s="674"/>
      <c r="L76" s="674"/>
      <c r="M76" s="674"/>
      <c r="N76" s="674"/>
      <c r="O76" s="674"/>
      <c r="P76" s="2"/>
      <c r="Q76" s="2"/>
      <c r="R76" s="2"/>
      <c r="S76" s="30"/>
      <c r="T76" s="29"/>
      <c r="U76" s="29"/>
      <c r="W76" s="604"/>
    </row>
    <row r="77" spans="1:23" x14ac:dyDescent="0.25">
      <c r="A77" s="27"/>
      <c r="B77" s="27"/>
      <c r="C77" s="28"/>
      <c r="D77" s="29"/>
      <c r="E77" s="29"/>
      <c r="F77" s="29"/>
      <c r="G77" s="29"/>
      <c r="H77" s="715"/>
      <c r="I77" s="715"/>
      <c r="J77" s="715"/>
      <c r="K77" s="715"/>
      <c r="L77" s="715"/>
      <c r="M77" s="715"/>
      <c r="N77" s="715"/>
      <c r="O77" s="715"/>
      <c r="R77" s="29"/>
      <c r="S77" s="30"/>
      <c r="T77" s="29"/>
      <c r="U77" s="29"/>
      <c r="W77" s="604"/>
    </row>
    <row r="78" spans="1:23" x14ac:dyDescent="0.25">
      <c r="A78" s="27"/>
      <c r="B78" s="27"/>
      <c r="C78" s="28"/>
      <c r="D78" s="29"/>
      <c r="E78" s="29"/>
      <c r="F78" s="29"/>
      <c r="G78" s="29"/>
      <c r="H78" s="715"/>
      <c r="I78" s="715"/>
      <c r="J78" s="715"/>
      <c r="K78" s="715"/>
      <c r="L78" s="715"/>
      <c r="M78" s="715"/>
      <c r="N78" s="715"/>
      <c r="O78" s="715"/>
      <c r="R78" s="29"/>
      <c r="S78" s="30"/>
      <c r="T78" s="29"/>
      <c r="U78" s="29"/>
      <c r="W78" s="604"/>
    </row>
    <row r="79" spans="1:23" x14ac:dyDescent="0.25">
      <c r="A79" s="27"/>
      <c r="B79" s="27"/>
      <c r="C79" s="28"/>
      <c r="D79" s="29"/>
      <c r="E79" s="29"/>
      <c r="F79" s="29"/>
      <c r="G79" s="29"/>
      <c r="H79" s="715"/>
      <c r="I79" s="715"/>
      <c r="J79" s="715"/>
      <c r="K79" s="715"/>
      <c r="L79" s="715"/>
      <c r="M79" s="715"/>
      <c r="N79" s="715"/>
      <c r="O79" s="715"/>
      <c r="R79" s="29"/>
      <c r="S79" s="30"/>
      <c r="T79" s="29"/>
      <c r="U79" s="29"/>
      <c r="W79" s="604"/>
    </row>
    <row r="80" spans="1:23" x14ac:dyDescent="0.25">
      <c r="A80" s="27"/>
      <c r="B80" s="27"/>
      <c r="C80" s="28"/>
      <c r="D80" s="29"/>
      <c r="E80" s="29"/>
      <c r="F80" s="29"/>
      <c r="G80" s="29"/>
      <c r="H80" s="715"/>
      <c r="I80" s="715"/>
      <c r="J80" s="715"/>
      <c r="K80" s="715"/>
      <c r="L80" s="715"/>
      <c r="M80" s="715"/>
      <c r="N80" s="715"/>
      <c r="O80" s="715"/>
      <c r="R80" s="29"/>
      <c r="S80" s="30"/>
      <c r="T80" s="29"/>
      <c r="U80" s="29"/>
      <c r="W80" s="604"/>
    </row>
    <row r="81" spans="1:23" x14ac:dyDescent="0.25">
      <c r="A81" s="27"/>
      <c r="B81" s="27"/>
      <c r="C81" s="28"/>
      <c r="D81" s="29"/>
      <c r="E81" s="29"/>
      <c r="F81" s="29"/>
      <c r="G81" s="29"/>
      <c r="H81" s="715"/>
      <c r="I81" s="715"/>
      <c r="J81" s="715"/>
      <c r="K81" s="715"/>
      <c r="L81" s="715"/>
      <c r="M81" s="715"/>
      <c r="N81" s="715"/>
      <c r="O81" s="715"/>
      <c r="R81" s="29"/>
      <c r="S81" s="30"/>
      <c r="T81" s="29"/>
      <c r="U81" s="29"/>
      <c r="W81" s="604"/>
    </row>
    <row r="82" spans="1:23" x14ac:dyDescent="0.25">
      <c r="A82" s="27"/>
      <c r="B82" s="27"/>
      <c r="C82" s="28"/>
      <c r="D82" s="29"/>
      <c r="E82" s="29"/>
      <c r="F82" s="29"/>
      <c r="G82" s="29"/>
      <c r="H82" s="715"/>
      <c r="I82" s="715"/>
      <c r="J82" s="715"/>
      <c r="K82" s="715"/>
      <c r="L82" s="715"/>
      <c r="M82" s="715"/>
      <c r="N82" s="715"/>
      <c r="O82" s="715"/>
      <c r="R82" s="29"/>
      <c r="S82" s="30"/>
      <c r="T82" s="29"/>
      <c r="U82" s="29"/>
      <c r="W82" s="604"/>
    </row>
    <row r="83" spans="1:23" x14ac:dyDescent="0.25">
      <c r="A83" s="27"/>
      <c r="B83" s="27"/>
      <c r="C83" s="28"/>
      <c r="D83" s="29"/>
      <c r="E83" s="29"/>
      <c r="F83" s="29"/>
      <c r="G83" s="29"/>
      <c r="H83" s="715"/>
      <c r="I83" s="715"/>
      <c r="J83" s="715"/>
      <c r="K83" s="715"/>
      <c r="L83" s="715"/>
      <c r="M83" s="715"/>
      <c r="N83" s="715"/>
      <c r="O83" s="715"/>
      <c r="R83" s="29"/>
      <c r="S83" s="30"/>
      <c r="T83" s="29"/>
      <c r="U83" s="29"/>
      <c r="W83" s="604"/>
    </row>
    <row r="84" spans="1:23" x14ac:dyDescent="0.25">
      <c r="A84" s="27"/>
      <c r="B84" s="27"/>
      <c r="C84" s="28"/>
      <c r="D84" s="29"/>
      <c r="E84" s="29"/>
      <c r="F84" s="29"/>
      <c r="G84" s="29"/>
      <c r="H84" s="715"/>
      <c r="I84" s="715"/>
      <c r="J84" s="715"/>
      <c r="K84" s="715"/>
      <c r="L84" s="715"/>
      <c r="M84" s="715"/>
      <c r="N84" s="715"/>
      <c r="O84" s="715"/>
      <c r="R84" s="29"/>
      <c r="S84" s="30"/>
      <c r="T84" s="29"/>
      <c r="U84" s="29"/>
      <c r="W84" s="604"/>
    </row>
    <row r="85" spans="1:23" x14ac:dyDescent="0.25">
      <c r="A85" s="27"/>
      <c r="B85" s="27"/>
      <c r="C85" s="28"/>
      <c r="D85" s="29"/>
      <c r="E85" s="29"/>
      <c r="F85" s="29"/>
      <c r="G85" s="29"/>
      <c r="H85" s="715"/>
      <c r="I85" s="715"/>
      <c r="J85" s="715"/>
      <c r="K85" s="715"/>
      <c r="L85" s="715"/>
      <c r="M85" s="715"/>
      <c r="N85" s="715"/>
      <c r="O85" s="715"/>
      <c r="R85" s="29"/>
      <c r="S85" s="30"/>
      <c r="T85" s="29"/>
      <c r="U85" s="29"/>
      <c r="W85" s="604"/>
    </row>
    <row r="86" spans="1:23" x14ac:dyDescent="0.25">
      <c r="A86" s="27"/>
      <c r="B86" s="27"/>
      <c r="C86" s="28"/>
      <c r="D86" s="29"/>
      <c r="E86" s="29"/>
      <c r="F86" s="29"/>
      <c r="G86" s="29"/>
      <c r="H86" s="715"/>
      <c r="I86" s="715"/>
      <c r="J86" s="715"/>
      <c r="K86" s="715"/>
      <c r="L86" s="715"/>
      <c r="M86" s="715"/>
      <c r="N86" s="715"/>
      <c r="O86" s="715"/>
      <c r="R86" s="29"/>
      <c r="S86" s="30"/>
      <c r="T86" s="29"/>
      <c r="U86" s="29"/>
      <c r="W86" s="604"/>
    </row>
    <row r="87" spans="1:23" x14ac:dyDescent="0.25">
      <c r="A87" s="27"/>
      <c r="B87" s="27"/>
      <c r="C87" s="28"/>
      <c r="D87" s="29"/>
      <c r="E87" s="29"/>
      <c r="F87" s="29"/>
      <c r="G87" s="29"/>
      <c r="H87" s="715"/>
      <c r="I87" s="715"/>
      <c r="J87" s="715"/>
      <c r="K87" s="715"/>
      <c r="L87" s="715"/>
      <c r="M87" s="715"/>
      <c r="N87" s="715"/>
      <c r="O87" s="715"/>
      <c r="R87" s="29"/>
      <c r="S87" s="30"/>
      <c r="T87" s="29"/>
      <c r="U87" s="29"/>
      <c r="W87" s="604"/>
    </row>
  </sheetData>
  <autoFilter ref="A2:AL39"/>
  <mergeCells count="1">
    <mergeCell ref="T1:T2"/>
  </mergeCells>
  <conditionalFormatting sqref="G1:G1048576">
    <cfRule type="cellIs" dxfId="18" priority="8" operator="equal">
      <formula>"Finish"</formula>
    </cfRule>
  </conditionalFormatting>
  <conditionalFormatting sqref="H9:O69">
    <cfRule type="cellIs" dxfId="17" priority="9" operator="equal">
      <formula>0</formula>
    </cfRule>
    <cfRule type="expression" dxfId="16" priority="10">
      <formula>IF(AND(MATCH($G9,$2:$2,0)&lt;=MATCH(H$2,$2:$2,0),SUM($H9:H9)&lt;=$Z9),1,0)</formula>
    </cfRule>
    <cfRule type="expression" dxfId="15" priority="11">
      <formula>IF(AND($G9=H$2,H9&lt;&gt;""),1,0)</formula>
    </cfRule>
    <cfRule type="expression" dxfId="14" priority="12">
      <formula>IF($Z9-SUM($H9:H9)&gt;=0,1,0)</formula>
    </cfRule>
    <cfRule type="expression" dxfId="13" priority="13">
      <formula>IF(MATCH($G9,$2:$2,0)&gt;MATCH(H$2,$2:$2,0),1,0)</formula>
    </cfRule>
  </conditionalFormatting>
  <conditionalFormatting sqref="Q15:Q30">
    <cfRule type="cellIs" dxfId="12" priority="102" operator="equal">
      <formula>0</formula>
    </cfRule>
    <cfRule type="expression" dxfId="11" priority="103">
      <formula>IF(AND(MATCH(#REF!,$2:$2,0)&lt;=MATCH(Q$2,$2:$2,0),SUM($Q15:Q15)&lt;=$AA15),1,0)</formula>
    </cfRule>
    <cfRule type="expression" dxfId="10" priority="104">
      <formula>IF(AND(#REF!=Q$2,Q15&lt;&gt;""),1,0)</formula>
    </cfRule>
    <cfRule type="expression" dxfId="9" priority="105">
      <formula>IF($AA15-SUM($Q15:Q15)&gt;=0,1,0)</formula>
    </cfRule>
    <cfRule type="expression" dxfId="8" priority="106">
      <formula>IF(MATCH(#REF!,$2:$2,0)&gt;MATCH(Q$2,$2:$2,0),1,0)</formula>
    </cfRule>
  </conditionalFormatting>
  <conditionalFormatting sqref="W1:W1048576 Z1:Z1048576">
    <cfRule type="cellIs" dxfId="7" priority="44" stopIfTrue="1" operator="equal">
      <formula>1</formula>
    </cfRule>
  </conditionalFormatting>
  <dataValidations count="1">
    <dataValidation type="list" allowBlank="1" showInputMessage="1" showErrorMessage="1" sqref="G1:G1048576">
      <formula1>$H$2:$P$2</formula1>
    </dataValidation>
  </dataValidations>
  <pageMargins left="0.7" right="0.7" top="0.75" bottom="0.75" header="0.3" footer="0.3"/>
  <pageSetup paperSize="8" scale="44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'Project Team'!$A:$A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70C0"/>
  </sheetPr>
  <dimension ref="A1:AR86"/>
  <sheetViews>
    <sheetView zoomScaleNormal="100" zoomScaleSheetLayoutView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3" sqref="C3:C16"/>
    </sheetView>
  </sheetViews>
  <sheetFormatPr defaultRowHeight="15" x14ac:dyDescent="0.25"/>
  <cols>
    <col min="1" max="1" width="6.5703125" style="27" customWidth="1"/>
    <col min="2" max="2" width="8.42578125" style="27" hidden="1" customWidth="1"/>
    <col min="3" max="3" width="10.42578125" style="28" customWidth="1"/>
    <col min="4" max="4" width="57.5703125" style="29" customWidth="1"/>
    <col min="5" max="5" width="46.42578125" style="29" bestFit="1" customWidth="1"/>
    <col min="6" max="6" width="15.42578125" style="59" customWidth="1"/>
    <col min="7" max="7" width="18.140625" style="270" customWidth="1"/>
    <col min="8" max="8" width="6.42578125" style="179" customWidth="1"/>
    <col min="9" max="9" width="7.28515625" style="179" bestFit="1" customWidth="1"/>
    <col min="10" max="11" width="6.42578125" style="179" customWidth="1"/>
    <col min="12" max="12" width="7.5703125" style="179" customWidth="1"/>
    <col min="13" max="13" width="6.42578125" style="179" customWidth="1"/>
    <col min="14" max="14" width="7.5703125" style="179" customWidth="1"/>
    <col min="15" max="15" width="7.85546875" style="179" customWidth="1"/>
    <col min="16" max="16" width="6.5703125" style="29" hidden="1" customWidth="1"/>
    <col min="17" max="17" width="15.5703125" style="215" hidden="1" customWidth="1"/>
    <col min="18" max="18" width="16.7109375" style="29" customWidth="1"/>
    <col min="19" max="19" width="11.7109375" style="30" customWidth="1"/>
    <col min="20" max="20" width="14" style="29" customWidth="1"/>
    <col min="21" max="21" width="16" style="29" customWidth="1"/>
    <col min="22" max="22" width="23.42578125" style="2" bestFit="1" customWidth="1"/>
    <col min="23" max="23" width="9.140625" style="2" customWidth="1"/>
    <col min="24" max="24" width="15.42578125" style="2" customWidth="1"/>
    <col min="25" max="25" width="18.5703125" style="2" bestFit="1" customWidth="1"/>
    <col min="26" max="26" width="10.140625" style="2" customWidth="1"/>
    <col min="27" max="27" width="15" style="2" customWidth="1"/>
    <col min="28" max="28" width="14.85546875" style="2" customWidth="1"/>
    <col min="29" max="29" width="17.7109375" style="2" customWidth="1"/>
    <col min="30" max="30" width="32.5703125" style="2" customWidth="1"/>
    <col min="31" max="31" width="20.85546875" style="181" customWidth="1"/>
    <col min="32" max="32" width="12.5703125" style="181" customWidth="1"/>
    <col min="33" max="33" width="14.42578125" style="181" customWidth="1"/>
    <col min="34" max="34" width="13.42578125" style="181" customWidth="1"/>
    <col min="35" max="35" width="16.28515625" style="181" customWidth="1"/>
    <col min="36" max="36" width="14.85546875" style="181" customWidth="1"/>
    <col min="37" max="37" width="14.42578125" style="2" customWidth="1"/>
    <col min="38" max="38" width="15.42578125" style="2" customWidth="1"/>
    <col min="39" max="39" width="14" style="2" customWidth="1"/>
    <col min="40" max="40" width="11" style="1" bestFit="1" customWidth="1"/>
    <col min="41" max="43" width="9" style="1" customWidth="1"/>
  </cols>
  <sheetData>
    <row r="1" spans="1:43" s="3" customFormat="1" ht="19.5" thickTop="1" x14ac:dyDescent="0.25">
      <c r="A1" s="16" t="s">
        <v>0</v>
      </c>
      <c r="B1" s="17" t="s">
        <v>18</v>
      </c>
      <c r="C1" s="18" t="s">
        <v>7</v>
      </c>
      <c r="D1" s="19" t="s">
        <v>8</v>
      </c>
      <c r="E1" s="197" t="s">
        <v>9</v>
      </c>
      <c r="F1" s="277" t="s">
        <v>153</v>
      </c>
      <c r="G1" s="278" t="s">
        <v>38</v>
      </c>
      <c r="H1" s="279"/>
      <c r="I1" s="191" t="s">
        <v>147</v>
      </c>
      <c r="J1" s="191" t="s">
        <v>147</v>
      </c>
      <c r="K1" s="191" t="s">
        <v>147</v>
      </c>
      <c r="L1" s="191" t="s">
        <v>147</v>
      </c>
      <c r="M1" s="191"/>
      <c r="N1" s="191" t="s">
        <v>147</v>
      </c>
      <c r="O1" s="191" t="s">
        <v>147</v>
      </c>
      <c r="P1" s="197"/>
      <c r="Q1" s="206"/>
      <c r="R1" s="20" t="s">
        <v>2</v>
      </c>
      <c r="S1" s="21" t="s">
        <v>10</v>
      </c>
      <c r="T1" s="730" t="s">
        <v>91</v>
      </c>
      <c r="U1" s="67"/>
      <c r="V1" s="4" t="s">
        <v>13</v>
      </c>
      <c r="W1" s="4" t="s">
        <v>12</v>
      </c>
      <c r="X1" s="5"/>
      <c r="Y1" s="5" t="s">
        <v>3</v>
      </c>
      <c r="Z1" s="10" t="s">
        <v>12</v>
      </c>
      <c r="AA1" s="168"/>
      <c r="AB1" s="14" t="s">
        <v>20</v>
      </c>
      <c r="AC1" s="14" t="s">
        <v>19</v>
      </c>
      <c r="AD1" s="6" t="s">
        <v>1</v>
      </c>
      <c r="AE1" s="179"/>
      <c r="AF1" s="179"/>
      <c r="AG1" s="179"/>
      <c r="AH1" s="179"/>
      <c r="AI1" s="179"/>
      <c r="AJ1" s="179"/>
      <c r="AK1" s="2" t="s">
        <v>4</v>
      </c>
      <c r="AL1" s="2" t="s">
        <v>5</v>
      </c>
      <c r="AM1" s="2" t="s">
        <v>6</v>
      </c>
      <c r="AN1" s="1"/>
      <c r="AO1" s="1"/>
      <c r="AP1" s="1"/>
      <c r="AQ1" s="1"/>
    </row>
    <row r="2" spans="1:43" s="3" customFormat="1" ht="45" customHeight="1" thickBot="1" x14ac:dyDescent="0.3">
      <c r="A2" s="146"/>
      <c r="B2" s="22"/>
      <c r="C2" s="23">
        <f>SUBTOTAL(3,C3:C44)</f>
        <v>38</v>
      </c>
      <c r="D2" s="24"/>
      <c r="E2" s="216"/>
      <c r="F2" s="274"/>
      <c r="G2" s="276"/>
      <c r="H2" s="280" t="s">
        <v>143</v>
      </c>
      <c r="I2" s="280" t="s">
        <v>150</v>
      </c>
      <c r="J2" s="192" t="s">
        <v>144</v>
      </c>
      <c r="K2" s="192" t="s">
        <v>151</v>
      </c>
      <c r="L2" s="280" t="s">
        <v>152</v>
      </c>
      <c r="M2" s="280" t="s">
        <v>145</v>
      </c>
      <c r="N2" s="280" t="s">
        <v>148</v>
      </c>
      <c r="O2" s="192" t="s">
        <v>149</v>
      </c>
      <c r="P2" s="198" t="s">
        <v>146</v>
      </c>
      <c r="Q2" s="207">
        <f>SUM(Q3:Q44)</f>
        <v>126418902.25</v>
      </c>
      <c r="R2" s="25">
        <f>SUM(R3:R44)</f>
        <v>126418902.25</v>
      </c>
      <c r="S2" s="26" t="s">
        <v>11</v>
      </c>
      <c r="T2" s="731"/>
      <c r="U2" s="13">
        <f>SUM(U3:U44)</f>
        <v>120810207.25</v>
      </c>
      <c r="V2" s="12">
        <f>SUM(V3:V44)</f>
        <v>120810207.25</v>
      </c>
      <c r="W2" s="7"/>
      <c r="X2" s="66">
        <f>SUM(X3:X44)</f>
        <v>121175802.25</v>
      </c>
      <c r="Y2" s="8">
        <f>SUM(Y3:Y44)</f>
        <v>121175802.25</v>
      </c>
      <c r="Z2" s="11"/>
      <c r="AA2" s="169"/>
      <c r="AB2" s="15">
        <f>X2-V2</f>
        <v>365595</v>
      </c>
      <c r="AC2" s="15">
        <f>Y2-R2</f>
        <v>-5243100</v>
      </c>
      <c r="AD2" s="9"/>
      <c r="AE2" s="179"/>
      <c r="AF2" s="179"/>
      <c r="AG2" s="179"/>
      <c r="AH2" s="189"/>
      <c r="AI2" s="189"/>
      <c r="AJ2" s="189"/>
      <c r="AK2" s="2"/>
      <c r="AL2" s="2"/>
      <c r="AM2" s="2"/>
      <c r="AN2" s="1"/>
      <c r="AO2" s="1"/>
      <c r="AP2" s="1"/>
      <c r="AQ2" s="1"/>
    </row>
    <row r="3" spans="1:43" s="36" customFormat="1" ht="15.75" thickTop="1" x14ac:dyDescent="0.25">
      <c r="A3" s="50">
        <v>1</v>
      </c>
      <c r="B3" s="38"/>
      <c r="C3" s="39" t="s">
        <v>21</v>
      </c>
      <c r="D3" s="40" t="s">
        <v>22</v>
      </c>
      <c r="E3" s="217" t="s">
        <v>23</v>
      </c>
      <c r="F3" s="275" t="s">
        <v>157</v>
      </c>
      <c r="G3" s="275" t="s">
        <v>148</v>
      </c>
      <c r="H3" s="281">
        <v>0.2</v>
      </c>
      <c r="I3" s="282"/>
      <c r="J3" s="282">
        <v>0.7</v>
      </c>
      <c r="K3" s="196"/>
      <c r="L3" s="224"/>
      <c r="M3" s="224"/>
      <c r="N3" s="224">
        <v>0.1</v>
      </c>
      <c r="O3" s="282"/>
      <c r="P3" s="199"/>
      <c r="Q3" s="208"/>
      <c r="R3" s="133">
        <v>7600000</v>
      </c>
      <c r="S3" s="137">
        <v>2096360</v>
      </c>
      <c r="T3" s="111" t="s">
        <v>97</v>
      </c>
      <c r="U3" s="41"/>
      <c r="V3" s="132">
        <f>1880000+5375000</f>
        <v>7255000</v>
      </c>
      <c r="W3" s="42">
        <f>V3/R3</f>
        <v>0.95460526315789473</v>
      </c>
      <c r="X3" s="43"/>
      <c r="Y3" s="43">
        <f>1880000+5375000</f>
        <v>7255000</v>
      </c>
      <c r="Z3" s="44">
        <f t="shared" ref="Z3:Z8" si="0">Y3/R3</f>
        <v>0.95460526315789473</v>
      </c>
      <c r="AA3" s="170"/>
      <c r="AB3" s="45">
        <f t="shared" ref="AB3:AB16" si="1">Y3-V3</f>
        <v>0</v>
      </c>
      <c r="AC3" s="45">
        <f>R3-Y3</f>
        <v>345000</v>
      </c>
      <c r="AD3" s="366"/>
      <c r="AE3" s="382" t="s">
        <v>205</v>
      </c>
      <c r="AF3" s="180"/>
      <c r="AG3" s="180"/>
      <c r="AH3" s="180"/>
      <c r="AI3" s="180"/>
      <c r="AJ3" s="180"/>
      <c r="AK3" s="34"/>
      <c r="AL3" s="34"/>
      <c r="AM3" s="34"/>
      <c r="AN3" s="35"/>
      <c r="AO3" s="35"/>
      <c r="AP3" s="35"/>
      <c r="AQ3" s="35"/>
    </row>
    <row r="4" spans="1:43" s="164" customFormat="1" x14ac:dyDescent="0.25">
      <c r="A4" s="235">
        <v>2</v>
      </c>
      <c r="B4" s="236"/>
      <c r="C4" s="237" t="s">
        <v>132</v>
      </c>
      <c r="D4" s="238" t="s">
        <v>131</v>
      </c>
      <c r="E4" s="239" t="s">
        <v>133</v>
      </c>
      <c r="F4" s="155" t="s">
        <v>155</v>
      </c>
      <c r="G4" s="265" t="s">
        <v>146</v>
      </c>
      <c r="H4" s="242"/>
      <c r="I4" s="243"/>
      <c r="J4" s="243"/>
      <c r="K4" s="243"/>
      <c r="L4" s="243"/>
      <c r="M4" s="243"/>
      <c r="N4" s="243"/>
      <c r="O4" s="243"/>
      <c r="P4" s="240"/>
      <c r="Q4" s="241"/>
      <c r="R4" s="244">
        <v>3591000</v>
      </c>
      <c r="S4" s="245">
        <v>42094</v>
      </c>
      <c r="T4" s="246" t="s">
        <v>97</v>
      </c>
      <c r="U4" s="247"/>
      <c r="V4" s="247">
        <v>3591000</v>
      </c>
      <c r="W4" s="376">
        <f>V4/R4</f>
        <v>1</v>
      </c>
      <c r="X4" s="247"/>
      <c r="Y4" s="247">
        <v>3591000</v>
      </c>
      <c r="Z4" s="248">
        <f t="shared" si="0"/>
        <v>1</v>
      </c>
      <c r="AA4" s="171"/>
      <c r="AB4" s="249">
        <v>0</v>
      </c>
      <c r="AC4" s="249">
        <f>R4-Y4</f>
        <v>0</v>
      </c>
      <c r="AD4" s="367" t="s">
        <v>146</v>
      </c>
      <c r="AE4" s="179"/>
      <c r="AF4" s="179"/>
      <c r="AG4" s="179"/>
      <c r="AH4" s="179"/>
      <c r="AI4" s="179"/>
      <c r="AJ4" s="179"/>
      <c r="AK4" s="162"/>
      <c r="AL4" s="162"/>
      <c r="AM4" s="162"/>
      <c r="AN4" s="163"/>
      <c r="AO4" s="163"/>
      <c r="AP4" s="163"/>
      <c r="AQ4" s="163"/>
    </row>
    <row r="5" spans="1:43" s="264" customFormat="1" x14ac:dyDescent="0.25">
      <c r="A5" s="167">
        <v>3</v>
      </c>
      <c r="B5" s="151" t="s">
        <v>14</v>
      </c>
      <c r="C5" s="152" t="s">
        <v>24</v>
      </c>
      <c r="D5" s="153" t="s">
        <v>25</v>
      </c>
      <c r="E5" s="259" t="s">
        <v>26</v>
      </c>
      <c r="F5" s="272" t="s">
        <v>157</v>
      </c>
      <c r="G5" s="283" t="s">
        <v>146</v>
      </c>
      <c r="H5" s="284">
        <v>0.2</v>
      </c>
      <c r="I5" s="285"/>
      <c r="J5" s="285"/>
      <c r="K5" s="285">
        <v>0.4</v>
      </c>
      <c r="L5" s="285">
        <v>0.3</v>
      </c>
      <c r="M5" s="285"/>
      <c r="N5" s="285">
        <v>0.1</v>
      </c>
      <c r="O5" s="285"/>
      <c r="P5" s="260"/>
      <c r="Q5" s="286"/>
      <c r="R5" s="155">
        <v>9450000</v>
      </c>
      <c r="S5" s="156">
        <v>42132</v>
      </c>
      <c r="T5" s="157" t="s">
        <v>97</v>
      </c>
      <c r="U5" s="161"/>
      <c r="V5" s="375">
        <v>9450000</v>
      </c>
      <c r="W5" s="160">
        <f>V5/R5</f>
        <v>1</v>
      </c>
      <c r="X5" s="161"/>
      <c r="Y5" s="159">
        <v>9450000</v>
      </c>
      <c r="Z5" s="287">
        <f t="shared" si="0"/>
        <v>1</v>
      </c>
      <c r="AA5" s="261"/>
      <c r="AB5" s="261">
        <f t="shared" si="1"/>
        <v>0</v>
      </c>
      <c r="AC5" s="261">
        <f t="shared" ref="AC5:AC16" si="2">R5-Y5</f>
        <v>0</v>
      </c>
      <c r="AD5" s="367" t="s">
        <v>146</v>
      </c>
      <c r="AE5" s="256"/>
      <c r="AF5" s="288"/>
      <c r="AG5" s="288"/>
      <c r="AH5" s="288"/>
      <c r="AI5" s="288"/>
      <c r="AJ5" s="288"/>
      <c r="AK5" s="262"/>
      <c r="AL5" s="262"/>
      <c r="AM5" s="262"/>
      <c r="AN5" s="263"/>
      <c r="AO5" s="263"/>
      <c r="AP5" s="263"/>
      <c r="AQ5" s="263"/>
    </row>
    <row r="6" spans="1:43" s="258" customFormat="1" x14ac:dyDescent="0.25">
      <c r="A6" s="50">
        <v>4</v>
      </c>
      <c r="B6" s="105" t="s">
        <v>14</v>
      </c>
      <c r="C6" s="51" t="s">
        <v>28</v>
      </c>
      <c r="D6" s="52" t="s">
        <v>29</v>
      </c>
      <c r="E6" s="250" t="s">
        <v>30</v>
      </c>
      <c r="F6" s="271" t="s">
        <v>156</v>
      </c>
      <c r="G6" s="266" t="s">
        <v>148</v>
      </c>
      <c r="H6" s="252">
        <v>0.3</v>
      </c>
      <c r="I6" s="253"/>
      <c r="J6" s="253"/>
      <c r="K6" s="253"/>
      <c r="L6" s="253">
        <v>0.5</v>
      </c>
      <c r="M6" s="253"/>
      <c r="N6" s="253">
        <v>0.2</v>
      </c>
      <c r="O6" s="253"/>
      <c r="P6" s="251"/>
      <c r="Q6" s="209"/>
      <c r="R6" s="53">
        <v>1918000</v>
      </c>
      <c r="S6" s="54">
        <v>42163</v>
      </c>
      <c r="T6" s="111" t="s">
        <v>97</v>
      </c>
      <c r="U6" s="55"/>
      <c r="V6" s="55">
        <f>575400+959000</f>
        <v>1534400</v>
      </c>
      <c r="W6" s="56">
        <f>V6/R6</f>
        <v>0.8</v>
      </c>
      <c r="X6" s="57"/>
      <c r="Y6" s="96">
        <f>575400+959000</f>
        <v>1534400</v>
      </c>
      <c r="Z6" s="254">
        <f t="shared" si="0"/>
        <v>0.8</v>
      </c>
      <c r="AA6" s="98"/>
      <c r="AB6" s="255">
        <f t="shared" si="1"/>
        <v>0</v>
      </c>
      <c r="AC6" s="255">
        <f>R6-Y6</f>
        <v>383600</v>
      </c>
      <c r="AD6" s="121"/>
      <c r="AE6" s="383" t="s">
        <v>205</v>
      </c>
      <c r="AF6" s="256"/>
      <c r="AG6" s="256"/>
      <c r="AH6" s="256"/>
      <c r="AI6" s="256"/>
      <c r="AJ6" s="256"/>
      <c r="AK6" s="110">
        <v>89000000</v>
      </c>
      <c r="AL6" s="110">
        <f>AK6*0.25</f>
        <v>22250000</v>
      </c>
      <c r="AM6" s="110">
        <f>AK6-AL6</f>
        <v>66750000</v>
      </c>
      <c r="AN6" s="257"/>
      <c r="AO6" s="257"/>
      <c r="AP6" s="257"/>
      <c r="AQ6" s="257"/>
    </row>
    <row r="7" spans="1:43" s="355" customFormat="1" x14ac:dyDescent="0.25">
      <c r="A7" s="167">
        <v>5</v>
      </c>
      <c r="B7" s="151" t="s">
        <v>15</v>
      </c>
      <c r="C7" s="152" t="s">
        <v>32</v>
      </c>
      <c r="D7" s="153" t="s">
        <v>34</v>
      </c>
      <c r="E7" s="259" t="s">
        <v>33</v>
      </c>
      <c r="F7" s="272" t="s">
        <v>155</v>
      </c>
      <c r="G7" s="266" t="s">
        <v>146</v>
      </c>
      <c r="H7" s="293"/>
      <c r="I7" s="294"/>
      <c r="J7" s="294"/>
      <c r="K7" s="294"/>
      <c r="L7" s="294"/>
      <c r="M7" s="294">
        <v>1</v>
      </c>
      <c r="N7" s="294"/>
      <c r="O7" s="294"/>
      <c r="P7" s="357"/>
      <c r="Q7" s="358"/>
      <c r="R7" s="155">
        <v>298000</v>
      </c>
      <c r="S7" s="156">
        <v>42286</v>
      </c>
      <c r="T7" s="157" t="s">
        <v>97</v>
      </c>
      <c r="U7" s="154"/>
      <c r="V7" s="161">
        <v>298000</v>
      </c>
      <c r="W7" s="349">
        <f>V7/R7</f>
        <v>1</v>
      </c>
      <c r="X7" s="161"/>
      <c r="Y7" s="161">
        <v>298000</v>
      </c>
      <c r="Z7" s="160">
        <f t="shared" si="0"/>
        <v>1</v>
      </c>
      <c r="AA7" s="161"/>
      <c r="AB7" s="261">
        <f t="shared" si="1"/>
        <v>0</v>
      </c>
      <c r="AC7" s="261">
        <f t="shared" si="2"/>
        <v>0</v>
      </c>
      <c r="AD7" s="367" t="s">
        <v>146</v>
      </c>
      <c r="AE7" s="256"/>
      <c r="AF7" s="359"/>
      <c r="AG7" s="359"/>
      <c r="AH7" s="359"/>
      <c r="AI7" s="359"/>
      <c r="AJ7" s="359"/>
      <c r="AK7" s="350">
        <v>89000000</v>
      </c>
      <c r="AL7" s="350">
        <f>AK7*0.25</f>
        <v>22250000</v>
      </c>
      <c r="AM7" s="350">
        <f>AK7-AL7</f>
        <v>66750000</v>
      </c>
      <c r="AN7" s="354"/>
      <c r="AO7" s="354"/>
      <c r="AP7" s="354"/>
      <c r="AQ7" s="354"/>
    </row>
    <row r="8" spans="1:43" s="264" customFormat="1" x14ac:dyDescent="0.25">
      <c r="A8" s="167">
        <v>6</v>
      </c>
      <c r="B8" s="151"/>
      <c r="C8" s="152" t="s">
        <v>86</v>
      </c>
      <c r="D8" s="153" t="s">
        <v>134</v>
      </c>
      <c r="E8" s="259" t="s">
        <v>133</v>
      </c>
      <c r="F8" s="272" t="s">
        <v>155</v>
      </c>
      <c r="G8" s="265" t="s">
        <v>146</v>
      </c>
      <c r="H8" s="252"/>
      <c r="I8" s="253"/>
      <c r="J8" s="253"/>
      <c r="K8" s="253"/>
      <c r="L8" s="253"/>
      <c r="M8" s="253"/>
      <c r="N8" s="253"/>
      <c r="O8" s="253"/>
      <c r="P8" s="260"/>
      <c r="Q8" s="213"/>
      <c r="R8" s="155">
        <v>3165000</v>
      </c>
      <c r="S8" s="156">
        <v>42331</v>
      </c>
      <c r="T8" s="157" t="s">
        <v>97</v>
      </c>
      <c r="U8" s="154"/>
      <c r="V8" s="161">
        <v>3165000</v>
      </c>
      <c r="W8" s="160">
        <f t="shared" ref="W8:W15" si="3">V8/R8</f>
        <v>1</v>
      </c>
      <c r="X8" s="161"/>
      <c r="Y8" s="161">
        <v>3165000</v>
      </c>
      <c r="Z8" s="160">
        <f t="shared" si="0"/>
        <v>1</v>
      </c>
      <c r="AA8" s="161"/>
      <c r="AB8" s="261">
        <f>Y8-V8</f>
        <v>0</v>
      </c>
      <c r="AC8" s="261">
        <f>R8-Y8</f>
        <v>0</v>
      </c>
      <c r="AD8" s="367" t="s">
        <v>146</v>
      </c>
      <c r="AE8" s="256"/>
      <c r="AF8" s="256"/>
      <c r="AG8" s="256"/>
      <c r="AH8" s="256"/>
      <c r="AI8" s="256"/>
      <c r="AJ8" s="256"/>
      <c r="AK8" s="262"/>
      <c r="AL8" s="262"/>
      <c r="AM8" s="262"/>
      <c r="AN8" s="263"/>
      <c r="AO8" s="263"/>
      <c r="AP8" s="263"/>
      <c r="AQ8" s="263"/>
    </row>
    <row r="9" spans="1:43" s="264" customFormat="1" x14ac:dyDescent="0.25">
      <c r="A9" s="167">
        <v>7</v>
      </c>
      <c r="B9" s="151" t="s">
        <v>16</v>
      </c>
      <c r="C9" s="152" t="s">
        <v>35</v>
      </c>
      <c r="D9" s="153" t="s">
        <v>37</v>
      </c>
      <c r="E9" s="259" t="s">
        <v>36</v>
      </c>
      <c r="F9" s="272"/>
      <c r="G9" s="265" t="s">
        <v>146</v>
      </c>
      <c r="H9" s="252"/>
      <c r="I9" s="253"/>
      <c r="J9" s="253"/>
      <c r="K9" s="253"/>
      <c r="L9" s="253"/>
      <c r="M9" s="253"/>
      <c r="N9" s="253"/>
      <c r="O9" s="253"/>
      <c r="P9" s="260"/>
      <c r="Q9" s="213"/>
      <c r="R9" s="155">
        <v>2322640</v>
      </c>
      <c r="S9" s="156">
        <v>42334</v>
      </c>
      <c r="T9" s="157" t="s">
        <v>97</v>
      </c>
      <c r="U9" s="154"/>
      <c r="V9" s="161">
        <v>2322640</v>
      </c>
      <c r="W9" s="160">
        <f t="shared" si="3"/>
        <v>1</v>
      </c>
      <c r="X9" s="161"/>
      <c r="Y9" s="161">
        <v>2322640</v>
      </c>
      <c r="Z9" s="160">
        <f t="shared" ref="Z9:Z15" si="4">Y9/R9</f>
        <v>1</v>
      </c>
      <c r="AA9" s="161"/>
      <c r="AB9" s="261">
        <f t="shared" si="1"/>
        <v>0</v>
      </c>
      <c r="AC9" s="261">
        <f t="shared" si="2"/>
        <v>0</v>
      </c>
      <c r="AD9" s="367" t="s">
        <v>146</v>
      </c>
      <c r="AE9" s="256"/>
      <c r="AF9" s="256"/>
      <c r="AG9" s="256"/>
      <c r="AH9" s="256"/>
      <c r="AI9" s="256"/>
      <c r="AJ9" s="256"/>
      <c r="AK9" s="262"/>
      <c r="AL9" s="262"/>
      <c r="AM9" s="262"/>
      <c r="AN9" s="263"/>
      <c r="AO9" s="263"/>
      <c r="AP9" s="263"/>
      <c r="AQ9" s="263"/>
    </row>
    <row r="10" spans="1:43" s="264" customFormat="1" ht="15.75" customHeight="1" x14ac:dyDescent="0.25">
      <c r="A10" s="167">
        <v>8</v>
      </c>
      <c r="B10" s="151"/>
      <c r="C10" s="324" t="s">
        <v>87</v>
      </c>
      <c r="D10" s="325" t="s">
        <v>98</v>
      </c>
      <c r="E10" s="326" t="s">
        <v>88</v>
      </c>
      <c r="F10" s="327" t="s">
        <v>157</v>
      </c>
      <c r="G10" s="328" t="s">
        <v>146</v>
      </c>
      <c r="H10" s="284">
        <v>0.3</v>
      </c>
      <c r="I10" s="285">
        <v>0.2</v>
      </c>
      <c r="J10" s="285">
        <v>0.3</v>
      </c>
      <c r="K10" s="285"/>
      <c r="L10" s="285"/>
      <c r="M10" s="285"/>
      <c r="N10" s="285">
        <v>0.1</v>
      </c>
      <c r="O10" s="285">
        <v>0.1</v>
      </c>
      <c r="P10" s="329"/>
      <c r="Q10" s="213"/>
      <c r="R10" s="327">
        <v>10545000</v>
      </c>
      <c r="S10" s="330">
        <v>42312</v>
      </c>
      <c r="T10" s="157" t="s">
        <v>97</v>
      </c>
      <c r="U10" s="154"/>
      <c r="V10" s="161">
        <v>10545000</v>
      </c>
      <c r="W10" s="160">
        <f t="shared" si="3"/>
        <v>1</v>
      </c>
      <c r="X10" s="161"/>
      <c r="Y10" s="161">
        <v>10545000</v>
      </c>
      <c r="Z10" s="160">
        <f t="shared" si="4"/>
        <v>1</v>
      </c>
      <c r="AA10" s="161"/>
      <c r="AB10" s="261">
        <f t="shared" si="1"/>
        <v>0</v>
      </c>
      <c r="AC10" s="261">
        <f t="shared" si="2"/>
        <v>0</v>
      </c>
      <c r="AD10" s="367" t="s">
        <v>146</v>
      </c>
      <c r="AE10" s="256"/>
      <c r="AF10" s="288"/>
      <c r="AG10" s="288"/>
      <c r="AH10" s="288"/>
      <c r="AI10" s="288"/>
      <c r="AJ10" s="288"/>
      <c r="AK10" s="262"/>
      <c r="AL10" s="262"/>
      <c r="AM10" s="262"/>
      <c r="AN10" s="263"/>
      <c r="AO10" s="263"/>
      <c r="AP10" s="263"/>
      <c r="AQ10" s="263"/>
    </row>
    <row r="11" spans="1:43" s="355" customFormat="1" ht="15.75" customHeight="1" x14ac:dyDescent="0.25">
      <c r="A11" s="167">
        <v>9</v>
      </c>
      <c r="B11" s="167" t="s">
        <v>15</v>
      </c>
      <c r="C11" s="152" t="s">
        <v>57</v>
      </c>
      <c r="D11" s="322" t="s">
        <v>39</v>
      </c>
      <c r="E11" s="182" t="s">
        <v>40</v>
      </c>
      <c r="F11" s="155" t="s">
        <v>157</v>
      </c>
      <c r="G11" s="265" t="s">
        <v>146</v>
      </c>
      <c r="H11" s="293">
        <v>0.2</v>
      </c>
      <c r="I11" s="294"/>
      <c r="J11" s="294">
        <v>0.7</v>
      </c>
      <c r="K11" s="294"/>
      <c r="L11" s="344"/>
      <c r="M11" s="345"/>
      <c r="N11" s="294">
        <v>0.1</v>
      </c>
      <c r="O11" s="294"/>
      <c r="P11" s="346"/>
      <c r="Q11" s="347"/>
      <c r="R11" s="155">
        <v>4214280</v>
      </c>
      <c r="S11" s="156">
        <v>240787</v>
      </c>
      <c r="T11" s="157" t="s">
        <v>97</v>
      </c>
      <c r="U11" s="161"/>
      <c r="V11" s="161">
        <v>4214280</v>
      </c>
      <c r="W11" s="349">
        <f>V11/R11</f>
        <v>1</v>
      </c>
      <c r="X11" s="161"/>
      <c r="Y11" s="161">
        <v>4214280</v>
      </c>
      <c r="Z11" s="287">
        <f>Y11/R11</f>
        <v>1</v>
      </c>
      <c r="AA11" s="161"/>
      <c r="AB11" s="262">
        <f t="shared" si="1"/>
        <v>0</v>
      </c>
      <c r="AC11" s="261">
        <f t="shared" si="2"/>
        <v>0</v>
      </c>
      <c r="AD11" s="381" t="s">
        <v>95</v>
      </c>
      <c r="AE11" s="378"/>
      <c r="AF11" s="351"/>
      <c r="AG11" s="351"/>
      <c r="AH11" s="352"/>
      <c r="AI11" s="351"/>
      <c r="AJ11" s="352"/>
      <c r="AK11" s="353"/>
      <c r="AL11" s="350"/>
      <c r="AM11" s="350"/>
      <c r="AN11" s="354"/>
      <c r="AO11" s="354"/>
      <c r="AP11" s="354"/>
      <c r="AQ11" s="354"/>
    </row>
    <row r="12" spans="1:43" s="264" customFormat="1" ht="17.25" customHeight="1" x14ac:dyDescent="0.25">
      <c r="A12" s="167">
        <v>10</v>
      </c>
      <c r="B12" s="167" t="s">
        <v>15</v>
      </c>
      <c r="C12" s="152" t="s">
        <v>103</v>
      </c>
      <c r="D12" s="322" t="s">
        <v>117</v>
      </c>
      <c r="E12" s="182" t="s">
        <v>27</v>
      </c>
      <c r="F12" s="155" t="s">
        <v>155</v>
      </c>
      <c r="G12" s="302" t="s">
        <v>146</v>
      </c>
      <c r="H12" s="284"/>
      <c r="I12" s="285"/>
      <c r="J12" s="285"/>
      <c r="K12" s="285"/>
      <c r="L12" s="285"/>
      <c r="M12" s="285"/>
      <c r="N12" s="285">
        <v>1</v>
      </c>
      <c r="O12" s="285"/>
      <c r="P12" s="201"/>
      <c r="Q12" s="286"/>
      <c r="R12" s="155">
        <v>265044</v>
      </c>
      <c r="S12" s="156">
        <v>42489</v>
      </c>
      <c r="T12" s="157" t="s">
        <v>97</v>
      </c>
      <c r="U12" s="161"/>
      <c r="V12" s="161">
        <v>265044</v>
      </c>
      <c r="W12" s="160">
        <f>V12/R12</f>
        <v>1</v>
      </c>
      <c r="X12" s="161"/>
      <c r="Y12" s="161">
        <v>265044</v>
      </c>
      <c r="Z12" s="287">
        <f>Y12/R12</f>
        <v>1</v>
      </c>
      <c r="AA12" s="161"/>
      <c r="AB12" s="262">
        <f t="shared" si="1"/>
        <v>0</v>
      </c>
      <c r="AC12" s="261">
        <f t="shared" si="2"/>
        <v>0</v>
      </c>
      <c r="AD12" s="367" t="s">
        <v>146</v>
      </c>
      <c r="AE12" s="379"/>
      <c r="AF12" s="323"/>
      <c r="AG12" s="323"/>
      <c r="AH12" s="323"/>
      <c r="AI12" s="323"/>
      <c r="AJ12" s="323"/>
      <c r="AK12" s="262"/>
      <c r="AL12" s="262"/>
      <c r="AM12" s="262"/>
      <c r="AN12" s="263"/>
      <c r="AO12" s="263"/>
      <c r="AP12" s="263"/>
      <c r="AQ12" s="263"/>
    </row>
    <row r="13" spans="1:43" s="340" customFormat="1" x14ac:dyDescent="0.25">
      <c r="A13" s="167">
        <v>11</v>
      </c>
      <c r="B13" s="331" t="s">
        <v>15</v>
      </c>
      <c r="C13" s="152" t="s">
        <v>58</v>
      </c>
      <c r="D13" s="322" t="s">
        <v>41</v>
      </c>
      <c r="E13" s="182" t="s">
        <v>44</v>
      </c>
      <c r="F13" s="155" t="s">
        <v>156</v>
      </c>
      <c r="G13" s="302" t="s">
        <v>146</v>
      </c>
      <c r="H13" s="284">
        <v>0.2</v>
      </c>
      <c r="I13" s="285"/>
      <c r="J13" s="285">
        <v>0.7</v>
      </c>
      <c r="K13" s="285"/>
      <c r="L13" s="285"/>
      <c r="M13" s="285"/>
      <c r="N13" s="285">
        <v>0.1</v>
      </c>
      <c r="O13" s="285"/>
      <c r="P13" s="201"/>
      <c r="Q13" s="332"/>
      <c r="R13" s="155">
        <v>5260673.25</v>
      </c>
      <c r="S13" s="156">
        <v>21703</v>
      </c>
      <c r="T13" s="157" t="s">
        <v>97</v>
      </c>
      <c r="U13" s="155"/>
      <c r="V13" s="159">
        <v>5260673.25</v>
      </c>
      <c r="W13" s="333">
        <f t="shared" si="3"/>
        <v>1</v>
      </c>
      <c r="X13" s="159"/>
      <c r="Y13" s="159">
        <f>905884.65+146250+3170596.28+511875+526067.32</f>
        <v>5260673.25</v>
      </c>
      <c r="Z13" s="334">
        <f t="shared" si="4"/>
        <v>1</v>
      </c>
      <c r="AA13" s="159"/>
      <c r="AB13" s="335">
        <f t="shared" si="1"/>
        <v>0</v>
      </c>
      <c r="AC13" s="336">
        <f t="shared" si="2"/>
        <v>0</v>
      </c>
      <c r="AD13" s="367" t="s">
        <v>146</v>
      </c>
      <c r="AE13" s="380"/>
      <c r="AF13" s="337"/>
      <c r="AG13" s="337"/>
      <c r="AH13" s="337"/>
      <c r="AI13" s="337"/>
      <c r="AJ13" s="338"/>
      <c r="AK13" s="201"/>
      <c r="AL13" s="201"/>
      <c r="AM13" s="201"/>
      <c r="AN13" s="339"/>
      <c r="AO13" s="339"/>
      <c r="AP13" s="339"/>
      <c r="AQ13" s="339"/>
    </row>
    <row r="14" spans="1:43" s="355" customFormat="1" ht="15.75" customHeight="1" x14ac:dyDescent="0.25">
      <c r="A14" s="167">
        <v>12</v>
      </c>
      <c r="B14" s="167" t="s">
        <v>15</v>
      </c>
      <c r="C14" s="152" t="s">
        <v>77</v>
      </c>
      <c r="D14" s="322" t="s">
        <v>82</v>
      </c>
      <c r="E14" s="182" t="s">
        <v>27</v>
      </c>
      <c r="F14" s="155" t="s">
        <v>155</v>
      </c>
      <c r="G14" s="343" t="s">
        <v>146</v>
      </c>
      <c r="H14" s="293"/>
      <c r="I14" s="294"/>
      <c r="J14" s="294"/>
      <c r="K14" s="294"/>
      <c r="L14" s="294">
        <v>1</v>
      </c>
      <c r="M14" s="294"/>
      <c r="N14" s="294"/>
      <c r="O14" s="294"/>
      <c r="P14" s="346"/>
      <c r="Q14" s="347"/>
      <c r="R14" s="155">
        <v>140625</v>
      </c>
      <c r="S14" s="156">
        <v>42530</v>
      </c>
      <c r="T14" s="157" t="s">
        <v>97</v>
      </c>
      <c r="U14" s="161"/>
      <c r="V14" s="161">
        <f>96000+44625</f>
        <v>140625</v>
      </c>
      <c r="W14" s="349">
        <f>V14/R14</f>
        <v>1</v>
      </c>
      <c r="X14" s="161"/>
      <c r="Y14" s="161">
        <f>96000+44625</f>
        <v>140625</v>
      </c>
      <c r="Z14" s="287">
        <f>Y14/R14</f>
        <v>1</v>
      </c>
      <c r="AA14" s="161"/>
      <c r="AB14" s="262">
        <f t="shared" si="1"/>
        <v>0</v>
      </c>
      <c r="AC14" s="261">
        <f t="shared" si="2"/>
        <v>0</v>
      </c>
      <c r="AD14" s="367" t="s">
        <v>146</v>
      </c>
      <c r="AE14" s="379"/>
      <c r="AF14" s="352"/>
      <c r="AG14" s="352"/>
      <c r="AH14" s="352"/>
      <c r="AI14" s="352"/>
      <c r="AJ14" s="352"/>
      <c r="AK14" s="350"/>
      <c r="AL14" s="350"/>
      <c r="AM14" s="350"/>
      <c r="AN14" s="354"/>
      <c r="AO14" s="354"/>
      <c r="AP14" s="354"/>
      <c r="AQ14" s="354"/>
    </row>
    <row r="15" spans="1:43" s="264" customFormat="1" ht="15.75" customHeight="1" x14ac:dyDescent="0.25">
      <c r="A15" s="167">
        <v>13</v>
      </c>
      <c r="B15" s="167" t="s">
        <v>15</v>
      </c>
      <c r="C15" s="152" t="s">
        <v>78</v>
      </c>
      <c r="D15" s="322" t="s">
        <v>81</v>
      </c>
      <c r="E15" s="182" t="s">
        <v>27</v>
      </c>
      <c r="F15" s="155" t="s">
        <v>155</v>
      </c>
      <c r="G15" s="302" t="s">
        <v>146</v>
      </c>
      <c r="H15" s="284"/>
      <c r="I15" s="285"/>
      <c r="J15" s="285"/>
      <c r="K15" s="285"/>
      <c r="L15" s="285"/>
      <c r="M15" s="285"/>
      <c r="N15" s="285">
        <v>1</v>
      </c>
      <c r="O15" s="285"/>
      <c r="P15" s="201"/>
      <c r="Q15" s="286"/>
      <c r="R15" s="155">
        <v>594625</v>
      </c>
      <c r="S15" s="156">
        <v>42530</v>
      </c>
      <c r="T15" s="157" t="s">
        <v>97</v>
      </c>
      <c r="U15" s="161"/>
      <c r="V15" s="161">
        <v>594625</v>
      </c>
      <c r="W15" s="160">
        <f t="shared" si="3"/>
        <v>1</v>
      </c>
      <c r="X15" s="161"/>
      <c r="Y15" s="161">
        <v>594625</v>
      </c>
      <c r="Z15" s="287">
        <f t="shared" si="4"/>
        <v>1</v>
      </c>
      <c r="AA15" s="161"/>
      <c r="AB15" s="262">
        <f t="shared" si="1"/>
        <v>0</v>
      </c>
      <c r="AC15" s="261">
        <f t="shared" si="2"/>
        <v>0</v>
      </c>
      <c r="AD15" s="367" t="s">
        <v>146</v>
      </c>
      <c r="AE15" s="379"/>
      <c r="AF15" s="323"/>
      <c r="AG15" s="323"/>
      <c r="AH15" s="323"/>
      <c r="AI15" s="323"/>
      <c r="AJ15" s="323"/>
      <c r="AK15" s="262"/>
      <c r="AL15" s="262"/>
      <c r="AM15" s="262"/>
      <c r="AN15" s="263"/>
      <c r="AO15" s="263"/>
      <c r="AP15" s="263"/>
      <c r="AQ15" s="263"/>
    </row>
    <row r="16" spans="1:43" s="355" customFormat="1" ht="18" customHeight="1" x14ac:dyDescent="0.25">
      <c r="A16" s="167">
        <v>14</v>
      </c>
      <c r="B16" s="167" t="s">
        <v>15</v>
      </c>
      <c r="C16" s="152" t="s">
        <v>79</v>
      </c>
      <c r="D16" s="322" t="s">
        <v>80</v>
      </c>
      <c r="E16" s="182" t="s">
        <v>27</v>
      </c>
      <c r="F16" s="155" t="s">
        <v>155</v>
      </c>
      <c r="G16" s="343" t="s">
        <v>146</v>
      </c>
      <c r="H16" s="293"/>
      <c r="I16" s="294"/>
      <c r="J16" s="294"/>
      <c r="K16" s="294"/>
      <c r="L16" s="294"/>
      <c r="M16" s="294"/>
      <c r="N16" s="294">
        <v>1</v>
      </c>
      <c r="O16" s="294"/>
      <c r="P16" s="346"/>
      <c r="Q16" s="347"/>
      <c r="R16" s="155">
        <v>140625</v>
      </c>
      <c r="S16" s="156">
        <v>42530</v>
      </c>
      <c r="T16" s="157" t="s">
        <v>97</v>
      </c>
      <c r="U16" s="161"/>
      <c r="V16" s="161">
        <f>96000+44625</f>
        <v>140625</v>
      </c>
      <c r="W16" s="360">
        <f>V16/R16</f>
        <v>1</v>
      </c>
      <c r="X16" s="161"/>
      <c r="Y16" s="161">
        <f>96000+44625</f>
        <v>140625</v>
      </c>
      <c r="Z16" s="287">
        <f>Y16/R16</f>
        <v>1</v>
      </c>
      <c r="AA16" s="161"/>
      <c r="AB16" s="262">
        <f t="shared" si="1"/>
        <v>0</v>
      </c>
      <c r="AC16" s="261">
        <f t="shared" si="2"/>
        <v>0</v>
      </c>
      <c r="AD16" s="367" t="s">
        <v>146</v>
      </c>
      <c r="AE16" s="379"/>
      <c r="AF16" s="352"/>
      <c r="AG16" s="352"/>
      <c r="AH16" s="352"/>
      <c r="AI16" s="352"/>
      <c r="AJ16" s="352"/>
      <c r="AK16" s="350"/>
      <c r="AL16" s="350"/>
      <c r="AM16" s="350"/>
      <c r="AN16" s="354"/>
      <c r="AO16" s="354"/>
      <c r="AP16" s="354"/>
      <c r="AQ16" s="354"/>
    </row>
    <row r="17" spans="1:44" s="36" customFormat="1" ht="15.75" thickBot="1" x14ac:dyDescent="0.3">
      <c r="A17" s="115"/>
      <c r="B17" s="116"/>
      <c r="C17" s="116"/>
      <c r="D17" s="119"/>
      <c r="E17" s="218"/>
      <c r="F17" s="80"/>
      <c r="G17" s="374"/>
      <c r="H17" s="223"/>
      <c r="I17" s="224"/>
      <c r="J17" s="224"/>
      <c r="K17" s="224"/>
      <c r="L17" s="224"/>
      <c r="M17" s="224"/>
      <c r="N17" s="224"/>
      <c r="O17" s="224"/>
      <c r="P17" s="143"/>
      <c r="Q17" s="210">
        <f>SUM(R3:R16)</f>
        <v>49505512.25</v>
      </c>
      <c r="R17" s="117"/>
      <c r="S17" s="118"/>
      <c r="T17" s="118"/>
      <c r="U17" s="225">
        <f>SUM(V3:V17)</f>
        <v>48776912.25</v>
      </c>
      <c r="V17" s="226"/>
      <c r="W17" s="227"/>
      <c r="X17" s="228">
        <f>SUM(Y3:Y17)</f>
        <v>48776912.25</v>
      </c>
      <c r="Y17" s="229"/>
      <c r="Z17" s="230"/>
      <c r="AA17" s="172">
        <f>SUM(AC3:AC16)</f>
        <v>728600</v>
      </c>
      <c r="AB17" s="231"/>
      <c r="AC17" s="232"/>
      <c r="AD17" s="233"/>
      <c r="AE17" s="234"/>
      <c r="AF17" s="234"/>
      <c r="AG17" s="234"/>
      <c r="AH17" s="234"/>
      <c r="AI17" s="234"/>
      <c r="AJ17" s="234"/>
      <c r="AK17" s="34"/>
      <c r="AL17" s="34"/>
      <c r="AM17" s="34"/>
      <c r="AN17" s="35"/>
      <c r="AO17" s="35"/>
      <c r="AP17" s="35"/>
      <c r="AQ17" s="35"/>
    </row>
    <row r="18" spans="1:44" s="93" customFormat="1" x14ac:dyDescent="0.25">
      <c r="A18" s="75">
        <v>15</v>
      </c>
      <c r="B18" s="105" t="s">
        <v>16</v>
      </c>
      <c r="C18" s="108" t="s">
        <v>60</v>
      </c>
      <c r="D18" s="109" t="s">
        <v>42</v>
      </c>
      <c r="E18" s="183" t="s">
        <v>45</v>
      </c>
      <c r="F18" s="76" t="s">
        <v>156</v>
      </c>
      <c r="G18" s="267" t="s">
        <v>148</v>
      </c>
      <c r="H18" s="219">
        <v>0.1</v>
      </c>
      <c r="I18" s="196"/>
      <c r="J18" s="196"/>
      <c r="K18" s="196"/>
      <c r="L18" s="196">
        <v>0.1</v>
      </c>
      <c r="M18" s="196">
        <v>0.7</v>
      </c>
      <c r="N18" s="196">
        <v>0.1</v>
      </c>
      <c r="O18" s="196"/>
      <c r="P18" s="144"/>
      <c r="Q18" s="211"/>
      <c r="R18" s="49">
        <v>4455000</v>
      </c>
      <c r="S18" s="90">
        <v>42565</v>
      </c>
      <c r="T18" s="111" t="s">
        <v>97</v>
      </c>
      <c r="U18" s="94"/>
      <c r="V18" s="107">
        <f>3564000+445500</f>
        <v>4009500</v>
      </c>
      <c r="W18" s="95">
        <f>V18/R18</f>
        <v>0.9</v>
      </c>
      <c r="X18" s="96"/>
      <c r="Y18" s="96">
        <f>3564000+445500</f>
        <v>4009500</v>
      </c>
      <c r="Z18" s="97">
        <f>Y18/R18</f>
        <v>0.9</v>
      </c>
      <c r="AA18" s="98"/>
      <c r="AB18" s="106">
        <f>Y18-V18</f>
        <v>0</v>
      </c>
      <c r="AC18" s="106">
        <f>R18-Y18</f>
        <v>445500</v>
      </c>
      <c r="AD18" s="183" t="s">
        <v>93</v>
      </c>
      <c r="AE18" s="384" t="s">
        <v>206</v>
      </c>
      <c r="AF18" s="187"/>
      <c r="AG18" s="187"/>
      <c r="AH18" s="187"/>
      <c r="AI18" s="187"/>
      <c r="AJ18" s="187"/>
      <c r="AK18" s="91"/>
      <c r="AL18" s="91"/>
      <c r="AM18" s="91"/>
      <c r="AN18" s="92"/>
      <c r="AO18" s="92"/>
      <c r="AP18" s="92"/>
      <c r="AQ18" s="92"/>
    </row>
    <row r="19" spans="1:44" s="310" customFormat="1" x14ac:dyDescent="0.25">
      <c r="A19" s="167">
        <v>16</v>
      </c>
      <c r="B19" s="151" t="s">
        <v>16</v>
      </c>
      <c r="C19" s="152" t="s">
        <v>61</v>
      </c>
      <c r="D19" s="413" t="s">
        <v>43</v>
      </c>
      <c r="E19" s="182" t="s">
        <v>46</v>
      </c>
      <c r="F19" s="155" t="s">
        <v>156</v>
      </c>
      <c r="G19" s="302" t="s">
        <v>146</v>
      </c>
      <c r="H19" s="303">
        <v>0.2</v>
      </c>
      <c r="I19" s="304"/>
      <c r="J19" s="304"/>
      <c r="K19" s="304"/>
      <c r="L19" s="304"/>
      <c r="M19" s="304">
        <v>0.7</v>
      </c>
      <c r="N19" s="304">
        <v>0.1</v>
      </c>
      <c r="O19" s="304"/>
      <c r="P19" s="201"/>
      <c r="Q19" s="213"/>
      <c r="R19" s="155">
        <v>780000</v>
      </c>
      <c r="S19" s="156">
        <v>42571</v>
      </c>
      <c r="T19" s="157" t="s">
        <v>97</v>
      </c>
      <c r="U19" s="161"/>
      <c r="V19" s="161">
        <v>780000</v>
      </c>
      <c r="W19" s="160">
        <f t="shared" ref="W19:W32" si="5">V19/R19</f>
        <v>1</v>
      </c>
      <c r="X19" s="161"/>
      <c r="Y19" s="161">
        <v>780000</v>
      </c>
      <c r="Z19" s="160">
        <f>Y19/R19</f>
        <v>1</v>
      </c>
      <c r="AA19" s="161"/>
      <c r="AB19" s="161">
        <f t="shared" ref="AB19:AB32" si="6">Y19-V19</f>
        <v>0</v>
      </c>
      <c r="AC19" s="177">
        <f>R19-Y19</f>
        <v>0</v>
      </c>
      <c r="AD19" s="367" t="s">
        <v>146</v>
      </c>
      <c r="AE19" s="187"/>
      <c r="AF19" s="306"/>
      <c r="AG19" s="306"/>
      <c r="AH19" s="306"/>
      <c r="AI19" s="306"/>
      <c r="AJ19" s="306"/>
      <c r="AK19" s="307"/>
      <c r="AL19" s="307"/>
      <c r="AM19" s="307"/>
      <c r="AN19" s="308"/>
      <c r="AO19" s="308"/>
      <c r="AP19" s="308"/>
      <c r="AQ19" s="308"/>
      <c r="AR19" s="309"/>
    </row>
    <row r="20" spans="1:44" s="310" customFormat="1" x14ac:dyDescent="0.25">
      <c r="A20" s="150">
        <v>17</v>
      </c>
      <c r="B20" s="151" t="s">
        <v>16</v>
      </c>
      <c r="C20" s="152" t="s">
        <v>62</v>
      </c>
      <c r="D20" s="153" t="s">
        <v>47</v>
      </c>
      <c r="E20" s="182" t="s">
        <v>50</v>
      </c>
      <c r="F20" s="155" t="s">
        <v>157</v>
      </c>
      <c r="G20" s="302" t="s">
        <v>146</v>
      </c>
      <c r="H20" s="303">
        <v>0.2</v>
      </c>
      <c r="I20" s="304"/>
      <c r="J20" s="304"/>
      <c r="K20" s="304"/>
      <c r="L20" s="304"/>
      <c r="M20" s="304"/>
      <c r="N20" s="304"/>
      <c r="O20" s="304">
        <v>0.8</v>
      </c>
      <c r="P20" s="201"/>
      <c r="Q20" s="213"/>
      <c r="R20" s="155">
        <v>7360000</v>
      </c>
      <c r="S20" s="156">
        <v>42590</v>
      </c>
      <c r="T20" s="157" t="s">
        <v>97</v>
      </c>
      <c r="U20" s="161"/>
      <c r="V20" s="161">
        <v>7360000</v>
      </c>
      <c r="W20" s="160">
        <f t="shared" si="5"/>
        <v>1</v>
      </c>
      <c r="X20" s="161"/>
      <c r="Y20" s="161">
        <v>7360000</v>
      </c>
      <c r="Z20" s="160">
        <f t="shared" ref="Z20:Z32" si="7">Y20/R20</f>
        <v>1</v>
      </c>
      <c r="AA20" s="161"/>
      <c r="AB20" s="161">
        <f t="shared" si="6"/>
        <v>0</v>
      </c>
      <c r="AC20" s="161">
        <f>R20-Y20</f>
        <v>0</v>
      </c>
      <c r="AD20" s="367" t="s">
        <v>146</v>
      </c>
      <c r="AE20" s="187"/>
      <c r="AF20" s="306"/>
      <c r="AG20" s="306"/>
      <c r="AH20" s="306"/>
      <c r="AI20" s="306"/>
      <c r="AJ20" s="306"/>
      <c r="AK20" s="307"/>
      <c r="AL20" s="307"/>
      <c r="AM20" s="307"/>
      <c r="AN20" s="308"/>
      <c r="AO20" s="308"/>
      <c r="AP20" s="308"/>
      <c r="AQ20" s="308"/>
      <c r="AR20" s="309"/>
    </row>
    <row r="21" spans="1:44" s="310" customFormat="1" x14ac:dyDescent="0.25">
      <c r="A21" s="167">
        <v>18</v>
      </c>
      <c r="B21" s="151" t="s">
        <v>16</v>
      </c>
      <c r="C21" s="152" t="s">
        <v>55</v>
      </c>
      <c r="D21" s="153" t="s">
        <v>56</v>
      </c>
      <c r="E21" s="182" t="s">
        <v>67</v>
      </c>
      <c r="F21" s="155" t="s">
        <v>156</v>
      </c>
      <c r="G21" s="302" t="s">
        <v>146</v>
      </c>
      <c r="H21" s="303"/>
      <c r="I21" s="304"/>
      <c r="J21" s="304"/>
      <c r="K21" s="304"/>
      <c r="L21" s="304"/>
      <c r="M21" s="304"/>
      <c r="N21" s="304"/>
      <c r="O21" s="304">
        <v>1</v>
      </c>
      <c r="P21" s="201"/>
      <c r="Q21" s="213"/>
      <c r="R21" s="155">
        <v>495000</v>
      </c>
      <c r="S21" s="156">
        <v>42593</v>
      </c>
      <c r="T21" s="157" t="s">
        <v>97</v>
      </c>
      <c r="U21" s="161"/>
      <c r="V21" s="161">
        <v>495000</v>
      </c>
      <c r="W21" s="160">
        <f>V21/R21</f>
        <v>1</v>
      </c>
      <c r="X21" s="161"/>
      <c r="Y21" s="161">
        <v>495000</v>
      </c>
      <c r="Z21" s="160">
        <f t="shared" si="7"/>
        <v>1</v>
      </c>
      <c r="AA21" s="161"/>
      <c r="AB21" s="161">
        <f t="shared" si="6"/>
        <v>0</v>
      </c>
      <c r="AC21" s="161">
        <f>R21-Y21</f>
        <v>0</v>
      </c>
      <c r="AD21" s="367" t="s">
        <v>146</v>
      </c>
      <c r="AE21" s="187"/>
      <c r="AF21" s="306"/>
      <c r="AG21" s="306"/>
      <c r="AH21" s="306"/>
      <c r="AI21" s="306"/>
      <c r="AJ21" s="306"/>
      <c r="AK21" s="307"/>
      <c r="AL21" s="307"/>
      <c r="AM21" s="307"/>
      <c r="AN21" s="308"/>
      <c r="AO21" s="308"/>
      <c r="AP21" s="308"/>
      <c r="AQ21" s="308"/>
      <c r="AR21" s="309"/>
    </row>
    <row r="22" spans="1:44" s="166" customFormat="1" x14ac:dyDescent="0.25">
      <c r="A22" s="150">
        <v>19</v>
      </c>
      <c r="B22" s="151" t="s">
        <v>16</v>
      </c>
      <c r="C22" s="152" t="s">
        <v>63</v>
      </c>
      <c r="D22" s="153" t="s">
        <v>49</v>
      </c>
      <c r="E22" s="182" t="s">
        <v>51</v>
      </c>
      <c r="F22" s="155" t="s">
        <v>156</v>
      </c>
      <c r="G22" s="265" t="s">
        <v>146</v>
      </c>
      <c r="H22" s="219"/>
      <c r="I22" s="196"/>
      <c r="J22" s="196"/>
      <c r="K22" s="196"/>
      <c r="L22" s="196"/>
      <c r="M22" s="196"/>
      <c r="N22" s="196"/>
      <c r="O22" s="196"/>
      <c r="P22" s="201"/>
      <c r="Q22" s="213"/>
      <c r="R22" s="155">
        <v>12028000</v>
      </c>
      <c r="S22" s="156">
        <v>42597</v>
      </c>
      <c r="T22" s="157" t="s">
        <v>97</v>
      </c>
      <c r="U22" s="154"/>
      <c r="V22" s="159">
        <v>12028000</v>
      </c>
      <c r="W22" s="160">
        <f t="shared" si="5"/>
        <v>1</v>
      </c>
      <c r="X22" s="154"/>
      <c r="Y22" s="161">
        <v>12028000</v>
      </c>
      <c r="Z22" s="160">
        <f t="shared" si="7"/>
        <v>1</v>
      </c>
      <c r="AA22" s="154"/>
      <c r="AB22" s="161">
        <f t="shared" si="6"/>
        <v>0</v>
      </c>
      <c r="AC22" s="161">
        <f>R22-Y22</f>
        <v>0</v>
      </c>
      <c r="AD22" s="367" t="s">
        <v>146</v>
      </c>
      <c r="AE22" s="188"/>
      <c r="AF22" s="188"/>
      <c r="AG22" s="188"/>
      <c r="AH22" s="188"/>
      <c r="AI22" s="188"/>
      <c r="AJ22" s="188"/>
      <c r="AK22" s="162"/>
      <c r="AL22" s="162"/>
      <c r="AM22" s="162"/>
      <c r="AN22" s="163"/>
      <c r="AO22" s="163"/>
      <c r="AP22" s="163"/>
      <c r="AQ22" s="163"/>
      <c r="AR22" s="164"/>
    </row>
    <row r="23" spans="1:44" s="166" customFormat="1" x14ac:dyDescent="0.25">
      <c r="A23" s="167">
        <v>20</v>
      </c>
      <c r="B23" s="151" t="s">
        <v>16</v>
      </c>
      <c r="C23" s="152" t="s">
        <v>64</v>
      </c>
      <c r="D23" s="153" t="s">
        <v>48</v>
      </c>
      <c r="E23" s="182" t="s">
        <v>52</v>
      </c>
      <c r="F23" s="155" t="s">
        <v>156</v>
      </c>
      <c r="G23" s="302" t="s">
        <v>146</v>
      </c>
      <c r="H23" s="303">
        <v>0.3</v>
      </c>
      <c r="I23" s="304"/>
      <c r="J23" s="304"/>
      <c r="K23" s="304"/>
      <c r="L23" s="304"/>
      <c r="M23" s="304"/>
      <c r="N23" s="304">
        <v>0.6</v>
      </c>
      <c r="O23" s="304">
        <v>0.1</v>
      </c>
      <c r="P23" s="201"/>
      <c r="Q23" s="213"/>
      <c r="R23" s="155">
        <v>3225870</v>
      </c>
      <c r="S23" s="156">
        <v>42597</v>
      </c>
      <c r="T23" s="157" t="s">
        <v>97</v>
      </c>
      <c r="U23" s="154"/>
      <c r="V23" s="159">
        <v>3225870</v>
      </c>
      <c r="W23" s="160">
        <f t="shared" si="5"/>
        <v>1</v>
      </c>
      <c r="X23" s="154"/>
      <c r="Y23" s="159">
        <v>3225870</v>
      </c>
      <c r="Z23" s="160">
        <f t="shared" si="7"/>
        <v>1</v>
      </c>
      <c r="AA23" s="154"/>
      <c r="AB23" s="161">
        <f t="shared" si="6"/>
        <v>0</v>
      </c>
      <c r="AC23" s="161">
        <f t="shared" ref="AC23:AC32" si="8">R23-Y23</f>
        <v>0</v>
      </c>
      <c r="AD23" s="182" t="s">
        <v>94</v>
      </c>
      <c r="AE23" s="188"/>
      <c r="AF23" s="305"/>
      <c r="AG23" s="305"/>
      <c r="AH23" s="305"/>
      <c r="AI23" s="305"/>
      <c r="AJ23" s="305"/>
      <c r="AK23" s="162"/>
      <c r="AL23" s="162"/>
      <c r="AM23" s="162"/>
      <c r="AN23" s="163"/>
      <c r="AO23" s="163"/>
      <c r="AP23" s="163"/>
      <c r="AQ23" s="163"/>
      <c r="AR23" s="164"/>
    </row>
    <row r="24" spans="1:44" s="166" customFormat="1" x14ac:dyDescent="0.25">
      <c r="A24" s="150">
        <v>21</v>
      </c>
      <c r="B24" s="151" t="s">
        <v>16</v>
      </c>
      <c r="C24" s="152" t="s">
        <v>135</v>
      </c>
      <c r="D24" s="165" t="s">
        <v>136</v>
      </c>
      <c r="E24" s="182" t="s">
        <v>137</v>
      </c>
      <c r="F24" s="155" t="s">
        <v>156</v>
      </c>
      <c r="G24" s="265" t="s">
        <v>146</v>
      </c>
      <c r="H24" s="219"/>
      <c r="I24" s="196"/>
      <c r="J24" s="196"/>
      <c r="K24" s="196"/>
      <c r="L24" s="196"/>
      <c r="M24" s="196"/>
      <c r="N24" s="196"/>
      <c r="O24" s="196"/>
      <c r="P24" s="201"/>
      <c r="Q24" s="213"/>
      <c r="R24" s="155">
        <v>809450</v>
      </c>
      <c r="S24" s="156">
        <v>42601</v>
      </c>
      <c r="T24" s="157" t="s">
        <v>97</v>
      </c>
      <c r="U24" s="154"/>
      <c r="V24" s="159">
        <v>809450</v>
      </c>
      <c r="W24" s="160">
        <f>V24/R24</f>
        <v>1</v>
      </c>
      <c r="X24" s="154"/>
      <c r="Y24" s="159">
        <v>809450</v>
      </c>
      <c r="Z24" s="160">
        <f>Y24/R24</f>
        <v>1</v>
      </c>
      <c r="AA24" s="154"/>
      <c r="AB24" s="161">
        <f t="shared" si="6"/>
        <v>0</v>
      </c>
      <c r="AC24" s="161">
        <f t="shared" si="8"/>
        <v>0</v>
      </c>
      <c r="AD24" s="367" t="s">
        <v>146</v>
      </c>
      <c r="AE24" s="188"/>
      <c r="AF24" s="188"/>
      <c r="AG24" s="188"/>
      <c r="AH24" s="188"/>
      <c r="AI24" s="188"/>
      <c r="AJ24" s="188"/>
      <c r="AK24" s="162"/>
      <c r="AL24" s="162"/>
      <c r="AM24" s="162"/>
      <c r="AN24" s="163"/>
      <c r="AO24" s="163"/>
      <c r="AP24" s="163"/>
      <c r="AQ24" s="163"/>
      <c r="AR24" s="164"/>
    </row>
    <row r="25" spans="1:44" s="127" customFormat="1" x14ac:dyDescent="0.25">
      <c r="A25" s="50">
        <v>22</v>
      </c>
      <c r="B25" s="105" t="s">
        <v>16</v>
      </c>
      <c r="C25" s="51" t="s">
        <v>65</v>
      </c>
      <c r="D25" s="52" t="s">
        <v>53</v>
      </c>
      <c r="E25" s="183" t="s">
        <v>54</v>
      </c>
      <c r="F25" s="53" t="s">
        <v>157</v>
      </c>
      <c r="G25" s="265" t="s">
        <v>149</v>
      </c>
      <c r="H25" s="219">
        <v>0.2</v>
      </c>
      <c r="I25" s="196"/>
      <c r="J25" s="196"/>
      <c r="K25" s="196"/>
      <c r="L25" s="196"/>
      <c r="M25" s="196">
        <v>0.7</v>
      </c>
      <c r="N25" s="196">
        <v>0.1</v>
      </c>
      <c r="O25" s="196"/>
      <c r="P25" s="200"/>
      <c r="Q25" s="212"/>
      <c r="R25" s="53">
        <v>3655950</v>
      </c>
      <c r="S25" s="54">
        <v>42615</v>
      </c>
      <c r="T25" s="111" t="s">
        <v>97</v>
      </c>
      <c r="U25" s="129"/>
      <c r="V25" s="128">
        <v>3290355</v>
      </c>
      <c r="W25" s="95">
        <f>V25/R25</f>
        <v>0.9</v>
      </c>
      <c r="X25" s="130"/>
      <c r="Y25" s="131">
        <v>3655950</v>
      </c>
      <c r="Z25" s="124">
        <f>Y25/R25</f>
        <v>1</v>
      </c>
      <c r="AA25" s="173"/>
      <c r="AB25" s="98">
        <f>Y25-V25</f>
        <v>365595</v>
      </c>
      <c r="AC25" s="98">
        <f>R25-Y25</f>
        <v>0</v>
      </c>
      <c r="AD25" s="183" t="s">
        <v>92</v>
      </c>
      <c r="AE25" s="188"/>
      <c r="AF25" s="188"/>
      <c r="AG25" s="188"/>
      <c r="AH25" s="188"/>
      <c r="AI25" s="188"/>
      <c r="AJ25" s="188"/>
      <c r="AK25" s="29"/>
      <c r="AL25" s="29"/>
      <c r="AM25" s="29"/>
      <c r="AN25" s="126"/>
      <c r="AO25" s="126"/>
      <c r="AP25" s="126"/>
      <c r="AQ25" s="126"/>
      <c r="AR25" s="28"/>
    </row>
    <row r="26" spans="1:44" x14ac:dyDescent="0.25">
      <c r="A26" s="75">
        <v>23</v>
      </c>
      <c r="B26" s="105" t="s">
        <v>16</v>
      </c>
      <c r="C26" s="51" t="s">
        <v>66</v>
      </c>
      <c r="D26" s="52" t="s">
        <v>59</v>
      </c>
      <c r="E26" s="183" t="s">
        <v>23</v>
      </c>
      <c r="F26" s="53" t="s">
        <v>157</v>
      </c>
      <c r="G26" s="265" t="s">
        <v>152</v>
      </c>
      <c r="H26" s="219">
        <v>0.1</v>
      </c>
      <c r="I26" s="196"/>
      <c r="J26" s="196">
        <v>0.7</v>
      </c>
      <c r="K26" s="196"/>
      <c r="L26" s="196">
        <v>0.1</v>
      </c>
      <c r="M26" s="196"/>
      <c r="N26" s="196">
        <v>0.1</v>
      </c>
      <c r="O26" s="196"/>
      <c r="P26" s="200"/>
      <c r="Q26" s="212"/>
      <c r="R26" s="53">
        <v>10500000</v>
      </c>
      <c r="S26" s="54">
        <v>42615</v>
      </c>
      <c r="T26" s="111" t="s">
        <v>97</v>
      </c>
      <c r="U26" s="113"/>
      <c r="V26" s="60">
        <v>8400000</v>
      </c>
      <c r="W26" s="56">
        <f>V26/R26</f>
        <v>0.8</v>
      </c>
      <c r="X26" s="63"/>
      <c r="Y26" s="62">
        <v>8400000</v>
      </c>
      <c r="Z26" s="58">
        <f>Y26/R26</f>
        <v>0.8</v>
      </c>
      <c r="AA26" s="173"/>
      <c r="AB26" s="68">
        <f t="shared" si="6"/>
        <v>0</v>
      </c>
      <c r="AC26" s="68">
        <f>R26-Y26</f>
        <v>2100000</v>
      </c>
      <c r="AD26" s="184"/>
      <c r="AE26" s="383" t="s">
        <v>205</v>
      </c>
      <c r="AF26" s="188"/>
      <c r="AG26" s="188"/>
      <c r="AH26" s="188"/>
      <c r="AI26" s="188"/>
      <c r="AJ26" s="188"/>
    </row>
    <row r="27" spans="1:44" s="64" customFormat="1" x14ac:dyDescent="0.25">
      <c r="A27" s="50">
        <v>24</v>
      </c>
      <c r="B27" s="105" t="s">
        <v>16</v>
      </c>
      <c r="C27" s="51" t="s">
        <v>96</v>
      </c>
      <c r="D27" s="65" t="s">
        <v>99</v>
      </c>
      <c r="E27" s="183" t="s">
        <v>26</v>
      </c>
      <c r="F27" s="53" t="s">
        <v>156</v>
      </c>
      <c r="G27" s="265" t="s">
        <v>148</v>
      </c>
      <c r="H27" s="219">
        <v>0.2</v>
      </c>
      <c r="I27" s="196"/>
      <c r="J27" s="196"/>
      <c r="K27" s="196"/>
      <c r="L27" s="196">
        <v>0.7</v>
      </c>
      <c r="M27" s="196"/>
      <c r="N27" s="196">
        <v>0.1</v>
      </c>
      <c r="O27" s="196"/>
      <c r="P27" s="200"/>
      <c r="Q27" s="212"/>
      <c r="R27" s="53">
        <v>13320000</v>
      </c>
      <c r="S27" s="54">
        <v>42615</v>
      </c>
      <c r="T27" s="111" t="s">
        <v>97</v>
      </c>
      <c r="U27" s="61"/>
      <c r="V27" s="122">
        <f>2664000+9324000</f>
        <v>11988000</v>
      </c>
      <c r="W27" s="56">
        <f>V27/R27</f>
        <v>0.9</v>
      </c>
      <c r="X27" s="63"/>
      <c r="Y27" s="123">
        <f>2664000+9324000</f>
        <v>11988000</v>
      </c>
      <c r="Z27" s="58">
        <f>Y27/R27</f>
        <v>0.9</v>
      </c>
      <c r="AA27" s="173"/>
      <c r="AB27" s="68">
        <f t="shared" si="6"/>
        <v>0</v>
      </c>
      <c r="AC27" s="68">
        <f>R27-Y27</f>
        <v>1332000</v>
      </c>
      <c r="AD27" s="184"/>
      <c r="AE27" s="383" t="s">
        <v>205</v>
      </c>
      <c r="AF27" s="188"/>
      <c r="AG27" s="188"/>
      <c r="AH27" s="188"/>
      <c r="AI27" s="188"/>
      <c r="AJ27" s="188"/>
      <c r="AK27" s="2"/>
      <c r="AL27" s="2"/>
      <c r="AM27" s="2"/>
      <c r="AN27" s="1"/>
      <c r="AO27" s="1"/>
      <c r="AP27" s="1"/>
      <c r="AQ27" s="1"/>
      <c r="AR27"/>
    </row>
    <row r="28" spans="1:44" s="164" customFormat="1" x14ac:dyDescent="0.25">
      <c r="A28" s="150">
        <v>25</v>
      </c>
      <c r="B28" s="151" t="s">
        <v>16</v>
      </c>
      <c r="C28" s="152" t="s">
        <v>68</v>
      </c>
      <c r="D28" s="153" t="s">
        <v>70</v>
      </c>
      <c r="E28" s="182" t="s">
        <v>69</v>
      </c>
      <c r="F28" s="155" t="s">
        <v>157</v>
      </c>
      <c r="G28" s="265" t="s">
        <v>146</v>
      </c>
      <c r="H28" s="219"/>
      <c r="I28" s="196"/>
      <c r="J28" s="196"/>
      <c r="K28" s="196"/>
      <c r="L28" s="196"/>
      <c r="M28" s="196"/>
      <c r="N28" s="196"/>
      <c r="O28" s="196"/>
      <c r="P28" s="201"/>
      <c r="Q28" s="213"/>
      <c r="R28" s="155">
        <v>500000</v>
      </c>
      <c r="S28" s="156">
        <v>42628</v>
      </c>
      <c r="T28" s="157" t="s">
        <v>97</v>
      </c>
      <c r="U28" s="158"/>
      <c r="V28" s="159">
        <v>500000</v>
      </c>
      <c r="W28" s="160">
        <f t="shared" si="5"/>
        <v>1</v>
      </c>
      <c r="X28" s="154"/>
      <c r="Y28" s="159">
        <v>500000</v>
      </c>
      <c r="Z28" s="160">
        <f t="shared" si="7"/>
        <v>1</v>
      </c>
      <c r="AA28" s="154"/>
      <c r="AB28" s="161">
        <f t="shared" si="6"/>
        <v>0</v>
      </c>
      <c r="AC28" s="161">
        <f t="shared" si="8"/>
        <v>0</v>
      </c>
      <c r="AD28" s="367" t="s">
        <v>146</v>
      </c>
      <c r="AE28" s="188"/>
      <c r="AF28" s="188"/>
      <c r="AG28" s="188"/>
      <c r="AH28" s="188"/>
      <c r="AI28" s="188"/>
      <c r="AJ28" s="188"/>
      <c r="AK28" s="162"/>
      <c r="AL28" s="162"/>
      <c r="AM28" s="162"/>
      <c r="AN28" s="163"/>
      <c r="AO28" s="163"/>
      <c r="AP28" s="163"/>
      <c r="AQ28" s="163"/>
    </row>
    <row r="29" spans="1:44" s="435" customFormat="1" x14ac:dyDescent="0.25">
      <c r="A29" s="414">
        <v>26</v>
      </c>
      <c r="B29" s="415" t="s">
        <v>16</v>
      </c>
      <c r="C29" s="416" t="s">
        <v>71</v>
      </c>
      <c r="D29" s="413" t="s">
        <v>73</v>
      </c>
      <c r="E29" s="417" t="s">
        <v>72</v>
      </c>
      <c r="F29" s="418" t="s">
        <v>156</v>
      </c>
      <c r="G29" s="419" t="s">
        <v>146</v>
      </c>
      <c r="H29" s="420"/>
      <c r="I29" s="421"/>
      <c r="J29" s="421"/>
      <c r="K29" s="421"/>
      <c r="L29" s="421"/>
      <c r="M29" s="421"/>
      <c r="N29" s="421"/>
      <c r="O29" s="421">
        <v>1</v>
      </c>
      <c r="P29" s="422"/>
      <c r="Q29" s="423"/>
      <c r="R29" s="418">
        <v>500000</v>
      </c>
      <c r="S29" s="424">
        <v>42633</v>
      </c>
      <c r="T29" s="425" t="s">
        <v>97</v>
      </c>
      <c r="U29" s="426"/>
      <c r="V29" s="427">
        <v>500000</v>
      </c>
      <c r="W29" s="428">
        <f>V29/R29</f>
        <v>1</v>
      </c>
      <c r="X29" s="429"/>
      <c r="Y29" s="427">
        <v>500000</v>
      </c>
      <c r="Z29" s="428">
        <f t="shared" si="7"/>
        <v>1</v>
      </c>
      <c r="AA29" s="429"/>
      <c r="AB29" s="375">
        <f t="shared" si="6"/>
        <v>0</v>
      </c>
      <c r="AC29" s="375">
        <f>R29-Y29</f>
        <v>0</v>
      </c>
      <c r="AD29" s="430"/>
      <c r="AE29" s="431" t="s">
        <v>205</v>
      </c>
      <c r="AF29" s="432"/>
      <c r="AG29" s="432"/>
      <c r="AH29" s="432"/>
      <c r="AI29" s="432"/>
      <c r="AJ29" s="432"/>
      <c r="AK29" s="433"/>
      <c r="AL29" s="433"/>
      <c r="AM29" s="433"/>
      <c r="AN29" s="434"/>
      <c r="AO29" s="434"/>
      <c r="AP29" s="434"/>
      <c r="AQ29" s="434"/>
    </row>
    <row r="30" spans="1:44" s="164" customFormat="1" ht="15.75" customHeight="1" x14ac:dyDescent="0.25">
      <c r="A30" s="150">
        <v>27</v>
      </c>
      <c r="B30" s="151" t="s">
        <v>16</v>
      </c>
      <c r="C30" s="152" t="s">
        <v>138</v>
      </c>
      <c r="D30" s="153" t="s">
        <v>139</v>
      </c>
      <c r="E30" s="193" t="s">
        <v>106</v>
      </c>
      <c r="F30" s="273" t="s">
        <v>157</v>
      </c>
      <c r="G30" s="265" t="s">
        <v>146</v>
      </c>
      <c r="H30" s="219"/>
      <c r="I30" s="196"/>
      <c r="J30" s="196"/>
      <c r="K30" s="196"/>
      <c r="L30" s="196"/>
      <c r="M30" s="196"/>
      <c r="N30" s="196"/>
      <c r="O30" s="196"/>
      <c r="P30" s="202"/>
      <c r="Q30" s="213"/>
      <c r="R30" s="155">
        <v>310000</v>
      </c>
      <c r="S30" s="156">
        <v>42640</v>
      </c>
      <c r="T30" s="157" t="s">
        <v>97</v>
      </c>
      <c r="U30" s="158"/>
      <c r="V30" s="159">
        <v>310000</v>
      </c>
      <c r="W30" s="160">
        <f>V30/R30</f>
        <v>1</v>
      </c>
      <c r="X30" s="154"/>
      <c r="Y30" s="159">
        <v>310000</v>
      </c>
      <c r="Z30" s="160">
        <f>Y30/R30</f>
        <v>1</v>
      </c>
      <c r="AA30" s="154"/>
      <c r="AB30" s="161">
        <f t="shared" si="6"/>
        <v>0</v>
      </c>
      <c r="AC30" s="161">
        <f t="shared" si="8"/>
        <v>0</v>
      </c>
      <c r="AD30" s="367" t="s">
        <v>146</v>
      </c>
      <c r="AE30" s="188"/>
      <c r="AF30" s="188"/>
      <c r="AG30" s="188"/>
      <c r="AH30" s="188"/>
      <c r="AI30" s="188"/>
      <c r="AJ30" s="188"/>
      <c r="AK30" s="162"/>
      <c r="AL30" s="162"/>
      <c r="AM30" s="162"/>
      <c r="AN30" s="163"/>
      <c r="AO30" s="163"/>
      <c r="AP30" s="163"/>
      <c r="AQ30" s="163"/>
    </row>
    <row r="31" spans="1:44" s="164" customFormat="1" x14ac:dyDescent="0.25">
      <c r="A31" s="167">
        <v>28</v>
      </c>
      <c r="B31" s="151" t="s">
        <v>16</v>
      </c>
      <c r="C31" s="152" t="s">
        <v>105</v>
      </c>
      <c r="D31" s="153" t="s">
        <v>115</v>
      </c>
      <c r="E31" s="193" t="s">
        <v>106</v>
      </c>
      <c r="F31" s="273" t="s">
        <v>157</v>
      </c>
      <c r="G31" s="265" t="s">
        <v>146</v>
      </c>
      <c r="H31" s="219"/>
      <c r="I31" s="196"/>
      <c r="J31" s="196"/>
      <c r="K31" s="196"/>
      <c r="L31" s="196"/>
      <c r="M31" s="196"/>
      <c r="N31" s="196"/>
      <c r="O31" s="196"/>
      <c r="P31" s="202"/>
      <c r="Q31" s="213"/>
      <c r="R31" s="155">
        <v>1150000</v>
      </c>
      <c r="S31" s="156">
        <v>42640</v>
      </c>
      <c r="T31" s="157" t="s">
        <v>97</v>
      </c>
      <c r="U31" s="158"/>
      <c r="V31" s="159">
        <v>1150000</v>
      </c>
      <c r="W31" s="160">
        <f t="shared" si="5"/>
        <v>1</v>
      </c>
      <c r="X31" s="154"/>
      <c r="Y31" s="159">
        <v>1150000</v>
      </c>
      <c r="Z31" s="160">
        <f t="shared" si="7"/>
        <v>1</v>
      </c>
      <c r="AA31" s="154"/>
      <c r="AB31" s="161">
        <f t="shared" si="6"/>
        <v>0</v>
      </c>
      <c r="AC31" s="161">
        <f t="shared" si="8"/>
        <v>0</v>
      </c>
      <c r="AD31" s="367" t="s">
        <v>146</v>
      </c>
      <c r="AE31" s="188"/>
      <c r="AF31" s="188"/>
      <c r="AG31" s="188"/>
      <c r="AH31" s="188"/>
      <c r="AI31" s="188"/>
      <c r="AJ31" s="188"/>
      <c r="AK31" s="162"/>
      <c r="AL31" s="162"/>
      <c r="AM31" s="162"/>
      <c r="AN31" s="163"/>
      <c r="AO31" s="163"/>
      <c r="AP31" s="163"/>
      <c r="AQ31" s="163"/>
    </row>
    <row r="32" spans="1:44" s="314" customFormat="1" x14ac:dyDescent="0.25">
      <c r="A32" s="150">
        <v>29</v>
      </c>
      <c r="B32" s="167" t="s">
        <v>16</v>
      </c>
      <c r="C32" s="152" t="s">
        <v>75</v>
      </c>
      <c r="D32" s="153" t="s">
        <v>76</v>
      </c>
      <c r="E32" s="182" t="s">
        <v>74</v>
      </c>
      <c r="F32" s="155" t="s">
        <v>157</v>
      </c>
      <c r="G32" s="302" t="s">
        <v>146</v>
      </c>
      <c r="H32" s="303">
        <v>0.2</v>
      </c>
      <c r="I32" s="304"/>
      <c r="J32" s="304"/>
      <c r="K32" s="304"/>
      <c r="L32" s="304"/>
      <c r="M32" s="304"/>
      <c r="N32" s="304"/>
      <c r="O32" s="304">
        <v>0.8</v>
      </c>
      <c r="P32" s="201"/>
      <c r="Q32" s="213"/>
      <c r="R32" s="155">
        <v>946000</v>
      </c>
      <c r="S32" s="156">
        <v>42640</v>
      </c>
      <c r="T32" s="157" t="s">
        <v>97</v>
      </c>
      <c r="U32" s="158"/>
      <c r="V32" s="159">
        <v>946000</v>
      </c>
      <c r="W32" s="160">
        <f t="shared" si="5"/>
        <v>1</v>
      </c>
      <c r="X32" s="154"/>
      <c r="Y32" s="159">
        <v>946000</v>
      </c>
      <c r="Z32" s="160">
        <f t="shared" si="7"/>
        <v>1</v>
      </c>
      <c r="AA32" s="154"/>
      <c r="AB32" s="311">
        <f t="shared" si="6"/>
        <v>0</v>
      </c>
      <c r="AC32" s="311">
        <f t="shared" si="8"/>
        <v>0</v>
      </c>
      <c r="AD32" s="367" t="s">
        <v>146</v>
      </c>
      <c r="AE32" s="188"/>
      <c r="AF32" s="305"/>
      <c r="AG32" s="305"/>
      <c r="AH32" s="305"/>
      <c r="AI32" s="305"/>
      <c r="AJ32" s="305"/>
      <c r="AK32" s="312"/>
      <c r="AL32" s="312"/>
      <c r="AM32" s="312"/>
      <c r="AN32" s="313"/>
      <c r="AO32" s="313"/>
      <c r="AP32" s="313"/>
      <c r="AQ32" s="313"/>
    </row>
    <row r="33" spans="1:43" s="103" customFormat="1" ht="15.75" thickBot="1" x14ac:dyDescent="0.3">
      <c r="A33" s="99"/>
      <c r="B33" s="80"/>
      <c r="C33" s="81"/>
      <c r="D33" s="82"/>
      <c r="E33" s="194"/>
      <c r="F33" s="83"/>
      <c r="G33" s="268"/>
      <c r="H33" s="373"/>
      <c r="I33" s="372"/>
      <c r="J33" s="372"/>
      <c r="K33" s="372"/>
      <c r="L33" s="372"/>
      <c r="M33" s="372"/>
      <c r="N33" s="372"/>
      <c r="O33" s="372"/>
      <c r="P33" s="203"/>
      <c r="Q33" s="214">
        <f>SUM(R18:R32)</f>
        <v>60035270</v>
      </c>
      <c r="R33" s="83"/>
      <c r="S33" s="84"/>
      <c r="T33" s="369"/>
      <c r="U33" s="114">
        <f>SUM(V18:V32)</f>
        <v>55792175</v>
      </c>
      <c r="V33" s="85"/>
      <c r="W33" s="86"/>
      <c r="X33" s="87">
        <f>SUM(Y18:Y32)</f>
        <v>56157770</v>
      </c>
      <c r="Y33" s="88"/>
      <c r="Z33" s="89"/>
      <c r="AA33" s="174">
        <f>SUM(AC18:AC32)</f>
        <v>3877500</v>
      </c>
      <c r="AB33" s="100"/>
      <c r="AC33" s="100"/>
      <c r="AD33" s="186"/>
      <c r="AE33" s="188"/>
      <c r="AF33" s="188"/>
      <c r="AG33" s="188"/>
      <c r="AH33" s="188"/>
      <c r="AI33" s="188"/>
      <c r="AJ33" s="188"/>
      <c r="AK33" s="104"/>
      <c r="AL33" s="104"/>
      <c r="AM33" s="101"/>
      <c r="AN33" s="102"/>
      <c r="AO33" s="102"/>
      <c r="AP33" s="102"/>
      <c r="AQ33" s="102"/>
    </row>
    <row r="34" spans="1:43" s="164" customFormat="1" x14ac:dyDescent="0.25">
      <c r="A34" s="167">
        <v>30</v>
      </c>
      <c r="B34" s="167" t="s">
        <v>17</v>
      </c>
      <c r="C34" s="152" t="s">
        <v>89</v>
      </c>
      <c r="D34" s="153" t="s">
        <v>111</v>
      </c>
      <c r="E34" s="195" t="s">
        <v>90</v>
      </c>
      <c r="F34" s="370" t="s">
        <v>155</v>
      </c>
      <c r="G34" s="371" t="s">
        <v>146</v>
      </c>
      <c r="H34" s="223"/>
      <c r="I34" s="224"/>
      <c r="J34" s="224"/>
      <c r="K34" s="224"/>
      <c r="L34" s="224"/>
      <c r="M34" s="224"/>
      <c r="N34" s="224"/>
      <c r="O34" s="224"/>
      <c r="P34" s="204"/>
      <c r="Q34" s="213"/>
      <c r="R34" s="155">
        <v>3000000</v>
      </c>
      <c r="S34" s="156">
        <v>42662</v>
      </c>
      <c r="T34" s="368" t="s">
        <v>114</v>
      </c>
      <c r="U34" s="154"/>
      <c r="V34" s="159">
        <v>3000000</v>
      </c>
      <c r="W34" s="175">
        <f>V34/R34</f>
        <v>1</v>
      </c>
      <c r="X34" s="154"/>
      <c r="Y34" s="176">
        <v>3000000</v>
      </c>
      <c r="Z34" s="175">
        <f t="shared" ref="Z34:Z42" si="9">Y34/R34</f>
        <v>1</v>
      </c>
      <c r="AA34" s="154"/>
      <c r="AB34" s="177">
        <f t="shared" ref="AB34:AB41" si="10">Y34-V34</f>
        <v>0</v>
      </c>
      <c r="AC34" s="177">
        <f t="shared" ref="AC34:AC42" si="11">R34-Y34</f>
        <v>0</v>
      </c>
      <c r="AD34" s="367" t="s">
        <v>146</v>
      </c>
      <c r="AE34" s="188"/>
      <c r="AF34" s="188"/>
      <c r="AG34" s="188"/>
      <c r="AH34" s="188"/>
      <c r="AI34" s="188"/>
      <c r="AJ34" s="188"/>
      <c r="AK34" s="162"/>
      <c r="AL34" s="162"/>
      <c r="AM34" s="162"/>
      <c r="AN34" s="163"/>
      <c r="AO34" s="163"/>
      <c r="AP34" s="163"/>
      <c r="AQ34" s="163"/>
    </row>
    <row r="35" spans="1:43" x14ac:dyDescent="0.25">
      <c r="A35" s="50">
        <v>31</v>
      </c>
      <c r="B35" s="50" t="s">
        <v>17</v>
      </c>
      <c r="C35" s="51" t="s">
        <v>84</v>
      </c>
      <c r="D35" s="52" t="s">
        <v>85</v>
      </c>
      <c r="E35" s="183" t="s">
        <v>83</v>
      </c>
      <c r="F35" s="53" t="s">
        <v>157</v>
      </c>
      <c r="G35" s="265" t="s">
        <v>145</v>
      </c>
      <c r="H35" s="221"/>
      <c r="I35" s="222"/>
      <c r="J35" s="222"/>
      <c r="K35" s="222"/>
      <c r="L35" s="222"/>
      <c r="M35" s="222">
        <v>0.6</v>
      </c>
      <c r="N35" s="222">
        <v>0.4</v>
      </c>
      <c r="O35" s="222"/>
      <c r="P35" s="200"/>
      <c r="Q35" s="212"/>
      <c r="R35" s="53">
        <v>3185000</v>
      </c>
      <c r="S35" s="54">
        <v>42664</v>
      </c>
      <c r="T35" s="111" t="s">
        <v>97</v>
      </c>
      <c r="U35" s="61"/>
      <c r="V35" s="60">
        <f>1911000+637000</f>
        <v>2548000</v>
      </c>
      <c r="W35" s="77">
        <f>V35/R35</f>
        <v>0.8</v>
      </c>
      <c r="X35" s="63"/>
      <c r="Y35" s="78">
        <f>1911000+637000</f>
        <v>2548000</v>
      </c>
      <c r="Z35" s="79">
        <f t="shared" si="9"/>
        <v>0.8</v>
      </c>
      <c r="AA35" s="173"/>
      <c r="AB35" s="74">
        <f t="shared" si="10"/>
        <v>0</v>
      </c>
      <c r="AC35" s="74">
        <f t="shared" si="11"/>
        <v>637000</v>
      </c>
      <c r="AD35" s="184" t="s">
        <v>107</v>
      </c>
      <c r="AE35" s="383" t="s">
        <v>205</v>
      </c>
      <c r="AF35" s="190"/>
      <c r="AG35" s="190"/>
      <c r="AH35" s="190"/>
      <c r="AI35" s="190"/>
      <c r="AJ35" s="190"/>
    </row>
    <row r="36" spans="1:43" s="435" customFormat="1" x14ac:dyDescent="0.25">
      <c r="A36" s="414">
        <v>32</v>
      </c>
      <c r="B36" s="414" t="s">
        <v>17</v>
      </c>
      <c r="C36" s="416" t="s">
        <v>127</v>
      </c>
      <c r="D36" s="413" t="s">
        <v>128</v>
      </c>
      <c r="E36" s="417" t="s">
        <v>129</v>
      </c>
      <c r="F36" s="418" t="s">
        <v>155</v>
      </c>
      <c r="G36" s="419" t="s">
        <v>146</v>
      </c>
      <c r="H36" s="420"/>
      <c r="I36" s="421"/>
      <c r="J36" s="421"/>
      <c r="K36" s="421"/>
      <c r="L36" s="421">
        <v>0.9</v>
      </c>
      <c r="M36" s="421"/>
      <c r="N36" s="421"/>
      <c r="O36" s="421">
        <v>0.1</v>
      </c>
      <c r="P36" s="422"/>
      <c r="Q36" s="423"/>
      <c r="R36" s="418">
        <v>3350000</v>
      </c>
      <c r="S36" s="424">
        <v>42664</v>
      </c>
      <c r="T36" s="425" t="s">
        <v>114</v>
      </c>
      <c r="U36" s="445"/>
      <c r="V36" s="427">
        <v>3350000</v>
      </c>
      <c r="W36" s="446">
        <f t="shared" ref="W36:W41" si="12">V36/R36</f>
        <v>1</v>
      </c>
      <c r="X36" s="429"/>
      <c r="Y36" s="447">
        <v>3350000</v>
      </c>
      <c r="Z36" s="446">
        <f t="shared" si="9"/>
        <v>1</v>
      </c>
      <c r="AA36" s="429"/>
      <c r="AB36" s="448">
        <f t="shared" si="10"/>
        <v>0</v>
      </c>
      <c r="AC36" s="448">
        <f t="shared" si="11"/>
        <v>0</v>
      </c>
      <c r="AD36" s="417"/>
      <c r="AE36" s="431" t="s">
        <v>205</v>
      </c>
      <c r="AF36" s="432"/>
      <c r="AG36" s="432"/>
      <c r="AH36" s="432"/>
      <c r="AI36" s="432"/>
      <c r="AJ36" s="432"/>
      <c r="AK36" s="433"/>
      <c r="AL36" s="433"/>
      <c r="AM36" s="433"/>
      <c r="AN36" s="434"/>
      <c r="AO36" s="434"/>
      <c r="AP36" s="434"/>
      <c r="AQ36" s="434"/>
    </row>
    <row r="37" spans="1:43" s="164" customFormat="1" x14ac:dyDescent="0.25">
      <c r="A37" s="167">
        <v>33</v>
      </c>
      <c r="B37" s="167" t="s">
        <v>17</v>
      </c>
      <c r="C37" s="152" t="s">
        <v>108</v>
      </c>
      <c r="D37" s="153" t="s">
        <v>116</v>
      </c>
      <c r="E37" s="182" t="s">
        <v>27</v>
      </c>
      <c r="F37" s="155" t="s">
        <v>156</v>
      </c>
      <c r="G37" s="302" t="s">
        <v>146</v>
      </c>
      <c r="H37" s="303"/>
      <c r="I37" s="304"/>
      <c r="J37" s="304"/>
      <c r="K37" s="304"/>
      <c r="L37" s="304"/>
      <c r="M37" s="304"/>
      <c r="N37" s="304">
        <v>1</v>
      </c>
      <c r="O37" s="304"/>
      <c r="P37" s="201"/>
      <c r="Q37" s="213"/>
      <c r="R37" s="155">
        <v>42332</v>
      </c>
      <c r="S37" s="156">
        <v>42668</v>
      </c>
      <c r="T37" s="157" t="s">
        <v>97</v>
      </c>
      <c r="U37" s="178"/>
      <c r="V37" s="159">
        <v>42332</v>
      </c>
      <c r="W37" s="175">
        <f t="shared" si="12"/>
        <v>1</v>
      </c>
      <c r="X37" s="154"/>
      <c r="Y37" s="176">
        <v>42332</v>
      </c>
      <c r="Z37" s="175">
        <f t="shared" si="9"/>
        <v>1</v>
      </c>
      <c r="AA37" s="154"/>
      <c r="AB37" s="177">
        <f t="shared" si="10"/>
        <v>0</v>
      </c>
      <c r="AC37" s="177">
        <f t="shared" si="11"/>
        <v>0</v>
      </c>
      <c r="AD37" s="367" t="s">
        <v>146</v>
      </c>
      <c r="AE37" s="188"/>
      <c r="AF37" s="305"/>
      <c r="AG37" s="305"/>
      <c r="AH37" s="305"/>
      <c r="AI37" s="305"/>
      <c r="AJ37" s="305"/>
      <c r="AK37" s="162"/>
      <c r="AL37" s="162"/>
      <c r="AM37" s="162"/>
      <c r="AN37" s="163"/>
      <c r="AO37" s="163"/>
      <c r="AP37" s="163"/>
      <c r="AQ37" s="163"/>
    </row>
    <row r="38" spans="1:43" x14ac:dyDescent="0.25">
      <c r="A38" s="167">
        <v>34</v>
      </c>
      <c r="B38" s="167" t="s">
        <v>17</v>
      </c>
      <c r="C38" s="152" t="s">
        <v>125</v>
      </c>
      <c r="D38" s="153" t="s">
        <v>130</v>
      </c>
      <c r="E38" s="182" t="s">
        <v>126</v>
      </c>
      <c r="F38" s="155" t="s">
        <v>157</v>
      </c>
      <c r="G38" s="302" t="s">
        <v>146</v>
      </c>
      <c r="H38" s="303">
        <v>0.2</v>
      </c>
      <c r="I38" s="304"/>
      <c r="J38" s="304"/>
      <c r="K38" s="304"/>
      <c r="L38" s="304"/>
      <c r="M38" s="304"/>
      <c r="N38" s="304"/>
      <c r="O38" s="304">
        <v>0.8</v>
      </c>
      <c r="P38" s="201"/>
      <c r="Q38" s="213"/>
      <c r="R38" s="155">
        <v>1820000</v>
      </c>
      <c r="S38" s="156">
        <v>42669</v>
      </c>
      <c r="T38" s="157" t="s">
        <v>141</v>
      </c>
      <c r="U38" s="178"/>
      <c r="V38" s="159">
        <f>364000+1274000+182000</f>
        <v>1820000</v>
      </c>
      <c r="W38" s="175">
        <f t="shared" si="12"/>
        <v>1</v>
      </c>
      <c r="X38" s="154"/>
      <c r="Y38" s="176">
        <f>364000+1274000+182000</f>
        <v>1820000</v>
      </c>
      <c r="Z38" s="175">
        <f t="shared" si="9"/>
        <v>1</v>
      </c>
      <c r="AA38" s="154"/>
      <c r="AB38" s="177">
        <f t="shared" si="10"/>
        <v>0</v>
      </c>
      <c r="AC38" s="177">
        <f t="shared" si="11"/>
        <v>0</v>
      </c>
      <c r="AD38" s="367" t="s">
        <v>146</v>
      </c>
      <c r="AE38" s="383" t="s">
        <v>205</v>
      </c>
      <c r="AF38" s="188"/>
      <c r="AG38" s="188"/>
      <c r="AH38" s="188"/>
      <c r="AI38" s="188"/>
      <c r="AJ38" s="188"/>
    </row>
    <row r="39" spans="1:43" s="164" customFormat="1" x14ac:dyDescent="0.25">
      <c r="A39" s="167">
        <v>35</v>
      </c>
      <c r="B39" s="167" t="s">
        <v>17</v>
      </c>
      <c r="C39" s="152" t="s">
        <v>109</v>
      </c>
      <c r="D39" s="153" t="s">
        <v>113</v>
      </c>
      <c r="E39" s="182" t="s">
        <v>104</v>
      </c>
      <c r="F39" s="155" t="s">
        <v>157</v>
      </c>
      <c r="G39" s="265" t="s">
        <v>146</v>
      </c>
      <c r="H39" s="219"/>
      <c r="I39" s="196"/>
      <c r="J39" s="196"/>
      <c r="K39" s="196"/>
      <c r="L39" s="196"/>
      <c r="M39" s="196"/>
      <c r="N39" s="196"/>
      <c r="O39" s="196"/>
      <c r="P39" s="201"/>
      <c r="Q39" s="213"/>
      <c r="R39" s="155">
        <v>244288</v>
      </c>
      <c r="S39" s="156">
        <v>42696</v>
      </c>
      <c r="T39" s="157" t="s">
        <v>97</v>
      </c>
      <c r="U39" s="178"/>
      <c r="V39" s="159">
        <v>244288</v>
      </c>
      <c r="W39" s="175">
        <f t="shared" si="12"/>
        <v>1</v>
      </c>
      <c r="X39" s="154"/>
      <c r="Y39" s="176">
        <v>244288</v>
      </c>
      <c r="Z39" s="175">
        <f t="shared" si="9"/>
        <v>1</v>
      </c>
      <c r="AA39" s="154"/>
      <c r="AB39" s="177">
        <f t="shared" si="10"/>
        <v>0</v>
      </c>
      <c r="AC39" s="177">
        <f t="shared" si="11"/>
        <v>0</v>
      </c>
      <c r="AD39" s="367" t="s">
        <v>146</v>
      </c>
      <c r="AE39" s="188"/>
      <c r="AF39" s="188"/>
      <c r="AG39" s="188"/>
      <c r="AH39" s="188"/>
      <c r="AI39" s="188"/>
      <c r="AJ39" s="188"/>
      <c r="AK39" s="162"/>
      <c r="AL39" s="162"/>
      <c r="AM39" s="162"/>
      <c r="AN39" s="163"/>
      <c r="AO39" s="163"/>
      <c r="AP39" s="163"/>
      <c r="AQ39" s="163"/>
    </row>
    <row r="40" spans="1:43" s="164" customFormat="1" x14ac:dyDescent="0.25">
      <c r="A40" s="167">
        <v>36</v>
      </c>
      <c r="B40" s="167" t="s">
        <v>17</v>
      </c>
      <c r="C40" s="152" t="s">
        <v>110</v>
      </c>
      <c r="D40" s="153" t="s">
        <v>112</v>
      </c>
      <c r="E40" s="182" t="s">
        <v>72</v>
      </c>
      <c r="F40" s="155" t="s">
        <v>156</v>
      </c>
      <c r="G40" s="302" t="s">
        <v>146</v>
      </c>
      <c r="H40" s="303"/>
      <c r="I40" s="304"/>
      <c r="J40" s="304"/>
      <c r="K40" s="304"/>
      <c r="L40" s="304"/>
      <c r="M40" s="304"/>
      <c r="N40" s="304">
        <v>1</v>
      </c>
      <c r="O40" s="304"/>
      <c r="P40" s="201"/>
      <c r="Q40" s="213"/>
      <c r="R40" s="155">
        <v>85000</v>
      </c>
      <c r="S40" s="156">
        <v>42697</v>
      </c>
      <c r="T40" s="157" t="s">
        <v>97</v>
      </c>
      <c r="U40" s="178"/>
      <c r="V40" s="159">
        <v>85000</v>
      </c>
      <c r="W40" s="175">
        <f t="shared" si="12"/>
        <v>1</v>
      </c>
      <c r="X40" s="154"/>
      <c r="Y40" s="176">
        <v>85000</v>
      </c>
      <c r="Z40" s="175">
        <f t="shared" si="9"/>
        <v>1</v>
      </c>
      <c r="AA40" s="154"/>
      <c r="AB40" s="177">
        <f t="shared" si="10"/>
        <v>0</v>
      </c>
      <c r="AC40" s="177">
        <f t="shared" si="11"/>
        <v>0</v>
      </c>
      <c r="AD40" s="367" t="s">
        <v>146</v>
      </c>
      <c r="AE40" s="188"/>
      <c r="AF40" s="305"/>
      <c r="AG40" s="305"/>
      <c r="AH40" s="305"/>
      <c r="AI40" s="305"/>
      <c r="AJ40" s="305"/>
      <c r="AK40" s="162"/>
      <c r="AL40" s="162"/>
      <c r="AM40" s="162"/>
      <c r="AN40" s="163"/>
      <c r="AO40" s="163"/>
      <c r="AP40" s="163"/>
      <c r="AQ40" s="163"/>
    </row>
    <row r="41" spans="1:43" s="164" customFormat="1" x14ac:dyDescent="0.25">
      <c r="A41" s="167">
        <v>37</v>
      </c>
      <c r="B41" s="167" t="s">
        <v>17</v>
      </c>
      <c r="C41" s="152" t="s">
        <v>101</v>
      </c>
      <c r="D41" s="153" t="s">
        <v>100</v>
      </c>
      <c r="E41" s="182" t="s">
        <v>102</v>
      </c>
      <c r="F41" s="155" t="s">
        <v>157</v>
      </c>
      <c r="G41" s="302" t="s">
        <v>146</v>
      </c>
      <c r="H41" s="303">
        <v>0.3</v>
      </c>
      <c r="I41" s="304"/>
      <c r="J41" s="304"/>
      <c r="K41" s="304"/>
      <c r="L41" s="304"/>
      <c r="M41" s="304"/>
      <c r="N41" s="304">
        <v>0.6</v>
      </c>
      <c r="O41" s="304">
        <v>0.1</v>
      </c>
      <c r="P41" s="201"/>
      <c r="Q41" s="213"/>
      <c r="R41" s="155">
        <v>451500</v>
      </c>
      <c r="S41" s="156">
        <v>42698</v>
      </c>
      <c r="T41" s="157" t="s">
        <v>97</v>
      </c>
      <c r="U41" s="178"/>
      <c r="V41" s="159">
        <v>451500</v>
      </c>
      <c r="W41" s="175">
        <f t="shared" si="12"/>
        <v>1</v>
      </c>
      <c r="X41" s="154"/>
      <c r="Y41" s="176">
        <v>451500</v>
      </c>
      <c r="Z41" s="175">
        <f t="shared" si="9"/>
        <v>1</v>
      </c>
      <c r="AA41" s="154"/>
      <c r="AB41" s="177">
        <f t="shared" si="10"/>
        <v>0</v>
      </c>
      <c r="AC41" s="177">
        <f t="shared" si="11"/>
        <v>0</v>
      </c>
      <c r="AD41" s="367" t="s">
        <v>146</v>
      </c>
      <c r="AE41" s="188"/>
      <c r="AF41" s="305"/>
      <c r="AG41" s="305"/>
      <c r="AH41" s="305"/>
      <c r="AI41" s="305"/>
      <c r="AJ41" s="305"/>
      <c r="AK41" s="162"/>
      <c r="AL41" s="162"/>
      <c r="AM41" s="162"/>
      <c r="AN41" s="163"/>
      <c r="AO41" s="163"/>
      <c r="AP41" s="163"/>
      <c r="AQ41" s="163"/>
    </row>
    <row r="42" spans="1:43" s="164" customFormat="1" x14ac:dyDescent="0.25">
      <c r="A42" s="167">
        <v>38</v>
      </c>
      <c r="B42" s="167" t="s">
        <v>17</v>
      </c>
      <c r="C42" s="152" t="s">
        <v>118</v>
      </c>
      <c r="D42" s="153" t="s">
        <v>119</v>
      </c>
      <c r="E42" s="182" t="s">
        <v>106</v>
      </c>
      <c r="F42" s="155" t="s">
        <v>157</v>
      </c>
      <c r="G42" s="302" t="s">
        <v>146</v>
      </c>
      <c r="H42" s="303">
        <v>0.2</v>
      </c>
      <c r="I42" s="304"/>
      <c r="J42" s="304">
        <v>0.7</v>
      </c>
      <c r="K42" s="304"/>
      <c r="L42" s="304"/>
      <c r="M42" s="304"/>
      <c r="N42" s="304">
        <v>0.1</v>
      </c>
      <c r="O42" s="304"/>
      <c r="P42" s="201"/>
      <c r="Q42" s="213"/>
      <c r="R42" s="155">
        <v>4700000</v>
      </c>
      <c r="S42" s="156">
        <v>42735</v>
      </c>
      <c r="T42" s="157" t="s">
        <v>97</v>
      </c>
      <c r="U42" s="178"/>
      <c r="V42" s="159">
        <f>3290000+940000+470000</f>
        <v>4700000</v>
      </c>
      <c r="W42" s="175">
        <f>V42/R42</f>
        <v>1</v>
      </c>
      <c r="X42" s="154"/>
      <c r="Y42" s="176">
        <f>940000+3290000+470000</f>
        <v>4700000</v>
      </c>
      <c r="Z42" s="175">
        <f t="shared" si="9"/>
        <v>1</v>
      </c>
      <c r="AA42" s="154"/>
      <c r="AB42" s="177">
        <f>Y42-V42</f>
        <v>0</v>
      </c>
      <c r="AC42" s="177">
        <f t="shared" si="11"/>
        <v>0</v>
      </c>
      <c r="AD42" s="336"/>
      <c r="AE42" s="188"/>
      <c r="AF42" s="305"/>
      <c r="AG42" s="305"/>
      <c r="AH42" s="305"/>
      <c r="AI42" s="305"/>
      <c r="AJ42" s="305"/>
      <c r="AK42" s="162"/>
      <c r="AL42" s="162"/>
      <c r="AM42" s="162"/>
      <c r="AN42" s="163"/>
      <c r="AO42" s="163"/>
      <c r="AP42" s="163"/>
      <c r="AQ42" s="163"/>
    </row>
    <row r="43" spans="1:43" x14ac:dyDescent="0.25">
      <c r="A43" s="50"/>
      <c r="B43" s="50"/>
      <c r="C43" s="51"/>
      <c r="D43" s="52"/>
      <c r="E43" s="183"/>
      <c r="F43" s="53"/>
      <c r="G43" s="265"/>
      <c r="H43" s="219"/>
      <c r="I43" s="196"/>
      <c r="J43" s="196"/>
      <c r="K43" s="196"/>
      <c r="L43" s="196"/>
      <c r="M43" s="196"/>
      <c r="N43" s="196"/>
      <c r="O43" s="196"/>
      <c r="P43" s="200"/>
      <c r="Q43" s="212"/>
      <c r="R43" s="53"/>
      <c r="S43" s="54"/>
      <c r="T43" s="111" t="s">
        <v>97</v>
      </c>
      <c r="U43" s="120"/>
      <c r="V43" s="60"/>
      <c r="W43" s="77"/>
      <c r="X43" s="63"/>
      <c r="Y43" s="78"/>
      <c r="Z43" s="79"/>
      <c r="AA43" s="173"/>
      <c r="AB43" s="74"/>
      <c r="AC43" s="74"/>
      <c r="AD43" s="185"/>
      <c r="AE43" s="188"/>
      <c r="AF43" s="188"/>
      <c r="AG43" s="188"/>
      <c r="AH43" s="188"/>
      <c r="AI43" s="188"/>
      <c r="AJ43" s="188"/>
    </row>
    <row r="44" spans="1:43" ht="15.75" thickBot="1" x14ac:dyDescent="0.3">
      <c r="A44" s="69"/>
      <c r="B44" s="69"/>
      <c r="C44" s="51"/>
      <c r="D44" s="52"/>
      <c r="E44" s="125"/>
      <c r="G44" s="269"/>
      <c r="H44" s="220"/>
      <c r="I44" s="188"/>
      <c r="J44" s="188"/>
      <c r="K44" s="188"/>
      <c r="L44" s="188"/>
      <c r="M44" s="188"/>
      <c r="N44" s="188"/>
      <c r="O44" s="188"/>
      <c r="P44" s="205"/>
      <c r="Q44" s="212">
        <f>SUM(R34:R43)</f>
        <v>16878120</v>
      </c>
      <c r="R44" s="53"/>
      <c r="S44" s="54"/>
      <c r="T44" s="59"/>
      <c r="U44" s="112">
        <f>SUM(V34:V42)</f>
        <v>16241120</v>
      </c>
      <c r="V44" s="60"/>
      <c r="W44" s="70"/>
      <c r="X44" s="71">
        <f>SUM(Y34:Y42)</f>
        <v>16241120</v>
      </c>
      <c r="Y44" s="62"/>
      <c r="Z44" s="72"/>
      <c r="AA44" s="173">
        <f>SUM(AC34:AC42)</f>
        <v>637000</v>
      </c>
      <c r="AB44" s="73"/>
      <c r="AC44" s="73"/>
      <c r="AD44" s="185"/>
      <c r="AE44" s="188"/>
      <c r="AF44" s="188"/>
      <c r="AG44" s="188"/>
      <c r="AH44" s="188"/>
      <c r="AI44" s="188"/>
      <c r="AJ44" s="188"/>
    </row>
    <row r="45" spans="1:43" s="29" customFormat="1" ht="15.75" thickTop="1" x14ac:dyDescent="0.25">
      <c r="A45" s="27"/>
      <c r="B45" s="27"/>
      <c r="C45" s="28"/>
      <c r="F45" s="389"/>
      <c r="G45" s="270"/>
      <c r="H45" s="179"/>
      <c r="I45" s="179"/>
      <c r="J45" s="179"/>
      <c r="K45" s="179"/>
      <c r="L45" s="179"/>
      <c r="M45" s="179"/>
      <c r="N45" s="179"/>
      <c r="O45" s="179"/>
      <c r="Q45" s="215"/>
      <c r="S45" s="30"/>
      <c r="V45" s="2"/>
      <c r="W45" s="2"/>
      <c r="X45" s="2"/>
      <c r="Y45" s="2"/>
      <c r="Z45" s="2"/>
      <c r="AA45" s="2"/>
      <c r="AB45" s="2"/>
      <c r="AC45" s="2"/>
      <c r="AD45" s="2"/>
      <c r="AE45" s="181"/>
      <c r="AF45" s="181"/>
      <c r="AG45" s="181"/>
      <c r="AH45" s="181"/>
      <c r="AI45" s="181"/>
      <c r="AJ45" s="181"/>
      <c r="AK45" s="2"/>
      <c r="AL45" s="2"/>
      <c r="AM45" s="2"/>
      <c r="AN45" s="1"/>
      <c r="AO45" s="1"/>
      <c r="AP45" s="1"/>
      <c r="AQ45" s="1"/>
    </row>
    <row r="46" spans="1:43" s="29" customFormat="1" x14ac:dyDescent="0.25">
      <c r="A46" s="27"/>
      <c r="B46" s="27"/>
      <c r="C46" s="28"/>
      <c r="H46" s="179"/>
      <c r="I46" s="179"/>
      <c r="J46" s="179"/>
      <c r="K46" s="179"/>
      <c r="L46" s="179"/>
      <c r="M46" s="179"/>
      <c r="N46" s="179"/>
      <c r="O46" s="179"/>
      <c r="Q46" s="215"/>
      <c r="S46" s="31"/>
      <c r="V46" s="2"/>
      <c r="W46" s="2"/>
      <c r="X46" s="2"/>
      <c r="Y46" s="2"/>
      <c r="Z46" s="2"/>
      <c r="AA46" s="2"/>
      <c r="AB46" s="2"/>
      <c r="AC46" s="2"/>
      <c r="AD46" s="2"/>
      <c r="AE46" s="181"/>
      <c r="AF46" s="181"/>
      <c r="AG46" s="181"/>
      <c r="AH46" s="181"/>
      <c r="AI46" s="181"/>
      <c r="AJ46" s="181"/>
      <c r="AK46" s="2"/>
      <c r="AL46" s="2"/>
      <c r="AM46" s="2"/>
      <c r="AN46" s="1"/>
      <c r="AO46" s="1"/>
      <c r="AP46" s="1"/>
      <c r="AQ46" s="1"/>
    </row>
    <row r="47" spans="1:43" x14ac:dyDescent="0.25">
      <c r="F47" s="29"/>
      <c r="G47" s="29"/>
    </row>
    <row r="48" spans="1:43" x14ac:dyDescent="0.25">
      <c r="F48" s="29"/>
      <c r="G48" s="29"/>
    </row>
    <row r="49" spans="6:7" x14ac:dyDescent="0.25">
      <c r="F49" s="29"/>
      <c r="G49" s="29"/>
    </row>
    <row r="50" spans="6:7" x14ac:dyDescent="0.25">
      <c r="F50" s="29"/>
      <c r="G50" s="29"/>
    </row>
    <row r="51" spans="6:7" x14ac:dyDescent="0.25">
      <c r="F51" s="29"/>
      <c r="G51" s="29"/>
    </row>
    <row r="52" spans="6:7" x14ac:dyDescent="0.25">
      <c r="F52" s="29"/>
      <c r="G52" s="29"/>
    </row>
    <row r="53" spans="6:7" x14ac:dyDescent="0.25">
      <c r="F53" s="29"/>
      <c r="G53" s="29"/>
    </row>
    <row r="54" spans="6:7" x14ac:dyDescent="0.25">
      <c r="F54" s="29"/>
      <c r="G54" s="29"/>
    </row>
    <row r="55" spans="6:7" x14ac:dyDescent="0.25">
      <c r="F55" s="29"/>
      <c r="G55" s="29"/>
    </row>
    <row r="56" spans="6:7" x14ac:dyDescent="0.25">
      <c r="F56" s="29"/>
      <c r="G56" s="29"/>
    </row>
    <row r="57" spans="6:7" x14ac:dyDescent="0.25">
      <c r="F57" s="29"/>
      <c r="G57" s="29"/>
    </row>
    <row r="58" spans="6:7" x14ac:dyDescent="0.25">
      <c r="F58" s="29"/>
      <c r="G58" s="29"/>
    </row>
    <row r="59" spans="6:7" x14ac:dyDescent="0.25">
      <c r="F59" s="29"/>
      <c r="G59" s="29"/>
    </row>
    <row r="60" spans="6:7" x14ac:dyDescent="0.25">
      <c r="F60" s="29"/>
      <c r="G60" s="29"/>
    </row>
    <row r="61" spans="6:7" x14ac:dyDescent="0.25">
      <c r="F61" s="29"/>
      <c r="G61" s="29"/>
    </row>
    <row r="62" spans="6:7" x14ac:dyDescent="0.25">
      <c r="F62" s="29"/>
      <c r="G62" s="29"/>
    </row>
    <row r="63" spans="6:7" x14ac:dyDescent="0.25">
      <c r="F63" s="29"/>
      <c r="G63" s="29"/>
    </row>
    <row r="64" spans="6:7" x14ac:dyDescent="0.25">
      <c r="F64" s="29"/>
      <c r="G64" s="29"/>
    </row>
    <row r="65" spans="6:7" x14ac:dyDescent="0.25">
      <c r="F65" s="29"/>
      <c r="G65" s="29"/>
    </row>
    <row r="66" spans="6:7" x14ac:dyDescent="0.25">
      <c r="F66" s="29"/>
      <c r="G66" s="29"/>
    </row>
    <row r="67" spans="6:7" x14ac:dyDescent="0.25">
      <c r="F67" s="29"/>
      <c r="G67" s="29"/>
    </row>
    <row r="68" spans="6:7" x14ac:dyDescent="0.25">
      <c r="F68" s="29"/>
      <c r="G68" s="29"/>
    </row>
    <row r="69" spans="6:7" x14ac:dyDescent="0.25">
      <c r="F69" s="29"/>
      <c r="G69" s="29"/>
    </row>
    <row r="70" spans="6:7" x14ac:dyDescent="0.25">
      <c r="F70" s="29"/>
      <c r="G70" s="29"/>
    </row>
    <row r="71" spans="6:7" x14ac:dyDescent="0.25">
      <c r="F71" s="29"/>
      <c r="G71" s="29"/>
    </row>
    <row r="72" spans="6:7" x14ac:dyDescent="0.25">
      <c r="F72" s="29"/>
      <c r="G72" s="29"/>
    </row>
    <row r="73" spans="6:7" x14ac:dyDescent="0.25">
      <c r="F73" s="29"/>
      <c r="G73" s="29"/>
    </row>
    <row r="74" spans="6:7" x14ac:dyDescent="0.25">
      <c r="F74" s="29"/>
      <c r="G74" s="29"/>
    </row>
    <row r="75" spans="6:7" x14ac:dyDescent="0.25">
      <c r="F75" s="29"/>
      <c r="G75" s="29"/>
    </row>
    <row r="76" spans="6:7" x14ac:dyDescent="0.25">
      <c r="F76" s="29"/>
      <c r="G76" s="29"/>
    </row>
    <row r="77" spans="6:7" x14ac:dyDescent="0.25">
      <c r="F77" s="29"/>
      <c r="G77" s="29"/>
    </row>
    <row r="78" spans="6:7" x14ac:dyDescent="0.25">
      <c r="F78" s="29"/>
      <c r="G78" s="29"/>
    </row>
    <row r="79" spans="6:7" x14ac:dyDescent="0.25">
      <c r="F79" s="29"/>
      <c r="G79" s="29"/>
    </row>
    <row r="80" spans="6:7" x14ac:dyDescent="0.25">
      <c r="F80" s="29"/>
      <c r="G80" s="29"/>
    </row>
    <row r="81" spans="6:7" x14ac:dyDescent="0.25">
      <c r="F81" s="29"/>
      <c r="G81" s="29"/>
    </row>
    <row r="82" spans="6:7" x14ac:dyDescent="0.25">
      <c r="F82" s="29"/>
      <c r="G82" s="29"/>
    </row>
    <row r="83" spans="6:7" x14ac:dyDescent="0.25">
      <c r="F83" s="29"/>
      <c r="G83" s="29"/>
    </row>
    <row r="84" spans="6:7" x14ac:dyDescent="0.25">
      <c r="F84" s="29"/>
      <c r="G84" s="29"/>
    </row>
    <row r="85" spans="6:7" x14ac:dyDescent="0.25">
      <c r="F85" s="29"/>
      <c r="G85" s="29"/>
    </row>
    <row r="86" spans="6:7" x14ac:dyDescent="0.25">
      <c r="F86" s="29"/>
      <c r="G86" s="29"/>
    </row>
  </sheetData>
  <autoFilter ref="A1:AR44"/>
  <dataConsolidate/>
  <mergeCells count="1">
    <mergeCell ref="T1:T2"/>
  </mergeCells>
  <conditionalFormatting sqref="G1:G1048576">
    <cfRule type="cellIs" dxfId="6" priority="1" operator="equal">
      <formula>"Finish"</formula>
    </cfRule>
  </conditionalFormatting>
  <conditionalFormatting sqref="H3:O43">
    <cfRule type="cellIs" dxfId="5" priority="36" operator="equal">
      <formula>0</formula>
    </cfRule>
    <cfRule type="expression" dxfId="4" priority="37">
      <formula>IF(AND(MATCH($G3,$2:$2,0)&lt;=MATCH(H$2,$2:$2,0),SUM($H3:H3)&lt;=$Z3),1,0)</formula>
    </cfRule>
    <cfRule type="expression" dxfId="3" priority="38">
      <formula>IF(AND($G3=H$2,H3&lt;&gt;""),1,0)</formula>
    </cfRule>
    <cfRule type="expression" dxfId="2" priority="39">
      <formula>IF($Z3-SUM($H3:H3)&gt;=0,1,0)</formula>
    </cfRule>
    <cfRule type="expression" dxfId="1" priority="40">
      <formula>IF(MATCH($G3,$2:$2,0)&gt;MATCH(H$2,$2:$2,0),1,0)</formula>
    </cfRule>
  </conditionalFormatting>
  <conditionalFormatting sqref="W1:W1048576 Z1:Z1048576">
    <cfRule type="cellIs" dxfId="0" priority="27" stopIfTrue="1" operator="equal">
      <formula>1</formula>
    </cfRule>
  </conditionalFormatting>
  <dataValidations count="1">
    <dataValidation type="list" allowBlank="1" showInputMessage="1" showErrorMessage="1" sqref="G1:G1048576">
      <formula1>$H$2:$P$2</formula1>
    </dataValidation>
  </dataValidations>
  <pageMargins left="0.31496062992125984" right="0.11811023622047245" top="0.74803149606299213" bottom="0.74803149606299213" header="0.31496062992125984" footer="0.31496062992125984"/>
  <pageSetup paperSize="9" scale="55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'Project Team'!$A:$A</xm:f>
          </x14:formula1>
          <xm:sqref>F1:F1048576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tabSelected="1" topLeftCell="C1" workbookViewId="0">
      <selection activeCell="C2" sqref="C2"/>
    </sheetView>
  </sheetViews>
  <sheetFormatPr defaultRowHeight="15" x14ac:dyDescent="0.25"/>
  <cols>
    <col min="1" max="1" width="33.140625" style="725" customWidth="1"/>
    <col min="2" max="2" width="19.42578125" style="725" customWidth="1"/>
    <col min="3" max="3" width="17.28515625" style="725" customWidth="1"/>
    <col min="4" max="4" width="37.5703125" style="726" customWidth="1"/>
    <col min="5" max="5" width="35.7109375" style="726" customWidth="1"/>
    <col min="6" max="6" width="17.7109375" style="725" customWidth="1"/>
    <col min="7" max="7" width="16" style="725" customWidth="1"/>
    <col min="8" max="8" width="11.28515625" style="725" customWidth="1"/>
    <col min="9" max="9" width="18" style="725" customWidth="1"/>
    <col min="10" max="10" width="15.5703125" style="725" customWidth="1"/>
    <col min="11" max="11" width="15.7109375" style="725" customWidth="1"/>
    <col min="12" max="12" width="18.42578125" style="725" customWidth="1"/>
    <col min="13" max="13" width="19.5703125" style="725" customWidth="1"/>
    <col min="14" max="14" width="15.5703125" style="733" customWidth="1"/>
    <col min="15" max="16384" width="9.140625" style="725"/>
  </cols>
  <sheetData>
    <row r="1" spans="1:14" x14ac:dyDescent="0.25">
      <c r="A1" s="727" t="s">
        <v>252</v>
      </c>
      <c r="B1" s="727" t="s">
        <v>253</v>
      </c>
      <c r="C1" s="727" t="s">
        <v>254</v>
      </c>
      <c r="D1" s="727" t="s">
        <v>255</v>
      </c>
      <c r="E1" s="727" t="s">
        <v>251</v>
      </c>
      <c r="F1" s="727" t="s">
        <v>256</v>
      </c>
      <c r="G1" s="727" t="s">
        <v>257</v>
      </c>
      <c r="H1" s="727" t="s">
        <v>258</v>
      </c>
      <c r="I1" s="727" t="s">
        <v>259</v>
      </c>
      <c r="J1" s="727" t="s">
        <v>260</v>
      </c>
      <c r="K1" s="727" t="s">
        <v>261</v>
      </c>
      <c r="L1" s="727" t="s">
        <v>263</v>
      </c>
      <c r="M1" s="727" t="s">
        <v>262</v>
      </c>
      <c r="N1" s="732" t="s">
        <v>264</v>
      </c>
    </row>
  </sheetData>
  <autoFilter ref="A1:N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Project Team</vt:lpstr>
      <vt:lpstr>JoB Backlog2013-2017</vt:lpstr>
      <vt:lpstr>JobBacklog2013-2016</vt:lpstr>
      <vt:lpstr>Sheet1</vt:lpstr>
      <vt:lpstr>'JoB Backlog2013-2017'!Print_Area</vt:lpstr>
      <vt:lpstr>'JobBacklog2013-2016'!Print_Area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kriangkrai rattanawan</cp:lastModifiedBy>
  <cp:lastPrinted>2020-06-16T09:21:26Z</cp:lastPrinted>
  <dcterms:created xsi:type="dcterms:W3CDTF">2012-04-15T13:59:19Z</dcterms:created>
  <dcterms:modified xsi:type="dcterms:W3CDTF">2026-04-21T07:35:34Z</dcterms:modified>
</cp:coreProperties>
</file>